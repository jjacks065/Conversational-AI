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15"/>
  <workbookPr/>
  <mc:AlternateContent xmlns:mc="http://schemas.openxmlformats.org/markup-compatibility/2006">
    <mc:Choice Requires="x15">
      <x15ac:absPath xmlns:x15ac="http://schemas.microsoft.com/office/spreadsheetml/2010/11/ac" url="https://blueshieldca.sharepoint.com/sites/Enterprise-Arch/Publications/EA Operations/Templates (for usage)/"/>
    </mc:Choice>
  </mc:AlternateContent>
  <xr:revisionPtr revIDLastSave="31" documentId="8_{798ED393-DA9C-4EF3-BCB4-95771E718067}" xr6:coauthVersionLast="47" xr6:coauthVersionMax="47" xr10:uidLastSave="{396271F6-BFE5-405A-90B9-84455CAA0F82}"/>
  <bookViews>
    <workbookView xWindow="-120" yWindow="-120" windowWidth="29040" windowHeight="15225" tabRatio="750" activeTab="1" xr2:uid="{00000000-000D-0000-FFFF-FFFF00000000}"/>
  </bookViews>
  <sheets>
    <sheet name="Scoring Framework" sheetId="5" r:id="rId1"/>
    <sheet name="Architecture &amp; Technology" sheetId="2" r:id="rId2"/>
    <sheet name="Vendor Functional" sheetId="11" r:id="rId3"/>
    <sheet name="Relative Cost" sheetId="3" r:id="rId4"/>
    <sheet name="Hinge Factors" sheetId="12" r:id="rId5"/>
    <sheet name="Summary" sheetId="1" r:id="rId6"/>
  </sheets>
  <definedNames>
    <definedName name="DueDates">#REF!</definedName>
    <definedName name="_xlnm.Print_Area" localSheetId="1">'Architecture &amp; Technology'!$B$2:$K$81</definedName>
    <definedName name="_xlnm.Print_Area" localSheetId="4">'Hinge Factors'!$B$2:$M$25</definedName>
    <definedName name="_xlnm.Print_Area" localSheetId="3">'Relative Cost'!$C$2:$N$19</definedName>
    <definedName name="_xlnm.Print_Area" localSheetId="2">'Vendor Functional'!$B$2:$M$32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9" i="2" l="1"/>
  <c r="E10" i="2"/>
  <c r="E74" i="2"/>
  <c r="E78" i="2" l="1"/>
  <c r="S25" i="12" l="1"/>
  <c r="P25" i="12"/>
  <c r="M25" i="12"/>
  <c r="J25" i="12"/>
  <c r="G25" i="12"/>
  <c r="S10" i="3"/>
  <c r="P10" i="3"/>
  <c r="P19" i="3" s="1"/>
  <c r="M10" i="3"/>
  <c r="J10" i="3"/>
  <c r="G10" i="3"/>
  <c r="V6" i="3"/>
  <c r="S6" i="3"/>
  <c r="P6" i="3"/>
  <c r="M6" i="3"/>
  <c r="J6" i="3"/>
  <c r="G6" i="3"/>
  <c r="V19" i="3"/>
  <c r="S19" i="3"/>
  <c r="M19" i="3"/>
  <c r="V32" i="11"/>
  <c r="S32" i="11"/>
  <c r="P32" i="11"/>
  <c r="M32" i="11"/>
  <c r="J32" i="11"/>
  <c r="G32" i="11"/>
  <c r="G46" i="2"/>
  <c r="E48" i="2"/>
  <c r="E49" i="2"/>
  <c r="E50" i="2"/>
  <c r="V46" i="2" s="1"/>
  <c r="E51" i="2"/>
  <c r="E52" i="2"/>
  <c r="E53" i="2"/>
  <c r="E54" i="2"/>
  <c r="E55" i="2"/>
  <c r="E56" i="2"/>
  <c r="E57" i="2"/>
  <c r="E58" i="2"/>
  <c r="E59" i="2"/>
  <c r="E60" i="2"/>
  <c r="E61" i="2"/>
  <c r="E62" i="2"/>
  <c r="E63" i="2"/>
  <c r="E64" i="2"/>
  <c r="E65" i="2"/>
  <c r="E66" i="2"/>
  <c r="E67" i="2"/>
  <c r="E68" i="2"/>
  <c r="E69" i="2"/>
  <c r="E70" i="2"/>
  <c r="E47" i="2"/>
  <c r="E46" i="2"/>
  <c r="E42" i="2"/>
  <c r="D46" i="2"/>
  <c r="E26" i="2"/>
  <c r="E25" i="2"/>
  <c r="E24" i="2"/>
  <c r="E23" i="2"/>
  <c r="E22" i="2"/>
  <c r="M46" i="2" l="1"/>
  <c r="S46" i="2"/>
  <c r="P46" i="2"/>
  <c r="J46" i="2"/>
  <c r="J19" i="3"/>
  <c r="G19" i="3"/>
  <c r="E44" i="2"/>
  <c r="E45" i="2"/>
  <c r="E43" i="2"/>
  <c r="D42" i="2"/>
  <c r="E23" i="12"/>
  <c r="E22" i="12"/>
  <c r="E21" i="12"/>
  <c r="E20" i="12"/>
  <c r="E19" i="12"/>
  <c r="E18" i="12"/>
  <c r="E17" i="12"/>
  <c r="E16" i="12"/>
  <c r="E15" i="12"/>
  <c r="E14" i="12"/>
  <c r="E13" i="12"/>
  <c r="E12" i="12"/>
  <c r="E11" i="12"/>
  <c r="E10" i="12"/>
  <c r="E9" i="12"/>
  <c r="E8" i="12"/>
  <c r="E7" i="12"/>
  <c r="J6" i="12" s="1"/>
  <c r="E6" i="12"/>
  <c r="E16" i="3"/>
  <c r="E15" i="3"/>
  <c r="G14" i="3" s="1"/>
  <c r="E14" i="3"/>
  <c r="E13" i="3"/>
  <c r="E12" i="3"/>
  <c r="E11" i="3"/>
  <c r="E10" i="3"/>
  <c r="E9" i="3"/>
  <c r="E8" i="3"/>
  <c r="E7" i="3"/>
  <c r="E6" i="3"/>
  <c r="E30" i="11"/>
  <c r="E29" i="11"/>
  <c r="E28" i="11"/>
  <c r="E27" i="11"/>
  <c r="E26" i="11"/>
  <c r="E25" i="11"/>
  <c r="E24" i="11"/>
  <c r="E23" i="11"/>
  <c r="E22" i="11"/>
  <c r="E21" i="11"/>
  <c r="E20" i="11"/>
  <c r="E19" i="11"/>
  <c r="E18" i="11"/>
  <c r="E17" i="11"/>
  <c r="V16" i="11" s="1"/>
  <c r="E16" i="11"/>
  <c r="E15" i="11"/>
  <c r="E14" i="11"/>
  <c r="E13" i="11"/>
  <c r="E12" i="11"/>
  <c r="E11" i="11"/>
  <c r="E10" i="11"/>
  <c r="E9" i="11"/>
  <c r="E8" i="11"/>
  <c r="E7" i="11"/>
  <c r="E6" i="11"/>
  <c r="E79" i="2"/>
  <c r="E77" i="2"/>
  <c r="E76" i="2"/>
  <c r="E75" i="2"/>
  <c r="E73" i="2"/>
  <c r="E72" i="2"/>
  <c r="E71" i="2"/>
  <c r="E41" i="2"/>
  <c r="E40" i="2"/>
  <c r="E39" i="2"/>
  <c r="E38" i="2"/>
  <c r="E37" i="2"/>
  <c r="E36" i="2"/>
  <c r="E35" i="2"/>
  <c r="E34" i="2"/>
  <c r="E33" i="2"/>
  <c r="E32" i="2"/>
  <c r="E31" i="2"/>
  <c r="E30" i="2"/>
  <c r="E29" i="2"/>
  <c r="E28" i="2"/>
  <c r="E27" i="2"/>
  <c r="E21" i="2"/>
  <c r="E20" i="2"/>
  <c r="E19" i="2"/>
  <c r="E18" i="2"/>
  <c r="E17" i="2"/>
  <c r="E16" i="2"/>
  <c r="E15" i="2"/>
  <c r="E14" i="2"/>
  <c r="E13" i="2"/>
  <c r="E12" i="2"/>
  <c r="E8" i="2"/>
  <c r="E7" i="2"/>
  <c r="E6" i="2"/>
  <c r="V4" i="2"/>
  <c r="S4" i="2"/>
  <c r="P4" i="2"/>
  <c r="M4" i="2"/>
  <c r="J4" i="2"/>
  <c r="G4" i="2"/>
  <c r="V92" i="2"/>
  <c r="V91" i="2"/>
  <c r="V90" i="2"/>
  <c r="S92" i="2"/>
  <c r="S91" i="2"/>
  <c r="S90" i="2"/>
  <c r="P92" i="2"/>
  <c r="P91" i="2"/>
  <c r="P90" i="2"/>
  <c r="M92" i="2"/>
  <c r="M91" i="2"/>
  <c r="M90" i="2"/>
  <c r="D71" i="2"/>
  <c r="D35" i="2"/>
  <c r="D32" i="2"/>
  <c r="D27" i="2"/>
  <c r="D19" i="2"/>
  <c r="D13" i="2"/>
  <c r="D6" i="2"/>
  <c r="E81" i="2" l="1"/>
  <c r="J14" i="12"/>
  <c r="V19" i="12"/>
  <c r="E19" i="3"/>
  <c r="V42" i="2"/>
  <c r="M42" i="2"/>
  <c r="S6" i="2"/>
  <c r="G42" i="2"/>
  <c r="J42" i="2"/>
  <c r="P42" i="2"/>
  <c r="S42" i="2"/>
  <c r="V6" i="2"/>
  <c r="V10" i="3"/>
  <c r="V32" i="2"/>
  <c r="V9" i="12"/>
  <c r="V35" i="2"/>
  <c r="V19" i="2"/>
  <c r="V71" i="2"/>
  <c r="V6" i="12"/>
  <c r="S9" i="12"/>
  <c r="V14" i="12"/>
  <c r="P19" i="12"/>
  <c r="S6" i="12"/>
  <c r="P9" i="12"/>
  <c r="S14" i="12"/>
  <c r="S19" i="12"/>
  <c r="P6" i="12"/>
  <c r="M9" i="12"/>
  <c r="P14" i="12"/>
  <c r="J19" i="12"/>
  <c r="M6" i="12"/>
  <c r="J9" i="12"/>
  <c r="M14" i="12"/>
  <c r="M19" i="12"/>
  <c r="E25" i="12"/>
  <c r="G9" i="12"/>
  <c r="G19" i="12"/>
  <c r="G6" i="12"/>
  <c r="G14" i="12"/>
  <c r="V14" i="3"/>
  <c r="S14" i="3"/>
  <c r="P14" i="3"/>
  <c r="J14" i="3"/>
  <c r="M14" i="3"/>
  <c r="V11" i="11"/>
  <c r="P21" i="11"/>
  <c r="M6" i="11"/>
  <c r="V6" i="11"/>
  <c r="V21" i="11"/>
  <c r="J26" i="11"/>
  <c r="V26" i="11"/>
  <c r="S11" i="11"/>
  <c r="P11" i="11"/>
  <c r="J21" i="11"/>
  <c r="P16" i="11"/>
  <c r="S6" i="11"/>
  <c r="G26" i="11"/>
  <c r="S16" i="11"/>
  <c r="S21" i="11"/>
  <c r="S26" i="11"/>
  <c r="P6" i="11"/>
  <c r="J11" i="11"/>
  <c r="P26" i="11"/>
  <c r="E32" i="11"/>
  <c r="G11" i="11"/>
  <c r="G21" i="11"/>
  <c r="G16" i="11"/>
  <c r="J16" i="11"/>
  <c r="M11" i="11"/>
  <c r="M16" i="11"/>
  <c r="G6" i="11"/>
  <c r="J6" i="11"/>
  <c r="M21" i="11"/>
  <c r="M26" i="11"/>
  <c r="S13" i="2"/>
  <c r="G32" i="2"/>
  <c r="V13" i="2"/>
  <c r="M6" i="2"/>
  <c r="J27" i="2"/>
  <c r="S71" i="2"/>
  <c r="V27" i="2"/>
  <c r="S19" i="2"/>
  <c r="P6" i="2"/>
  <c r="J35" i="2"/>
  <c r="S27" i="2"/>
  <c r="P13" i="2"/>
  <c r="S32" i="2"/>
  <c r="P19" i="2"/>
  <c r="S35" i="2"/>
  <c r="G6" i="2"/>
  <c r="M71" i="2"/>
  <c r="P27" i="2"/>
  <c r="J19" i="2"/>
  <c r="P32" i="2"/>
  <c r="P35" i="2"/>
  <c r="P71" i="2"/>
  <c r="G13" i="2"/>
  <c r="J71" i="2"/>
  <c r="J6" i="2"/>
  <c r="M13" i="2"/>
  <c r="J13" i="2"/>
  <c r="M19" i="2"/>
  <c r="M27" i="2"/>
  <c r="M32" i="2"/>
  <c r="J32" i="2"/>
  <c r="M35" i="2"/>
  <c r="G35" i="2"/>
  <c r="G27" i="2"/>
  <c r="G19" i="2"/>
  <c r="G71" i="2"/>
  <c r="D26" i="11"/>
  <c r="D21" i="11"/>
  <c r="D16" i="11"/>
  <c r="D11" i="11"/>
  <c r="D6" i="11"/>
  <c r="V4" i="11"/>
  <c r="S4" i="11"/>
  <c r="P4" i="11"/>
  <c r="M4" i="11"/>
  <c r="J4" i="11"/>
  <c r="G4" i="11"/>
  <c r="V55" i="11"/>
  <c r="V54" i="11"/>
  <c r="V53" i="11"/>
  <c r="S55" i="11"/>
  <c r="S54" i="11"/>
  <c r="S53" i="11"/>
  <c r="P55" i="11"/>
  <c r="P54" i="11"/>
  <c r="P53" i="11"/>
  <c r="V4" i="3"/>
  <c r="S4" i="3"/>
  <c r="P4" i="3"/>
  <c r="M4" i="3"/>
  <c r="J4" i="3"/>
  <c r="G4" i="3"/>
  <c r="V56" i="3"/>
  <c r="V55" i="3"/>
  <c r="V54" i="3"/>
  <c r="S56" i="3"/>
  <c r="S55" i="3"/>
  <c r="S54" i="3"/>
  <c r="P56" i="3"/>
  <c r="P55" i="3"/>
  <c r="P54" i="3"/>
  <c r="D14" i="3"/>
  <c r="D10" i="3"/>
  <c r="D6" i="3"/>
  <c r="D19" i="12"/>
  <c r="D14" i="12"/>
  <c r="D9" i="12"/>
  <c r="D6" i="12"/>
  <c r="V4" i="12"/>
  <c r="S4" i="12"/>
  <c r="P4" i="12"/>
  <c r="M4" i="12"/>
  <c r="J4" i="12"/>
  <c r="G4" i="12"/>
  <c r="V45" i="12"/>
  <c r="V44" i="12"/>
  <c r="V43" i="12"/>
  <c r="S45" i="12"/>
  <c r="S44" i="12"/>
  <c r="S43" i="12"/>
  <c r="P45" i="12"/>
  <c r="P44" i="12"/>
  <c r="P43" i="12"/>
  <c r="E13" i="1"/>
  <c r="F11" i="1"/>
  <c r="F10" i="1"/>
  <c r="F9" i="1"/>
  <c r="F8" i="1"/>
  <c r="M45" i="12"/>
  <c r="J45" i="12"/>
  <c r="G45" i="12"/>
  <c r="M44" i="12"/>
  <c r="J44" i="12"/>
  <c r="G44" i="12"/>
  <c r="M43" i="12"/>
  <c r="J43" i="12"/>
  <c r="G43" i="12"/>
  <c r="M56" i="3"/>
  <c r="J56" i="3"/>
  <c r="G56" i="3"/>
  <c r="M55" i="3"/>
  <c r="J55" i="3"/>
  <c r="G55" i="3"/>
  <c r="M54" i="3"/>
  <c r="J54" i="3"/>
  <c r="G54" i="3"/>
  <c r="M55" i="11"/>
  <c r="J55" i="11"/>
  <c r="G55" i="11"/>
  <c r="M54" i="11"/>
  <c r="J54" i="11"/>
  <c r="G54" i="11"/>
  <c r="M53" i="11"/>
  <c r="J53" i="11"/>
  <c r="G53" i="11"/>
  <c r="J92" i="2"/>
  <c r="G92" i="2"/>
  <c r="J91" i="2"/>
  <c r="G91" i="2"/>
  <c r="J90" i="2"/>
  <c r="G90" i="2"/>
  <c r="S81" i="2" l="1"/>
  <c r="Q8" i="1" s="1"/>
  <c r="R8" i="1" s="1"/>
  <c r="P81" i="2"/>
  <c r="O8" i="1" s="1"/>
  <c r="P8" i="1" s="1"/>
  <c r="G81" i="2"/>
  <c r="M81" i="2"/>
  <c r="M8" i="1" s="1"/>
  <c r="J81" i="2"/>
  <c r="V81" i="2"/>
  <c r="S8" i="1" s="1"/>
  <c r="T8" i="1" s="1"/>
  <c r="Q10" i="1"/>
  <c r="R10" i="1" s="1"/>
  <c r="V25" i="12"/>
  <c r="I11" i="1"/>
  <c r="J11" i="1" s="1"/>
  <c r="K9" i="1"/>
  <c r="L9" i="1" s="1"/>
  <c r="I10" i="1"/>
  <c r="J10" i="1" s="1"/>
  <c r="M9" i="1"/>
  <c r="N9" i="1" s="1"/>
  <c r="I9" i="1"/>
  <c r="S11" i="1" l="1"/>
  <c r="T11" i="1" s="1"/>
  <c r="Q11" i="1"/>
  <c r="R11" i="1" s="1"/>
  <c r="K11" i="1"/>
  <c r="L11" i="1" s="1"/>
  <c r="O11" i="1"/>
  <c r="P11" i="1" s="1"/>
  <c r="M11" i="1"/>
  <c r="N11" i="1" s="1"/>
  <c r="O10" i="1"/>
  <c r="P10" i="1" s="1"/>
  <c r="M10" i="1"/>
  <c r="N10" i="1" s="1"/>
  <c r="S10" i="1"/>
  <c r="T10" i="1" s="1"/>
  <c r="K10" i="1"/>
  <c r="L10" i="1" s="1"/>
  <c r="O9" i="1"/>
  <c r="P9" i="1" s="1"/>
  <c r="S9" i="1"/>
  <c r="Q9" i="1"/>
  <c r="R9" i="1" s="1"/>
  <c r="K8" i="1"/>
  <c r="I8" i="1"/>
  <c r="J8" i="1" s="1"/>
  <c r="J9" i="1"/>
  <c r="M13" i="1" l="1"/>
  <c r="O13" i="1"/>
  <c r="T9" i="1"/>
  <c r="S13" i="1"/>
  <c r="Q13" i="1"/>
  <c r="N8" i="1"/>
  <c r="K13" i="1"/>
  <c r="L8" i="1"/>
  <c r="I13" i="1"/>
</calcChain>
</file>

<file path=xl/sharedStrings.xml><?xml version="1.0" encoding="utf-8"?>
<sst xmlns="http://schemas.openxmlformats.org/spreadsheetml/2006/main" count="239" uniqueCount="157">
  <si>
    <t>Rating</t>
  </si>
  <si>
    <t>Score</t>
  </si>
  <si>
    <t>Definition</t>
  </si>
  <si>
    <t>Does not address</t>
  </si>
  <si>
    <t>Solution does not support or improve any major capabilities in this area</t>
  </si>
  <si>
    <t>Addresses minimal expectation</t>
  </si>
  <si>
    <t>Minimaly meets expectation with some capabilities</t>
  </si>
  <si>
    <t>Meets basic expectation</t>
  </si>
  <si>
    <t>Solution meets basic expectation but may require a cumbersome work-around</t>
  </si>
  <si>
    <t>Meets most of the expectation</t>
  </si>
  <si>
    <t>Solution meets most of the expectation but may require a easy work-around</t>
  </si>
  <si>
    <t>Meets expectations</t>
  </si>
  <si>
    <t>Solution meets expectations and/or improves major capabilities in this area</t>
  </si>
  <si>
    <t>Architecture &amp; Technology</t>
  </si>
  <si>
    <t>Date:</t>
  </si>
  <si>
    <t>Reviewer:</t>
  </si>
  <si>
    <t>Criteria</t>
  </si>
  <si>
    <t>Weight</t>
  </si>
  <si>
    <t>Comments</t>
  </si>
  <si>
    <r>
      <rPr>
        <sz val="10"/>
        <color rgb="FF4472C4"/>
        <rFont val="Intel Clear"/>
      </rPr>
      <t>Describe how your solution provides support for omni-channel digital experiences (</t>
    </r>
    <r>
      <rPr>
        <i/>
        <sz val="10"/>
        <color rgb="FF4472C4"/>
        <rFont val="Intel Clear"/>
      </rPr>
      <t>e.g., iFrame/Webview/Mashup, whitelabeling, external content management, deep-linking, search, and external profile/preference/consent management</t>
    </r>
    <r>
      <rPr>
        <sz val="10"/>
        <color rgb="FF4472C4"/>
        <rFont val="Intel Clear"/>
      </rPr>
      <t>)</t>
    </r>
  </si>
  <si>
    <r>
      <t>Describe how your solution supports a digital first approach, rendering on various mobile form factors and channels, including but not limited to: web, mobile app, IVR, chat/bot, conversational, SMS, push notifications, Extended Reality (</t>
    </r>
    <r>
      <rPr>
        <i/>
        <sz val="10"/>
        <color theme="8"/>
        <rFont val="Intel Clear"/>
      </rPr>
      <t>Augemented Reality, Mixed Reality, Virtual Reality</t>
    </r>
    <r>
      <rPr>
        <sz val="10"/>
        <color theme="8"/>
        <rFont val="Intel Clear"/>
        <family val="2"/>
      </rPr>
      <t>), wearables, other emerging digital channels</t>
    </r>
  </si>
  <si>
    <r>
      <t>Describe the user research (</t>
    </r>
    <r>
      <rPr>
        <i/>
        <sz val="10"/>
        <color theme="8"/>
        <rFont val="Intel Clear"/>
      </rPr>
      <t>e.g., interviews, surveys, usability tests</t>
    </r>
    <r>
      <rPr>
        <sz val="10"/>
        <color theme="8"/>
        <rFont val="Intel Clear"/>
        <family val="2"/>
      </rPr>
      <t>) conducted to inform product design decisions, including with whom, at what stage of development, and how frequently the applicable research methods are applied.</t>
    </r>
  </si>
  <si>
    <t xml:space="preserve">What behavioral data or user analytics are used to measure user engagement and usability post launch? Will any of this data be accessible to our team to assess the digital tool’s performance and success? </t>
  </si>
  <si>
    <t>Will your solution affect employee experience, roles, or work processes, and/or require detailed training?</t>
  </si>
  <si>
    <r>
      <t>What are your web &amp; mobile development application platform?  Describe any technology standards (</t>
    </r>
    <r>
      <rPr>
        <i/>
        <sz val="10"/>
        <color theme="8"/>
        <rFont val="Intel Clear"/>
      </rPr>
      <t>including open-source</t>
    </r>
    <r>
      <rPr>
        <sz val="10"/>
        <color theme="8"/>
        <rFont val="Intel Clear"/>
      </rPr>
      <t>)</t>
    </r>
    <r>
      <rPr>
        <sz val="10"/>
        <color theme="8"/>
        <rFont val="Intel Clear"/>
        <family val="2"/>
      </rPr>
      <t xml:space="preserve"> that you use.</t>
    </r>
  </si>
  <si>
    <r>
      <t>Describe how your solution supports the ability to integrate bulk data (</t>
    </r>
    <r>
      <rPr>
        <i/>
        <sz val="10"/>
        <color rgb="FF4472C4"/>
        <rFont val="Intel Clear"/>
      </rPr>
      <t>ETL/ELT</t>
    </r>
    <r>
      <rPr>
        <sz val="10"/>
        <color rgb="FF4472C4"/>
        <rFont val="Intel Clear"/>
      </rPr>
      <t>), streaming (</t>
    </r>
    <r>
      <rPr>
        <i/>
        <sz val="10"/>
        <color rgb="FF4472C4"/>
        <rFont val="Intel Clear"/>
      </rPr>
      <t>realtime publishing/ingestion</t>
    </r>
    <r>
      <rPr>
        <sz val="10"/>
        <color rgb="FF4472C4"/>
        <rFont val="Intel Clear"/>
      </rPr>
      <t>), and device telemetry.</t>
    </r>
  </si>
  <si>
    <r>
      <t>Describe how your solution supports external data sharing with joint ventures (</t>
    </r>
    <r>
      <rPr>
        <i/>
        <sz val="10"/>
        <color theme="8"/>
        <rFont val="Intel Clear"/>
      </rPr>
      <t>B2B beyond BSC</t>
    </r>
    <r>
      <rPr>
        <sz val="10"/>
        <color theme="8"/>
        <rFont val="Intel Clear"/>
        <family val="2"/>
      </rPr>
      <t>).</t>
    </r>
  </si>
  <si>
    <r>
      <t>Describe how your solution supports API based integration and what protocols are supported (</t>
    </r>
    <r>
      <rPr>
        <i/>
        <sz val="10"/>
        <color theme="8"/>
        <rFont val="Intel Clear"/>
      </rPr>
      <t>e.g., FHIR, REST, SOAP, bulk data API, etc.</t>
    </r>
    <r>
      <rPr>
        <sz val="10"/>
        <color theme="8"/>
        <rFont val="Intel Clear"/>
        <family val="2"/>
      </rPr>
      <t>)</t>
    </r>
  </si>
  <si>
    <t>Describe your support for integrated SSO (OIDC, SAML2.0).
Identify what user roles the solution supports (e.g., administrators, developers, analysts, end users, etc.) and if that is a fixed or dynamic list.
Also, identify what user access tools exist for managing the user roles and users.</t>
  </si>
  <si>
    <r>
      <t>Describe if and how your supports process integration (</t>
    </r>
    <r>
      <rPr>
        <i/>
        <sz val="10"/>
        <color theme="8"/>
        <rFont val="Intel Clear"/>
      </rPr>
      <t>e.g., business process management, robotic process automation, personalization engine, etc.</t>
    </r>
    <r>
      <rPr>
        <sz val="10"/>
        <color theme="8"/>
        <rFont val="Intel Clear"/>
        <family val="2"/>
      </rPr>
      <t>)</t>
    </r>
  </si>
  <si>
    <r>
      <t>Describe how your solution is aligned to security standards (</t>
    </r>
    <r>
      <rPr>
        <i/>
        <sz val="10"/>
        <color theme="8"/>
        <rFont val="Intel Clear"/>
      </rPr>
      <t>e.g., HIPAA/HITECH, O-Auth, PCI, PII, Identity &amp; Access Management, etc.</t>
    </r>
    <r>
      <rPr>
        <sz val="10"/>
        <color theme="8"/>
        <rFont val="Intel Clear"/>
        <family val="2"/>
      </rPr>
      <t>) and include the versions and levels supported of the standards.
Additionaly, please provide a list of certifications you have achieved (</t>
    </r>
    <r>
      <rPr>
        <i/>
        <sz val="10"/>
        <color theme="8"/>
        <rFont val="Intel Clear"/>
      </rPr>
      <t>e.g., SOC, ISO, FedRamp, etc.</t>
    </r>
    <r>
      <rPr>
        <sz val="10"/>
        <color theme="8"/>
        <rFont val="Intel Clear"/>
      </rPr>
      <t>)</t>
    </r>
  </si>
  <si>
    <t>Does the Vendor have WTT  (web tracking technologies) and does it capture or Collect PHI/PCI/PII;  
(If answer YES, VENDOR MUST SIGN A BAA**  refer to legal)</t>
  </si>
  <si>
    <t>Describe how your solution take into consideration secure coding practices and integrity of code repositories, including change management and access to these repositories, and open-source supply chain security</t>
  </si>
  <si>
    <r>
      <t>Describe how your solution ensures logging of and real time response to security events (as described in NIST standard) (</t>
    </r>
    <r>
      <rPr>
        <i/>
        <sz val="10"/>
        <color theme="8"/>
        <rFont val="Intel Clear"/>
      </rPr>
      <t>e.g., SIEM/SOAR, suspicious user activity</t>
    </r>
    <r>
      <rPr>
        <sz val="10"/>
        <color theme="8"/>
        <rFont val="Intel Clear"/>
        <family val="2"/>
      </rPr>
      <t>) and ability to provide these logs for monitoring purposes</t>
    </r>
  </si>
  <si>
    <t>Describe what systems hardening practices and audit controls put in place to ensure integrity of hardening</t>
  </si>
  <si>
    <r>
      <t>Describe support for protecting the data within your solution:
[a] Encryption in motion and at rest
[b] Role based access control (RBAC) including fine-grained access control (</t>
    </r>
    <r>
      <rPr>
        <i/>
        <sz val="10"/>
        <color theme="8"/>
        <rFont val="Intel Clear"/>
      </rPr>
      <t>e.g., row-level, data classification, etc.</t>
    </r>
    <r>
      <rPr>
        <sz val="10"/>
        <color theme="8"/>
        <rFont val="Intel Clear"/>
        <family val="2"/>
      </rPr>
      <t>)
[c] If your solution supports multi-tenancy, describe how you segregate customer data
[d] Describe support for Key Management (</t>
    </r>
    <r>
      <rPr>
        <i/>
        <sz val="10"/>
        <color theme="8"/>
        <rFont val="Intel Clear"/>
      </rPr>
      <t>e.g. segregation, bring your own key</t>
    </r>
    <r>
      <rPr>
        <sz val="10"/>
        <color theme="8"/>
        <rFont val="Intel Clear"/>
      </rPr>
      <t>)</t>
    </r>
  </si>
  <si>
    <r>
      <t>Describe your support for advanced access controls (</t>
    </r>
    <r>
      <rPr>
        <i/>
        <sz val="10"/>
        <color theme="8"/>
        <rFont val="Intel Clear"/>
      </rPr>
      <t>e.g., IP Whitelisting/Blacklisting, Zero-trust Initiatives, conditional access, etc.</t>
    </r>
    <r>
      <rPr>
        <sz val="10"/>
        <color theme="8"/>
        <rFont val="Intel Clear"/>
      </rPr>
      <t>)</t>
    </r>
  </si>
  <si>
    <t>Describe how your solution can help simplify BSC's overall architecture to:
[a] Support a Cloud first mindset
[b] Support Hybrid, Private Cloud, and SaaS models of deployment
[c] Implement Infrastructure as Code (IAC)
[d] Support Container deployment (portability) and Serverless deployment (agility)
[e] Automate provisioning and management of cloud resources via a CI/CD pipeline</t>
  </si>
  <si>
    <r>
      <t>To minimize business outage, describe how your solution provides a mature technology platform that:
[a] Supports high availability &amp; fault tolerance
[b] Provides modular components that can scale (</t>
    </r>
    <r>
      <rPr>
        <i/>
        <sz val="10"/>
        <color theme="8"/>
        <rFont val="Intel Clear"/>
      </rPr>
      <t>manual, dynamic</t>
    </r>
    <r>
      <rPr>
        <sz val="10"/>
        <color theme="8"/>
        <rFont val="Intel Clear"/>
      </rPr>
      <t>)</t>
    </r>
    <r>
      <rPr>
        <sz val="10"/>
        <color theme="8"/>
        <rFont val="Intel Clear"/>
        <family val="2"/>
      </rPr>
      <t xml:space="preserve"> on demand of particular services vs the entire application
[c] Scales storage, network, and users
[d] Has business continuity
[e] And enables Disaster Recovery</t>
    </r>
  </si>
  <si>
    <r>
      <t>Describe your technology:
[a] In support of meeting SLAs (</t>
    </r>
    <r>
      <rPr>
        <i/>
        <sz val="10"/>
        <color theme="8"/>
        <rFont val="Intel Clear"/>
      </rPr>
      <t>e.g., response times, batch operation processing time, query/reporting time, etc.</t>
    </r>
    <r>
      <rPr>
        <sz val="10"/>
        <color theme="8"/>
        <rFont val="Intel Clear"/>
      </rPr>
      <t>)
[b] How the application and its processes are monitored
[c] Data is archived
[e] Support for non-production environments
[f] What your KPI's are</t>
    </r>
  </si>
  <si>
    <t>Can you provide us a list of customers that are of the same size and nature as Blue Shield of California?</t>
  </si>
  <si>
    <t>What are your policies and procedures to ensure the timeline to deploy is acceptable to the key stakeholders which includes product installation, configuration, and any potential custom work to enable the solution?</t>
  </si>
  <si>
    <r>
      <t>Does your solution enable a phased functionality implementation approach (</t>
    </r>
    <r>
      <rPr>
        <i/>
        <sz val="10"/>
        <color theme="8"/>
        <rFont val="Intel Clear"/>
      </rPr>
      <t>example: data pipeline on product can be phased, iterated, agile</t>
    </r>
    <r>
      <rPr>
        <sz val="10"/>
        <color theme="8"/>
        <rFont val="Intel Clear"/>
        <family val="2"/>
      </rPr>
      <t>)?</t>
    </r>
  </si>
  <si>
    <r>
      <t>Describe support for data management for both structured and non-structured data, including data lineage &amp; traceability, data enrichment, integrated data repository, EMR, Claims, DNA, Fitness data, etc.
[a] What is your support for batch file transfer ingres and egress?
[b] What is your support for batch API (</t>
    </r>
    <r>
      <rPr>
        <i/>
        <sz val="10"/>
        <color theme="8"/>
        <rFont val="Intel Clear"/>
      </rPr>
      <t>e.g., standard, HL7, FHIR</t>
    </r>
    <r>
      <rPr>
        <sz val="10"/>
        <color theme="8"/>
        <rFont val="Intel Clear"/>
      </rPr>
      <t>)?
[c] What is your support for Cloud data zero-copy or cloud-to-cloud?</t>
    </r>
  </si>
  <si>
    <t>Describe support for creating a structurally similar but inauthentic version of an organization's data that can be used for purposes such as software testing and user training</t>
  </si>
  <si>
    <t>Describe support of data monitoring that provides the process of proactively reviewing and evaluating data and its quality to ensure that it is fit for purpose. The capability should support to measure and track the data using dashboards, alerts and reports.</t>
  </si>
  <si>
    <t>Describe support for classifying data according to its business value and establish policies to migrate and store data on the appropriate storage tier and, ultimately, remove it altogether</t>
  </si>
  <si>
    <t>Describe support for data quality management activities to ensure data accuracy, accessibility, comprehensiveness, consistency, currency, definition, granularity, precision, relevancy and timeliness.</t>
  </si>
  <si>
    <t>Support for data profiling, test data management, data masking, data lifecycle management, self-service, centralized data management</t>
  </si>
  <si>
    <t>Describe any AI and ML algorithms, techniques, or approaches that are leveraged in your solution/product/service</t>
  </si>
  <si>
    <t>Who owns the learned model and data?</t>
  </si>
  <si>
    <t>In a multi-tenant environment, are the learned models constrained to the specific client, or applied to all clients?</t>
  </si>
  <si>
    <t>What is the main purpose of the Generative AI model?</t>
  </si>
  <si>
    <t>What type of data does the Generative AI model generate?</t>
  </si>
  <si>
    <t>How does the Generative AI model handle different languages?</t>
  </si>
  <si>
    <t>What is the accuracy of the Generative AI model in generating content?</t>
  </si>
  <si>
    <t>How does the Generative AI model ensure the relevance of the generated content?</t>
  </si>
  <si>
    <t>What measures are in place to ensure the safety of the generated content?</t>
  </si>
  <si>
    <t>How does the Generative AI model handle bias in the generated content?</t>
  </si>
  <si>
    <t>What is the response time of the Generative AI model?</t>
  </si>
  <si>
    <t>How does the Generative AI model handle the required volume of requests?</t>
  </si>
  <si>
    <t>What is the scalability of the Generative AI model?</t>
  </si>
  <si>
    <t>How is the Generative AI model maintained and updated?</t>
  </si>
  <si>
    <t>What end to end security measures are in place to protect the data used and generated by the Generative AI model?</t>
  </si>
  <si>
    <t>How does the Generative AI model ensure privacy of the data it handles?</t>
  </si>
  <si>
    <t>Is the data ever stored/accessed outside of the USA?</t>
  </si>
  <si>
    <t>Is the data shared to third parties?</t>
  </si>
  <si>
    <t>What is the cost of using the Generative AI model?</t>
  </si>
  <si>
    <t>How does the Generative AI model integrate with other systems?</t>
  </si>
  <si>
    <t>How does the Generative AI model integrate with our databases etc.?</t>
  </si>
  <si>
    <t>How does the Generative AI model handle errors and exceptions?</t>
  </si>
  <si>
    <t>What is the availability of the Generative AI model (uptime)?</t>
  </si>
  <si>
    <t>What influance does BSC have in the Generative AI model's operation and change processes?</t>
  </si>
  <si>
    <t>Can the Generative AI model be supplemented with BSC data?</t>
  </si>
  <si>
    <t>Does the Generative AI model cite the sources of the response?</t>
  </si>
  <si>
    <t>What support and documentation is available for the Generative AI model?</t>
  </si>
  <si>
    <t>Describe the skillsets required of development and operations teams appropriate to manage the solution.</t>
  </si>
  <si>
    <r>
      <t>Please describe your software development methodology:
[a] How will the solution be delivered i.e. software development methodology (</t>
    </r>
    <r>
      <rPr>
        <i/>
        <sz val="10"/>
        <color theme="8"/>
        <rFont val="Intel Clear"/>
      </rPr>
      <t>e.g. Agile, DevOps,  Waterfall,  etc.</t>
    </r>
    <r>
      <rPr>
        <sz val="10"/>
        <color theme="8"/>
        <rFont val="Intel Clear"/>
      </rPr>
      <t>)
[b] Describe your testing practices, manual vs automated, tooling, and test process</t>
    </r>
  </si>
  <si>
    <r>
      <t>Does your solution have any deployable components?
[a] Where can the components be deployed (</t>
    </r>
    <r>
      <rPr>
        <i/>
        <sz val="10"/>
        <color theme="8"/>
        <rFont val="Intel Clear"/>
      </rPr>
      <t>e.g., desktop, on-premises, cloud, etc.</t>
    </r>
    <r>
      <rPr>
        <sz val="10"/>
        <color theme="8"/>
        <rFont val="Intel Clear"/>
      </rPr>
      <t>)
[b] Describe if and how the components can be deployed (</t>
    </r>
    <r>
      <rPr>
        <i/>
        <sz val="10"/>
        <color theme="8"/>
        <rFont val="Intel Clear"/>
      </rPr>
      <t>installed and configured</t>
    </r>
    <r>
      <rPr>
        <sz val="10"/>
        <color theme="8"/>
        <rFont val="Intel Clear"/>
      </rPr>
      <t>) with low/no-touch methods (</t>
    </r>
    <r>
      <rPr>
        <i/>
        <sz val="10"/>
        <color theme="8"/>
        <rFont val="Intel Clear"/>
      </rPr>
      <t>e.g., Ansible, CLI with configuration file, containerization, virtual machine, etc.</t>
    </r>
    <r>
      <rPr>
        <sz val="10"/>
        <color theme="8"/>
        <rFont val="Intel Clear"/>
      </rPr>
      <t>)
[c] If the solution contains both application and database components, must they be deployed side-by-side, or can they be separated?
[d] If the solution contains a database component, can it use a cloud equivalent database?</t>
    </r>
  </si>
  <si>
    <t>Does the solution have ability to support streamlined migrations, including n-1 upgrades.
Outline any technologies that are older/contained and due for upgrades.</t>
  </si>
  <si>
    <r>
      <t>Does your solution have non-production environments (</t>
    </r>
    <r>
      <rPr>
        <i/>
        <sz val="10"/>
        <color theme="8"/>
        <rFont val="Intel Clear"/>
      </rPr>
      <t>e.g., Demo, Sandbox, Test, UAT, Certification</t>
    </r>
    <r>
      <rPr>
        <sz val="10"/>
        <color theme="8"/>
        <rFont val="Intel Clear"/>
      </rPr>
      <t>) to enable demo, development, and testing of partner data integrations.</t>
    </r>
  </si>
  <si>
    <t>Describe your ability to support 24x7x365 monitoring and maintenance of the software, security, and infrastructure.</t>
  </si>
  <si>
    <t>What are the average monthly defects and customer support tickets logged within the past 24 months.</t>
  </si>
  <si>
    <t>Observability and Incident Response Program:
[a] Describe your Observability and Incident Response Program
[b] Describe how your product integrates with Observability platforms.
[c] Describe how your product interacts with SIEM tools.</t>
  </si>
  <si>
    <t xml:space="preserve">Vendor Functional </t>
  </si>
  <si>
    <t>Functional Category 1: Criteria 1</t>
  </si>
  <si>
    <t>Functional Category 1: Criteria 2</t>
  </si>
  <si>
    <t>Functional Category 1: Criteria 3</t>
  </si>
  <si>
    <t>Functional Category 1: Criteria 4</t>
  </si>
  <si>
    <t>Functional Category 2: Criteria 1</t>
  </si>
  <si>
    <t>Functional Category 2: Criteria 2</t>
  </si>
  <si>
    <t>Functional Category 2: Criteria 3</t>
  </si>
  <si>
    <t>Functional Category 2: Criteria 4</t>
  </si>
  <si>
    <t>Functional Category 3: Criteria 1</t>
  </si>
  <si>
    <t>Functional Category 3: Criteria 2</t>
  </si>
  <si>
    <t>Functional Category 3: Criteria 3</t>
  </si>
  <si>
    <t>Functional Category 3: Criteria 4</t>
  </si>
  <si>
    <t>Functional Category 4: Criteria 1</t>
  </si>
  <si>
    <t>Functional Category 4: Criteria 2</t>
  </si>
  <si>
    <t>Functional Category 4: Criteria 3</t>
  </si>
  <si>
    <t>Functional Category 4: Criteria 4</t>
  </si>
  <si>
    <t>Functional Category 5: Criteria 1</t>
  </si>
  <si>
    <t>Functional Category 5: Criteria 2</t>
  </si>
  <si>
    <t>Functional Category 5: Criteria 3</t>
  </si>
  <si>
    <t>Functional Category 5: Criteria 4</t>
  </si>
  <si>
    <t>Relative Cost</t>
  </si>
  <si>
    <t>Anticipated platform procurement costs: see below</t>
  </si>
  <si>
    <t>Anticipated professional services costs (vendor): see below</t>
  </si>
  <si>
    <t>Other anticipated implementation costs (BSC business + IT)</t>
  </si>
  <si>
    <t>Anticipated platform maintenance costs are less than or equivalent to current platform maintenance costs</t>
  </si>
  <si>
    <t>Anticipated professional services are less than or equivalent to current professional services costs 6 months after implementation</t>
  </si>
  <si>
    <t>Anticipated "other" maintenance costs are less than or equivalent to current software maintenance costs</t>
  </si>
  <si>
    <t>Solution enables / aids component reuse to drive up efficiencies over time</t>
  </si>
  <si>
    <t>Solution enables / aids productivity gains to drive up efficiencies over time</t>
  </si>
  <si>
    <t>Compare the solutions against one another:</t>
  </si>
  <si>
    <t>* Most cost effective: 5</t>
  </si>
  <si>
    <t>* Next most cost effective: 3</t>
  </si>
  <si>
    <t>* Least cost effective: 1</t>
  </si>
  <si>
    <t>Qualitative Hinge Factors</t>
  </si>
  <si>
    <t>Specialized resources required from vendors: (1 - significant; 3 - moderate; 5 - minimal)</t>
  </si>
  <si>
    <t>Level of expertise required in-house: (1 - significant; 3 - moderate; 5 - minimal)</t>
  </si>
  <si>
    <t>Summary Score</t>
  </si>
  <si>
    <t>Technology Solution 1</t>
  </si>
  <si>
    <t>Technology Solution 2</t>
  </si>
  <si>
    <t>Technology Solution 3</t>
  </si>
  <si>
    <t>Technology Solution 4</t>
  </si>
  <si>
    <t>Technology Solution 5</t>
  </si>
  <si>
    <t>Technology Solution 6</t>
  </si>
  <si>
    <t>Max Score</t>
  </si>
  <si>
    <t>Avg. Score</t>
  </si>
  <si>
    <t>% of Max Score</t>
  </si>
  <si>
    <t>Platform Functional</t>
  </si>
  <si>
    <t>Hinge Factors</t>
  </si>
  <si>
    <t>Items</t>
  </si>
  <si>
    <t>User Experience &amp; Design</t>
  </si>
  <si>
    <t>Integration &amp; Interoperability</t>
  </si>
  <si>
    <t>Security</t>
  </si>
  <si>
    <t>Architectural Alignment</t>
  </si>
  <si>
    <t>Implementation Timeline</t>
  </si>
  <si>
    <t>Data and Analytics</t>
  </si>
  <si>
    <t>Artificial Intelligence &amp; Machine Learning</t>
  </si>
  <si>
    <t>Generative AI (Situational Criteria)</t>
  </si>
  <si>
    <t>Service Management</t>
  </si>
  <si>
    <t>Vendor Functional</t>
  </si>
  <si>
    <t>Functional Category 1</t>
  </si>
  <si>
    <t>Functional Category 2</t>
  </si>
  <si>
    <t>Functional Category 3</t>
  </si>
  <si>
    <t>Functional Category 4</t>
  </si>
  <si>
    <t>Functional Category 5</t>
  </si>
  <si>
    <t>Efficiencies</t>
  </si>
  <si>
    <t>Recurring Cost of Change</t>
  </si>
  <si>
    <t>Total Cost to Change</t>
  </si>
  <si>
    <t>Qualitative "Hinge Factors"</t>
  </si>
  <si>
    <t>Expert Resource Availability</t>
  </si>
  <si>
    <t>PLACEHOLDER 1</t>
  </si>
  <si>
    <t>PLACEHOLDER 2</t>
  </si>
  <si>
    <t>PLACEHOLDER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</si>
</sst>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
  </numFmts>
  <fonts count="29">
    <font>
      <sz val="10"/>
      <name val="Intel Clear"/>
      <family val="2"/>
    </font>
    <font>
      <sz val="10"/>
      <name val="Arial"/>
      <family val="2"/>
    </font>
    <font>
      <sz val="8"/>
      <name val="Arial"/>
      <family val="2"/>
    </font>
    <font>
      <sz val="10"/>
      <name val="Intel Clear"/>
      <family val="2"/>
    </font>
    <font>
      <b/>
      <sz val="10"/>
      <name val="Intel Clear"/>
      <family val="2"/>
    </font>
    <font>
      <i/>
      <sz val="8"/>
      <color indexed="12"/>
      <name val="Intel Clear"/>
      <family val="2"/>
    </font>
    <font>
      <sz val="9"/>
      <name val="Intel Clear"/>
      <family val="2"/>
    </font>
    <font>
      <b/>
      <sz val="9"/>
      <name val="Intel Clear"/>
      <family val="2"/>
    </font>
    <font>
      <b/>
      <sz val="10"/>
      <color indexed="12"/>
      <name val="Intel Clear"/>
      <family val="2"/>
    </font>
    <font>
      <sz val="8"/>
      <name val="Intel Clear"/>
      <family val="2"/>
    </font>
    <font>
      <b/>
      <sz val="10"/>
      <name val="Intel Clear"/>
    </font>
    <font>
      <b/>
      <sz val="10"/>
      <color indexed="9"/>
      <name val="Intel Clear"/>
    </font>
    <font>
      <b/>
      <sz val="9"/>
      <name val="Intel Clear"/>
    </font>
    <font>
      <b/>
      <sz val="9"/>
      <color indexed="9"/>
      <name val="Intel Clear"/>
    </font>
    <font>
      <b/>
      <sz val="10"/>
      <color theme="9"/>
      <name val="Intel Clear"/>
      <family val="2"/>
    </font>
    <font>
      <b/>
      <sz val="10"/>
      <color theme="5"/>
      <name val="Intel Clear"/>
      <family val="2"/>
    </font>
    <font>
      <sz val="10"/>
      <color theme="1"/>
      <name val="Intel Clear"/>
      <family val="2"/>
    </font>
    <font>
      <b/>
      <sz val="10"/>
      <color theme="0" tint="-0.34998626667073579"/>
      <name val="Intel Clear"/>
      <family val="2"/>
    </font>
    <font>
      <b/>
      <sz val="9"/>
      <color rgb="FF0070C0"/>
      <name val="Intel Clear"/>
      <family val="2"/>
    </font>
    <font>
      <sz val="10"/>
      <color theme="8"/>
      <name val="Intel Clear"/>
      <family val="2"/>
    </font>
    <font>
      <sz val="9"/>
      <color theme="8"/>
      <name val="Intel Clear"/>
      <family val="2"/>
    </font>
    <font>
      <sz val="10"/>
      <color theme="8"/>
      <name val="Intel Clear"/>
    </font>
    <font>
      <b/>
      <sz val="10"/>
      <color theme="1"/>
      <name val="Intel Clear"/>
      <family val="2"/>
    </font>
    <font>
      <sz val="10"/>
      <color rgb="FF4472C4"/>
      <name val="Intel Clear"/>
    </font>
    <font>
      <sz val="10"/>
      <name val="Intel Clear"/>
    </font>
    <font>
      <b/>
      <sz val="10"/>
      <color rgb="FF0000FF"/>
      <name val="Intel Clear"/>
      <family val="2"/>
    </font>
    <font>
      <i/>
      <sz val="10"/>
      <color theme="8"/>
      <name val="Intel Clear"/>
    </font>
    <font>
      <i/>
      <sz val="10"/>
      <color rgb="FF4472C4"/>
      <name val="Intel Clear"/>
    </font>
    <font>
      <sz val="10"/>
      <color theme="4" tint="-0.249977111117893"/>
      <name val="Intel clear"/>
    </font>
  </fonts>
  <fills count="16">
    <fill>
      <patternFill patternType="none"/>
    </fill>
    <fill>
      <patternFill patternType="gray125"/>
    </fill>
    <fill>
      <patternFill patternType="solid">
        <fgColor indexed="9"/>
        <bgColor indexed="64"/>
      </patternFill>
    </fill>
    <fill>
      <patternFill patternType="solid">
        <fgColor indexed="43"/>
        <bgColor indexed="64"/>
      </patternFill>
    </fill>
    <fill>
      <patternFill patternType="solid">
        <fgColor indexed="22"/>
        <bgColor indexed="64"/>
      </patternFill>
    </fill>
    <fill>
      <patternFill patternType="solid">
        <fgColor indexed="42"/>
        <bgColor indexed="64"/>
      </patternFill>
    </fill>
    <fill>
      <patternFill patternType="solid">
        <fgColor indexed="47"/>
        <bgColor indexed="64"/>
      </patternFill>
    </fill>
    <fill>
      <patternFill patternType="solid">
        <fgColor theme="0" tint="-0.249977111117893"/>
        <bgColor indexed="64"/>
      </patternFill>
    </fill>
    <fill>
      <patternFill patternType="solid">
        <fgColor theme="5"/>
        <bgColor indexed="64"/>
      </patternFill>
    </fill>
    <fill>
      <patternFill patternType="solid">
        <fgColor theme="9"/>
        <bgColor indexed="64"/>
      </patternFill>
    </fill>
    <fill>
      <patternFill patternType="solid">
        <fgColor theme="8"/>
        <bgColor indexed="64"/>
      </patternFill>
    </fill>
    <fill>
      <patternFill patternType="solid">
        <fgColor theme="6"/>
        <bgColor indexed="64"/>
      </patternFill>
    </fill>
    <fill>
      <patternFill patternType="solid">
        <fgColor rgb="FFFFFFFF"/>
        <bgColor rgb="FF000000"/>
      </patternFill>
    </fill>
    <fill>
      <patternFill patternType="solid">
        <fgColor rgb="FFC0C0C0"/>
        <bgColor indexed="64"/>
      </patternFill>
    </fill>
    <fill>
      <patternFill patternType="solid">
        <fgColor rgb="FF7030A0"/>
        <bgColor indexed="64"/>
      </patternFill>
    </fill>
    <fill>
      <patternFill patternType="solid">
        <fgColor rgb="FFFFFF00"/>
        <bgColor indexed="64"/>
      </patternFill>
    </fill>
  </fills>
  <borders count="31">
    <border>
      <left/>
      <right/>
      <top/>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top style="medium">
        <color indexed="64"/>
      </top>
      <bottom style="thin">
        <color indexed="64"/>
      </bottom>
      <diagonal/>
    </border>
    <border>
      <left/>
      <right/>
      <top/>
      <bottom style="double">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style="thin">
        <color indexed="64"/>
      </top>
      <bottom style="double">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s>
  <cellStyleXfs count="2">
    <xf numFmtId="0" fontId="0" fillId="0" borderId="0"/>
    <xf numFmtId="9" fontId="1" fillId="0" borderId="0" applyFont="0" applyFill="0" applyBorder="0" applyAlignment="0" applyProtection="0"/>
  </cellStyleXfs>
  <cellXfs count="150">
    <xf numFmtId="0" fontId="0" fillId="0" borderId="0" xfId="0"/>
    <xf numFmtId="0" fontId="3" fillId="2" borderId="0" xfId="0" applyFont="1" applyFill="1" applyAlignment="1">
      <alignment horizontal="right"/>
    </xf>
    <xf numFmtId="14" fontId="3" fillId="2" borderId="1" xfId="0" applyNumberFormat="1" applyFont="1" applyFill="1" applyBorder="1"/>
    <xf numFmtId="0" fontId="3" fillId="2" borderId="0" xfId="0" applyFont="1" applyFill="1"/>
    <xf numFmtId="0" fontId="3" fillId="2" borderId="0" xfId="0" applyFont="1" applyFill="1" applyAlignment="1">
      <alignment horizontal="center"/>
    </xf>
    <xf numFmtId="0" fontId="3" fillId="2" borderId="2" xfId="0" applyFont="1" applyFill="1" applyBorder="1"/>
    <xf numFmtId="9" fontId="5" fillId="2" borderId="5" xfId="1" applyFont="1" applyFill="1" applyBorder="1" applyAlignment="1">
      <alignment horizontal="center" vertical="top" wrapText="1"/>
    </xf>
    <xf numFmtId="0" fontId="3" fillId="2" borderId="7" xfId="0" applyFont="1" applyFill="1" applyBorder="1" applyAlignment="1">
      <alignment horizontal="center"/>
    </xf>
    <xf numFmtId="164" fontId="3" fillId="2" borderId="8" xfId="0" applyNumberFormat="1" applyFont="1" applyFill="1" applyBorder="1" applyAlignment="1">
      <alignment horizontal="center"/>
    </xf>
    <xf numFmtId="9" fontId="3" fillId="2" borderId="8" xfId="0" applyNumberFormat="1" applyFont="1" applyFill="1" applyBorder="1" applyAlignment="1">
      <alignment horizontal="center"/>
    </xf>
    <xf numFmtId="0" fontId="4" fillId="2" borderId="0" xfId="0" applyFont="1" applyFill="1"/>
    <xf numFmtId="0" fontId="3" fillId="3" borderId="6" xfId="0" applyFont="1" applyFill="1" applyBorder="1" applyAlignment="1">
      <alignment horizontal="center"/>
    </xf>
    <xf numFmtId="0" fontId="3" fillId="3" borderId="9" xfId="0" applyFont="1" applyFill="1" applyBorder="1" applyAlignment="1">
      <alignment horizontal="center"/>
    </xf>
    <xf numFmtId="165" fontId="3" fillId="2" borderId="5" xfId="0" applyNumberFormat="1" applyFont="1" applyFill="1" applyBorder="1" applyAlignment="1">
      <alignment horizontal="center"/>
    </xf>
    <xf numFmtId="4" fontId="3" fillId="2" borderId="6" xfId="0" applyNumberFormat="1" applyFont="1" applyFill="1" applyBorder="1" applyAlignment="1">
      <alignment horizontal="center"/>
    </xf>
    <xf numFmtId="166" fontId="3" fillId="6" borderId="9" xfId="1" applyNumberFormat="1" applyFont="1" applyFill="1" applyBorder="1" applyAlignment="1">
      <alignment horizontal="center"/>
    </xf>
    <xf numFmtId="165" fontId="3" fillId="2" borderId="10" xfId="0" applyNumberFormat="1" applyFont="1" applyFill="1" applyBorder="1" applyAlignment="1">
      <alignment horizontal="center"/>
    </xf>
    <xf numFmtId="4" fontId="3" fillId="2" borderId="11" xfId="0" applyNumberFormat="1" applyFont="1" applyFill="1" applyBorder="1" applyAlignment="1">
      <alignment horizontal="center"/>
    </xf>
    <xf numFmtId="166" fontId="3" fillId="6" borderId="12" xfId="1" applyNumberFormat="1" applyFont="1" applyFill="1" applyBorder="1" applyAlignment="1">
      <alignment horizontal="center"/>
    </xf>
    <xf numFmtId="0" fontId="3" fillId="2" borderId="1" xfId="0" applyFont="1" applyFill="1" applyBorder="1" applyAlignment="1">
      <alignment horizontal="center"/>
    </xf>
    <xf numFmtId="165" fontId="3" fillId="2" borderId="1" xfId="0" applyNumberFormat="1" applyFont="1" applyFill="1" applyBorder="1" applyAlignment="1">
      <alignment horizontal="center"/>
    </xf>
    <xf numFmtId="9" fontId="3" fillId="2" borderId="13" xfId="0" applyNumberFormat="1" applyFont="1" applyFill="1" applyBorder="1" applyAlignment="1">
      <alignment horizontal="center"/>
    </xf>
    <xf numFmtId="164" fontId="3" fillId="2" borderId="0" xfId="0" applyNumberFormat="1" applyFont="1" applyFill="1" applyAlignment="1">
      <alignment horizontal="center"/>
    </xf>
    <xf numFmtId="0" fontId="3" fillId="2" borderId="14" xfId="0" applyFont="1" applyFill="1" applyBorder="1"/>
    <xf numFmtId="0" fontId="3" fillId="2" borderId="15" xfId="0" applyFont="1" applyFill="1" applyBorder="1" applyAlignment="1">
      <alignment horizontal="center"/>
    </xf>
    <xf numFmtId="0" fontId="3" fillId="2" borderId="15" xfId="0" applyFont="1" applyFill="1" applyBorder="1"/>
    <xf numFmtId="0" fontId="3" fillId="2" borderId="16" xfId="0" applyFont="1" applyFill="1" applyBorder="1"/>
    <xf numFmtId="0" fontId="3" fillId="2" borderId="17" xfId="0" applyFont="1" applyFill="1" applyBorder="1"/>
    <xf numFmtId="0" fontId="3" fillId="2" borderId="18" xfId="0" applyFont="1" applyFill="1" applyBorder="1"/>
    <xf numFmtId="0" fontId="3" fillId="2" borderId="9" xfId="0" applyFont="1" applyFill="1" applyBorder="1" applyAlignment="1">
      <alignment horizontal="center"/>
    </xf>
    <xf numFmtId="0" fontId="3" fillId="2" borderId="19" xfId="0" applyFont="1" applyFill="1" applyBorder="1"/>
    <xf numFmtId="0" fontId="3" fillId="2" borderId="20" xfId="0" applyFont="1" applyFill="1" applyBorder="1" applyAlignment="1">
      <alignment horizontal="center"/>
    </xf>
    <xf numFmtId="0" fontId="3" fillId="2" borderId="20" xfId="0" applyFont="1" applyFill="1" applyBorder="1"/>
    <xf numFmtId="0" fontId="3" fillId="2" borderId="21" xfId="0" applyFont="1" applyFill="1" applyBorder="1"/>
    <xf numFmtId="0" fontId="0" fillId="2" borderId="6" xfId="0" applyFill="1" applyBorder="1"/>
    <xf numFmtId="0" fontId="0" fillId="2" borderId="0" xfId="0" applyFill="1"/>
    <xf numFmtId="0" fontId="6" fillId="2" borderId="0" xfId="0" applyFont="1" applyFill="1"/>
    <xf numFmtId="0" fontId="6" fillId="2" borderId="0" xfId="0" applyFont="1" applyFill="1" applyAlignment="1">
      <alignment horizontal="center"/>
    </xf>
    <xf numFmtId="0" fontId="6" fillId="2" borderId="0" xfId="0" applyFont="1" applyFill="1" applyAlignment="1">
      <alignment wrapText="1"/>
    </xf>
    <xf numFmtId="0" fontId="6" fillId="2" borderId="0" xfId="0" applyFont="1" applyFill="1" applyAlignment="1">
      <alignment horizontal="right"/>
    </xf>
    <xf numFmtId="14" fontId="6" fillId="2" borderId="1" xfId="0" applyNumberFormat="1" applyFont="1" applyFill="1" applyBorder="1"/>
    <xf numFmtId="0" fontId="6" fillId="2" borderId="2" xfId="0" applyFont="1" applyFill="1" applyBorder="1"/>
    <xf numFmtId="0" fontId="6" fillId="3" borderId="3" xfId="0" applyFont="1" applyFill="1" applyBorder="1" applyAlignment="1">
      <alignment horizontal="center"/>
    </xf>
    <xf numFmtId="0" fontId="6" fillId="2" borderId="1" xfId="0" applyFont="1" applyFill="1" applyBorder="1" applyAlignment="1">
      <alignment horizontal="center"/>
    </xf>
    <xf numFmtId="164" fontId="6" fillId="2" borderId="13" xfId="0" applyNumberFormat="1" applyFont="1" applyFill="1" applyBorder="1" applyAlignment="1">
      <alignment horizontal="center"/>
    </xf>
    <xf numFmtId="0" fontId="14" fillId="2" borderId="0" xfId="0" applyFont="1" applyFill="1"/>
    <xf numFmtId="0" fontId="15" fillId="2" borderId="0" xfId="0" applyFont="1" applyFill="1"/>
    <xf numFmtId="0" fontId="0" fillId="2" borderId="11" xfId="0" applyFill="1" applyBorder="1"/>
    <xf numFmtId="0" fontId="4" fillId="3" borderId="4" xfId="0" applyFont="1" applyFill="1" applyBorder="1" applyAlignment="1">
      <alignment horizontal="center"/>
    </xf>
    <xf numFmtId="0" fontId="4" fillId="3" borderId="22" xfId="0" applyFont="1" applyFill="1" applyBorder="1" applyAlignment="1">
      <alignment horizontal="center"/>
    </xf>
    <xf numFmtId="0" fontId="4" fillId="3" borderId="23" xfId="0" applyFont="1" applyFill="1" applyBorder="1" applyAlignment="1">
      <alignment horizontal="center"/>
    </xf>
    <xf numFmtId="0" fontId="0" fillId="2" borderId="9" xfId="0" applyFill="1" applyBorder="1" applyAlignment="1">
      <alignment horizontal="left" indent="1"/>
    </xf>
    <xf numFmtId="9" fontId="3" fillId="2" borderId="9" xfId="0" applyNumberFormat="1" applyFont="1" applyFill="1" applyBorder="1" applyAlignment="1">
      <alignment horizontal="center"/>
    </xf>
    <xf numFmtId="9" fontId="16" fillId="2" borderId="9" xfId="1" applyFont="1" applyFill="1" applyBorder="1" applyAlignment="1">
      <alignment horizontal="center"/>
    </xf>
    <xf numFmtId="9" fontId="16" fillId="2" borderId="12" xfId="1" applyFont="1" applyFill="1" applyBorder="1" applyAlignment="1">
      <alignment horizontal="center"/>
    </xf>
    <xf numFmtId="9" fontId="8" fillId="4" borderId="23" xfId="1" applyFont="1" applyFill="1" applyBorder="1" applyAlignment="1">
      <alignment horizontal="center"/>
    </xf>
    <xf numFmtId="9" fontId="8" fillId="4" borderId="5" xfId="1" applyFont="1" applyFill="1" applyBorder="1" applyAlignment="1">
      <alignment horizontal="center"/>
    </xf>
    <xf numFmtId="2" fontId="3" fillId="2" borderId="6" xfId="0" applyNumberFormat="1" applyFont="1" applyFill="1" applyBorder="1" applyAlignment="1">
      <alignment horizontal="center"/>
    </xf>
    <xf numFmtId="0" fontId="3" fillId="2" borderId="9" xfId="0" applyFont="1" applyFill="1" applyBorder="1" applyAlignment="1">
      <alignment horizontal="left" vertical="top" wrapText="1"/>
    </xf>
    <xf numFmtId="0" fontId="4" fillId="4" borderId="9" xfId="0" applyFont="1" applyFill="1" applyBorder="1" applyAlignment="1">
      <alignment wrapText="1"/>
    </xf>
    <xf numFmtId="0" fontId="0" fillId="0" borderId="9" xfId="0" applyBorder="1" applyAlignment="1">
      <alignment horizontal="left" vertical="top" wrapText="1"/>
    </xf>
    <xf numFmtId="0" fontId="3" fillId="0" borderId="9" xfId="0" applyFont="1" applyBorder="1" applyAlignment="1">
      <alignment horizontal="left" vertical="top" wrapText="1"/>
    </xf>
    <xf numFmtId="2" fontId="3" fillId="2" borderId="9" xfId="0" applyNumberFormat="1" applyFont="1" applyFill="1" applyBorder="1" applyAlignment="1">
      <alignment horizontal="center"/>
    </xf>
    <xf numFmtId="2" fontId="3" fillId="2" borderId="12" xfId="0" applyNumberFormat="1" applyFont="1" applyFill="1" applyBorder="1" applyAlignment="1">
      <alignment horizontal="center"/>
    </xf>
    <xf numFmtId="0" fontId="7" fillId="4" borderId="4" xfId="0" applyFont="1" applyFill="1" applyBorder="1" applyAlignment="1">
      <alignment wrapText="1"/>
    </xf>
    <xf numFmtId="0" fontId="7" fillId="4" borderId="6" xfId="0" applyFont="1" applyFill="1" applyBorder="1" applyAlignment="1">
      <alignment wrapText="1"/>
    </xf>
    <xf numFmtId="0" fontId="0" fillId="6" borderId="9" xfId="0" applyFill="1" applyBorder="1" applyAlignment="1">
      <alignment horizontal="center" wrapText="1"/>
    </xf>
    <xf numFmtId="0" fontId="4" fillId="8" borderId="9" xfId="0" applyFont="1" applyFill="1" applyBorder="1"/>
    <xf numFmtId="0" fontId="4" fillId="8" borderId="9" xfId="0" applyFont="1" applyFill="1" applyBorder="1" applyAlignment="1">
      <alignment horizontal="center"/>
    </xf>
    <xf numFmtId="0" fontId="4" fillId="9" borderId="9" xfId="0" applyFont="1" applyFill="1" applyBorder="1"/>
    <xf numFmtId="0" fontId="4" fillId="9" borderId="9" xfId="0" applyFont="1" applyFill="1" applyBorder="1" applyAlignment="1">
      <alignment horizontal="center"/>
    </xf>
    <xf numFmtId="0" fontId="4" fillId="10" borderId="9" xfId="0" applyFont="1" applyFill="1" applyBorder="1"/>
    <xf numFmtId="0" fontId="4" fillId="10" borderId="9" xfId="0" applyFont="1" applyFill="1" applyBorder="1" applyAlignment="1">
      <alignment horizontal="center"/>
    </xf>
    <xf numFmtId="0" fontId="4" fillId="11" borderId="9" xfId="0" applyFont="1" applyFill="1" applyBorder="1"/>
    <xf numFmtId="0" fontId="4" fillId="11" borderId="9" xfId="0" applyFont="1" applyFill="1" applyBorder="1" applyAlignment="1">
      <alignment horizontal="center"/>
    </xf>
    <xf numFmtId="166" fontId="4" fillId="0" borderId="12" xfId="1" applyNumberFormat="1" applyFont="1" applyFill="1" applyBorder="1" applyAlignment="1">
      <alignment horizontal="center"/>
    </xf>
    <xf numFmtId="0" fontId="17" fillId="2" borderId="0" xfId="0" applyFont="1" applyFill="1"/>
    <xf numFmtId="0" fontId="18" fillId="2" borderId="0" xfId="0" applyFont="1" applyFill="1"/>
    <xf numFmtId="164" fontId="4" fillId="4" borderId="22" xfId="0" applyNumberFormat="1" applyFont="1" applyFill="1" applyBorder="1" applyAlignment="1">
      <alignment horizontal="center"/>
    </xf>
    <xf numFmtId="0" fontId="9" fillId="2" borderId="0" xfId="0" applyFont="1" applyFill="1"/>
    <xf numFmtId="0" fontId="3" fillId="2" borderId="9" xfId="0" applyFont="1" applyFill="1" applyBorder="1" applyAlignment="1">
      <alignment wrapText="1"/>
    </xf>
    <xf numFmtId="0" fontId="0" fillId="2" borderId="9" xfId="0" applyFill="1" applyBorder="1" applyAlignment="1">
      <alignment wrapText="1"/>
    </xf>
    <xf numFmtId="0" fontId="0" fillId="2" borderId="9" xfId="0" applyFill="1" applyBorder="1" applyAlignment="1">
      <alignment horizontal="center"/>
    </xf>
    <xf numFmtId="0" fontId="9" fillId="2" borderId="0" xfId="0" applyFont="1" applyFill="1" applyAlignment="1">
      <alignment horizontal="right"/>
    </xf>
    <xf numFmtId="0" fontId="9" fillId="2" borderId="0" xfId="0" applyFont="1" applyFill="1" applyAlignment="1">
      <alignment wrapText="1"/>
    </xf>
    <xf numFmtId="0" fontId="20" fillId="2" borderId="6" xfId="0" applyFont="1" applyFill="1" applyBorder="1" applyAlignment="1">
      <alignment horizontal="left" vertical="top" wrapText="1"/>
    </xf>
    <xf numFmtId="0" fontId="10" fillId="2" borderId="0" xfId="0" applyFont="1" applyFill="1" applyAlignment="1">
      <alignment horizontal="center"/>
    </xf>
    <xf numFmtId="164" fontId="10" fillId="4" borderId="9" xfId="0" applyNumberFormat="1" applyFont="1" applyFill="1" applyBorder="1" applyAlignment="1">
      <alignment horizontal="center"/>
    </xf>
    <xf numFmtId="0" fontId="10" fillId="5" borderId="9" xfId="0" applyFont="1" applyFill="1" applyBorder="1" applyAlignment="1">
      <alignment horizontal="center" vertical="top" wrapText="1"/>
    </xf>
    <xf numFmtId="164" fontId="10" fillId="2" borderId="8" xfId="0" applyNumberFormat="1" applyFont="1" applyFill="1" applyBorder="1" applyAlignment="1">
      <alignment horizontal="center"/>
    </xf>
    <xf numFmtId="0" fontId="11" fillId="2" borderId="0" xfId="0" applyFont="1" applyFill="1" applyAlignment="1">
      <alignment horizontal="center"/>
    </xf>
    <xf numFmtId="0" fontId="12" fillId="2" borderId="0" xfId="0" applyFont="1" applyFill="1" applyAlignment="1">
      <alignment horizontal="center"/>
    </xf>
    <xf numFmtId="0" fontId="12" fillId="5" borderId="9" xfId="0" applyFont="1" applyFill="1" applyBorder="1" applyAlignment="1">
      <alignment horizontal="center" vertical="top" wrapText="1"/>
    </xf>
    <xf numFmtId="0" fontId="12" fillId="2" borderId="1" xfId="0" applyFont="1" applyFill="1" applyBorder="1" applyAlignment="1">
      <alignment horizontal="center"/>
    </xf>
    <xf numFmtId="164" fontId="12" fillId="2" borderId="13" xfId="0" applyNumberFormat="1" applyFont="1" applyFill="1" applyBorder="1" applyAlignment="1">
      <alignment horizontal="center"/>
    </xf>
    <xf numFmtId="0" fontId="13" fillId="2" borderId="0" xfId="0" applyFont="1" applyFill="1" applyAlignment="1">
      <alignment horizontal="center"/>
    </xf>
    <xf numFmtId="1" fontId="10" fillId="5" borderId="9" xfId="0" applyNumberFormat="1" applyFont="1" applyFill="1" applyBorder="1" applyAlignment="1">
      <alignment horizontal="center" vertical="top" wrapText="1"/>
    </xf>
    <xf numFmtId="164" fontId="10" fillId="2" borderId="0" xfId="0" applyNumberFormat="1" applyFont="1" applyFill="1" applyAlignment="1">
      <alignment horizontal="center"/>
    </xf>
    <xf numFmtId="9" fontId="5" fillId="0" borderId="5" xfId="1" applyFont="1" applyFill="1" applyBorder="1" applyAlignment="1">
      <alignment horizontal="center" vertical="top" wrapText="1"/>
    </xf>
    <xf numFmtId="9" fontId="8" fillId="13" borderId="23" xfId="1" applyFont="1" applyFill="1" applyBorder="1" applyAlignment="1">
      <alignment horizontal="center"/>
    </xf>
    <xf numFmtId="0" fontId="0" fillId="0" borderId="9" xfId="0" applyBorder="1" applyAlignment="1">
      <alignment horizontal="left" indent="1"/>
    </xf>
    <xf numFmtId="9" fontId="3" fillId="0" borderId="9" xfId="0" applyNumberFormat="1" applyFont="1" applyBorder="1" applyAlignment="1">
      <alignment horizontal="center"/>
    </xf>
    <xf numFmtId="0" fontId="3" fillId="0" borderId="9" xfId="0" applyFont="1" applyBorder="1" applyAlignment="1">
      <alignment horizontal="center"/>
    </xf>
    <xf numFmtId="1" fontId="3" fillId="2" borderId="9" xfId="0" applyNumberFormat="1" applyFont="1" applyFill="1" applyBorder="1" applyAlignment="1">
      <alignment horizontal="center"/>
    </xf>
    <xf numFmtId="0" fontId="24" fillId="4" borderId="9" xfId="0" applyFont="1" applyFill="1" applyBorder="1" applyAlignment="1">
      <alignment wrapText="1"/>
    </xf>
    <xf numFmtId="14" fontId="3" fillId="2" borderId="0" xfId="0" applyNumberFormat="1" applyFont="1" applyFill="1"/>
    <xf numFmtId="0" fontId="3" fillId="3" borderId="14" xfId="0" applyFont="1" applyFill="1" applyBorder="1" applyAlignment="1">
      <alignment horizontal="center"/>
    </xf>
    <xf numFmtId="0" fontId="22" fillId="7" borderId="24" xfId="0" applyFont="1" applyFill="1" applyBorder="1" applyAlignment="1">
      <alignment wrapText="1"/>
    </xf>
    <xf numFmtId="0" fontId="19" fillId="12" borderId="25" xfId="0" applyFont="1" applyFill="1" applyBorder="1" applyAlignment="1">
      <alignment horizontal="left" vertical="top" wrapText="1"/>
    </xf>
    <xf numFmtId="0" fontId="4" fillId="4" borderId="25" xfId="0" applyFont="1" applyFill="1" applyBorder="1" applyAlignment="1">
      <alignment wrapText="1"/>
    </xf>
    <xf numFmtId="0" fontId="3" fillId="2" borderId="9" xfId="0" applyFont="1" applyFill="1" applyBorder="1"/>
    <xf numFmtId="9" fontId="25" fillId="7" borderId="9" xfId="0" applyNumberFormat="1" applyFont="1" applyFill="1" applyBorder="1" applyAlignment="1">
      <alignment horizontal="center" wrapText="1"/>
    </xf>
    <xf numFmtId="0" fontId="10" fillId="2" borderId="1" xfId="0" applyFont="1" applyFill="1" applyBorder="1" applyAlignment="1">
      <alignment horizontal="center"/>
    </xf>
    <xf numFmtId="0" fontId="10" fillId="3" borderId="9" xfId="0" applyFont="1" applyFill="1" applyBorder="1" applyAlignment="1">
      <alignment horizontal="center"/>
    </xf>
    <xf numFmtId="0" fontId="3" fillId="3" borderId="9" xfId="0" applyFont="1" applyFill="1" applyBorder="1" applyAlignment="1">
      <alignment horizontal="center" wrapText="1"/>
    </xf>
    <xf numFmtId="0" fontId="3" fillId="4" borderId="9" xfId="0" applyFont="1" applyFill="1" applyBorder="1" applyAlignment="1">
      <alignment horizontal="center" wrapText="1"/>
    </xf>
    <xf numFmtId="0" fontId="3" fillId="5" borderId="9" xfId="0" applyFont="1" applyFill="1" applyBorder="1" applyAlignment="1">
      <alignment horizontal="left" vertical="top" wrapText="1"/>
    </xf>
    <xf numFmtId="0" fontId="3" fillId="4" borderId="9" xfId="0" applyFont="1" applyFill="1" applyBorder="1" applyAlignment="1">
      <alignment horizontal="left" wrapText="1"/>
    </xf>
    <xf numFmtId="164" fontId="3" fillId="4" borderId="9" xfId="0" applyNumberFormat="1" applyFont="1" applyFill="1" applyBorder="1" applyAlignment="1">
      <alignment horizontal="left" wrapText="1"/>
    </xf>
    <xf numFmtId="0" fontId="4" fillId="5" borderId="9" xfId="0" applyFont="1" applyFill="1" applyBorder="1" applyAlignment="1">
      <alignment horizontal="left" vertical="top" wrapText="1"/>
    </xf>
    <xf numFmtId="0" fontId="4" fillId="4" borderId="24" xfId="0" applyFont="1" applyFill="1" applyBorder="1" applyAlignment="1">
      <alignment wrapText="1"/>
    </xf>
    <xf numFmtId="9" fontId="3" fillId="2" borderId="2" xfId="0" applyNumberFormat="1" applyFont="1" applyFill="1" applyBorder="1" applyAlignment="1">
      <alignment horizontal="center"/>
    </xf>
    <xf numFmtId="14" fontId="6" fillId="2" borderId="0" xfId="0" applyNumberFormat="1" applyFont="1" applyFill="1"/>
    <xf numFmtId="0" fontId="12" fillId="3" borderId="9" xfId="0" applyFont="1" applyFill="1" applyBorder="1" applyAlignment="1">
      <alignment horizontal="center"/>
    </xf>
    <xf numFmtId="0" fontId="6" fillId="3" borderId="9" xfId="0" applyFont="1" applyFill="1" applyBorder="1" applyAlignment="1">
      <alignment horizontal="center"/>
    </xf>
    <xf numFmtId="164" fontId="12" fillId="4" borderId="9" xfId="0" applyNumberFormat="1" applyFont="1" applyFill="1" applyBorder="1" applyAlignment="1">
      <alignment horizontal="center"/>
    </xf>
    <xf numFmtId="0" fontId="6" fillId="4" borderId="9" xfId="0" applyFont="1" applyFill="1" applyBorder="1" applyAlignment="1">
      <alignment horizontal="left" wrapText="1"/>
    </xf>
    <xf numFmtId="0" fontId="6" fillId="5" borderId="9" xfId="0" applyFont="1" applyFill="1" applyBorder="1" applyAlignment="1">
      <alignment horizontal="left" vertical="top" wrapText="1"/>
    </xf>
    <xf numFmtId="0" fontId="6" fillId="7" borderId="9" xfId="0" applyFont="1" applyFill="1" applyBorder="1" applyAlignment="1">
      <alignment horizontal="left" wrapText="1"/>
    </xf>
    <xf numFmtId="0" fontId="7" fillId="5" borderId="9" xfId="0" applyFont="1" applyFill="1" applyBorder="1" applyAlignment="1">
      <alignment horizontal="left" vertical="top" wrapText="1"/>
    </xf>
    <xf numFmtId="9" fontId="8" fillId="4" borderId="26" xfId="1" applyFont="1" applyFill="1" applyBorder="1" applyAlignment="1">
      <alignment horizontal="center"/>
    </xf>
    <xf numFmtId="0" fontId="19" fillId="12" borderId="6" xfId="0" applyFont="1" applyFill="1" applyBorder="1" applyAlignment="1">
      <alignment horizontal="left" vertical="top" wrapText="1"/>
    </xf>
    <xf numFmtId="0" fontId="19" fillId="0" borderId="6" xfId="0" applyFont="1" applyBorder="1" applyAlignment="1">
      <alignment horizontal="left" vertical="top" wrapText="1"/>
    </xf>
    <xf numFmtId="0" fontId="23" fillId="0" borderId="6" xfId="0" applyFont="1" applyBorder="1" applyAlignment="1">
      <alignment horizontal="left" vertical="top" wrapText="1"/>
    </xf>
    <xf numFmtId="0" fontId="19" fillId="2" borderId="6" xfId="0" applyFont="1" applyFill="1" applyBorder="1" applyAlignment="1">
      <alignment horizontal="left" vertical="top" wrapText="1"/>
    </xf>
    <xf numFmtId="0" fontId="19" fillId="12" borderId="11" xfId="0" applyFont="1" applyFill="1" applyBorder="1" applyAlignment="1">
      <alignment horizontal="left" vertical="top" wrapText="1"/>
    </xf>
    <xf numFmtId="0" fontId="21" fillId="0" borderId="6" xfId="0" applyFont="1" applyBorder="1" applyAlignment="1">
      <alignment horizontal="left" vertical="top" wrapText="1"/>
    </xf>
    <xf numFmtId="0" fontId="3" fillId="14" borderId="0" xfId="0" applyFont="1" applyFill="1"/>
    <xf numFmtId="9" fontId="6" fillId="2" borderId="0" xfId="0" applyNumberFormat="1" applyFont="1" applyFill="1" applyAlignment="1">
      <alignment wrapText="1"/>
    </xf>
    <xf numFmtId="0" fontId="21" fillId="0" borderId="25" xfId="0" applyFont="1" applyBorder="1" applyAlignment="1">
      <alignment horizontal="left" vertical="top" wrapText="1"/>
    </xf>
    <xf numFmtId="9" fontId="5" fillId="0" borderId="26" xfId="1" applyFont="1" applyFill="1" applyBorder="1" applyAlignment="1">
      <alignment horizontal="center" vertical="top" wrapText="1"/>
    </xf>
    <xf numFmtId="9" fontId="5" fillId="0" borderId="28" xfId="1" applyFont="1" applyFill="1" applyBorder="1" applyAlignment="1">
      <alignment horizontal="center" vertical="top" wrapText="1"/>
    </xf>
    <xf numFmtId="0" fontId="19" fillId="0" borderId="29" xfId="0" applyFont="1" applyBorder="1" applyAlignment="1">
      <alignment horizontal="left" vertical="top" wrapText="1"/>
    </xf>
    <xf numFmtId="0" fontId="19" fillId="12" borderId="30" xfId="0" applyFont="1" applyFill="1" applyBorder="1" applyAlignment="1">
      <alignment horizontal="left" vertical="top" wrapText="1"/>
    </xf>
    <xf numFmtId="0" fontId="28" fillId="0" borderId="27" xfId="0" applyFont="1" applyBorder="1" applyAlignment="1">
      <alignment wrapText="1"/>
    </xf>
    <xf numFmtId="0" fontId="4" fillId="3" borderId="9" xfId="0" applyFont="1" applyFill="1" applyBorder="1" applyAlignment="1">
      <alignment horizontal="center"/>
    </xf>
    <xf numFmtId="0" fontId="7" fillId="3" borderId="9" xfId="0" applyFont="1" applyFill="1" applyBorder="1" applyAlignment="1">
      <alignment horizontal="center"/>
    </xf>
    <xf numFmtId="0" fontId="4" fillId="3" borderId="22" xfId="0" applyFont="1" applyFill="1" applyBorder="1" applyAlignment="1">
      <alignment horizontal="center"/>
    </xf>
    <xf numFmtId="0" fontId="4" fillId="3" borderId="4" xfId="0" applyFont="1" applyFill="1" applyBorder="1" applyAlignment="1">
      <alignment horizontal="center"/>
    </xf>
    <xf numFmtId="0" fontId="23" fillId="15" borderId="6" xfId="0" applyFont="1" applyFill="1" applyBorder="1" applyAlignment="1">
      <alignment horizontal="left" vertical="top" wrapText="1"/>
    </xf>
  </cellXfs>
  <cellStyles count="2">
    <cellStyle name="Normal" xfId="0" builtinId="0" customBuiltin="1"/>
    <cellStyle name="Percent" xfId="1" builtinId="5"/>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3</xdr:col>
      <xdr:colOff>2076450</xdr:colOff>
      <xdr:row>6</xdr:row>
      <xdr:rowOff>127635</xdr:rowOff>
    </xdr:from>
    <xdr:to>
      <xdr:col>7</xdr:col>
      <xdr:colOff>2945710</xdr:colOff>
      <xdr:row>29</xdr:row>
      <xdr:rowOff>2486</xdr:rowOff>
    </xdr:to>
    <xdr:sp macro="" textlink="">
      <xdr:nvSpPr>
        <xdr:cNvPr id="2" name="TextBox 1">
          <a:extLst>
            <a:ext uri="{FF2B5EF4-FFF2-40B4-BE49-F238E27FC236}">
              <a16:creationId xmlns:a16="http://schemas.microsoft.com/office/drawing/2014/main" id="{F09FF368-03ED-4440-90EF-60C21C2ADE9C}"/>
            </a:ext>
          </a:extLst>
        </xdr:cNvPr>
        <xdr:cNvSpPr txBox="1"/>
      </xdr:nvSpPr>
      <xdr:spPr>
        <a:xfrm>
          <a:off x="2895600" y="1118235"/>
          <a:ext cx="6269935" cy="3599126"/>
        </a:xfrm>
        <a:prstGeom prst="rect">
          <a:avLst/>
        </a:prstGeom>
        <a:solidFill>
          <a:srgbClr val="FFFF99"/>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u="sng">
              <a:latin typeface="Fieldwork 03 Geo Light" pitchFamily="50" charset="0"/>
            </a:rPr>
            <a:t>Instructions</a:t>
          </a:r>
          <a:endParaRPr lang="en-US" sz="1000" b="1" u="none">
            <a:latin typeface="Fieldwork 03 Geo Light" pitchFamily="50" charset="0"/>
          </a:endParaRPr>
        </a:p>
        <a:p>
          <a:r>
            <a:rPr lang="en-US" sz="1000" u="none">
              <a:latin typeface="Fieldwork 03 Geo Light" pitchFamily="50" charset="0"/>
            </a:rPr>
            <a:t>1.</a:t>
          </a:r>
          <a:r>
            <a:rPr lang="en-US" sz="1000" u="none" baseline="0">
              <a:latin typeface="Fieldwork 03 Geo Light" pitchFamily="50" charset="0"/>
            </a:rPr>
            <a:t> Make sure the "green" comments area is empty - </a:t>
          </a:r>
          <a:r>
            <a:rPr lang="en-US" sz="1000" i="1" u="none" baseline="0">
              <a:latin typeface="Fieldwork 03 Geo Light" pitchFamily="50" charset="0"/>
            </a:rPr>
            <a:t>the vendor will be providing their feedback</a:t>
          </a:r>
          <a:r>
            <a:rPr lang="en-US" sz="1000" i="0" u="none" baseline="0">
              <a:latin typeface="Fieldwork 03 Geo Light" pitchFamily="50" charset="0"/>
            </a:rPr>
            <a:t>.</a:t>
          </a:r>
        </a:p>
        <a:p>
          <a:r>
            <a:rPr lang="en-US" sz="1000" i="0" u="none" baseline="0">
              <a:latin typeface="Fieldwork 03 Geo Light" pitchFamily="50" charset="0"/>
            </a:rPr>
            <a:t>2. Follow the information below for "Vendor Functional" on how to modify each section - </a:t>
          </a:r>
          <a:r>
            <a:rPr lang="en-US" sz="1000" i="1" u="none" baseline="0">
              <a:solidFill>
                <a:srgbClr val="FF0000"/>
              </a:solidFill>
              <a:latin typeface="Fieldwork 03 Geo Light" pitchFamily="50" charset="0"/>
            </a:rPr>
            <a:t>remember, the criterial will need to match the vendor questionnaire and update the Items &amp; Weights on the Summary worksheet .  Do not copy the worksheet to the scorecard or you will lose the formulas.</a:t>
          </a:r>
          <a:endParaRPr lang="en-US" sz="1000" i="0" u="none" baseline="0">
            <a:solidFill>
              <a:srgbClr val="FF0000"/>
            </a:solidFill>
            <a:latin typeface="Fieldwork 03 Geo Light" pitchFamily="50" charset="0"/>
          </a:endParaRPr>
        </a:p>
        <a:p>
          <a:r>
            <a:rPr lang="en-US" sz="1000" i="0" u="none" baseline="0">
              <a:latin typeface="Fieldwork 03 Geo Light" pitchFamily="50" charset="0"/>
            </a:rPr>
            <a:t>3. </a:t>
          </a:r>
          <a:r>
            <a:rPr lang="en-US" sz="1000" i="0" baseline="0">
              <a:solidFill>
                <a:schemeClr val="dk1"/>
              </a:solidFill>
              <a:effectLst/>
              <a:latin typeface="Fieldwork 03 Geo Light" pitchFamily="50" charset="0"/>
              <a:ea typeface="+mn-ea"/>
              <a:cs typeface="+mn-cs"/>
            </a:rPr>
            <a:t>Ensure that any criteria is written to elicit a detailed response - </a:t>
          </a:r>
          <a:r>
            <a:rPr lang="en-US" sz="1000" i="1" baseline="0">
              <a:solidFill>
                <a:schemeClr val="dk1"/>
              </a:solidFill>
              <a:effectLst/>
              <a:latin typeface="Fieldwork 03 Geo Light" pitchFamily="50" charset="0"/>
              <a:ea typeface="+mn-ea"/>
              <a:cs typeface="+mn-cs"/>
            </a:rPr>
            <a:t>detailed responses will tell you more than a direct question</a:t>
          </a:r>
          <a:r>
            <a:rPr lang="en-US" sz="1000" i="0" baseline="0">
              <a:solidFill>
                <a:schemeClr val="dk1"/>
              </a:solidFill>
              <a:effectLst/>
              <a:latin typeface="Fieldwork 03 Geo Light" pitchFamily="50" charset="0"/>
              <a:ea typeface="+mn-ea"/>
              <a:cs typeface="+mn-cs"/>
            </a:rPr>
            <a:t>.</a:t>
          </a:r>
          <a:endParaRPr lang="en-US" sz="1000">
            <a:effectLst/>
            <a:latin typeface="Fieldwork 03 Geo Light" pitchFamily="50" charset="0"/>
          </a:endParaRPr>
        </a:p>
        <a:p>
          <a:r>
            <a:rPr lang="en-US" sz="1000" i="0" baseline="0">
              <a:solidFill>
                <a:schemeClr val="dk1"/>
              </a:solidFill>
              <a:effectLst/>
              <a:latin typeface="Fieldwork 03 Geo Light" pitchFamily="50" charset="0"/>
              <a:ea typeface="+mn-ea"/>
              <a:cs typeface="+mn-cs"/>
            </a:rPr>
            <a:t>4. </a:t>
          </a:r>
          <a:r>
            <a:rPr lang="en-US" sz="1000" i="0" u="none" baseline="0">
              <a:latin typeface="Fieldwork 03 Geo Light" pitchFamily="50" charset="0"/>
            </a:rPr>
            <a:t>Delete this instruction window</a:t>
          </a:r>
        </a:p>
        <a:p>
          <a:endParaRPr lang="en-US" sz="1000">
            <a:effectLst/>
            <a:latin typeface="Fieldwork 03 Geo Light" pitchFamily="50" charset="0"/>
          </a:endParaRPr>
        </a:p>
        <a:p>
          <a:r>
            <a:rPr lang="en-US" sz="1000" b="1" u="sng">
              <a:solidFill>
                <a:schemeClr val="dk1"/>
              </a:solidFill>
              <a:effectLst/>
              <a:latin typeface="Fieldwork 03 Geo Light" pitchFamily="50" charset="0"/>
              <a:ea typeface="+mn-ea"/>
              <a:cs typeface="+mn-cs"/>
            </a:rPr>
            <a:t>For Vendor</a:t>
          </a:r>
          <a:r>
            <a:rPr lang="en-US" sz="1000" b="1" u="sng" baseline="0">
              <a:solidFill>
                <a:schemeClr val="dk1"/>
              </a:solidFill>
              <a:effectLst/>
              <a:latin typeface="Fieldwork 03 Geo Light" pitchFamily="50" charset="0"/>
              <a:ea typeface="+mn-ea"/>
              <a:cs typeface="+mn-cs"/>
            </a:rPr>
            <a:t> Functional</a:t>
          </a:r>
          <a:r>
            <a:rPr lang="en-US" sz="1000" b="1" u="sng">
              <a:solidFill>
                <a:schemeClr val="dk1"/>
              </a:solidFill>
              <a:effectLst/>
              <a:latin typeface="Fieldwork 03 Geo Light" pitchFamily="50" charset="0"/>
              <a:ea typeface="+mn-ea"/>
              <a:cs typeface="+mn-cs"/>
            </a:rPr>
            <a:t>:</a:t>
          </a:r>
          <a:endParaRPr lang="en-US" sz="1000">
            <a:effectLst/>
            <a:latin typeface="Fieldwork 03 Geo Light" pitchFamily="50" charset="0"/>
          </a:endParaRPr>
        </a:p>
        <a:p>
          <a:r>
            <a:rPr lang="en-US" sz="1000">
              <a:solidFill>
                <a:schemeClr val="dk1"/>
              </a:solidFill>
              <a:effectLst/>
              <a:latin typeface="Fieldwork 03 Geo Light" pitchFamily="50" charset="0"/>
              <a:ea typeface="+mn-ea"/>
              <a:cs typeface="+mn-cs"/>
            </a:rPr>
            <a:t>*</a:t>
          </a:r>
          <a:r>
            <a:rPr lang="en-US" sz="1000" baseline="0">
              <a:solidFill>
                <a:schemeClr val="dk1"/>
              </a:solidFill>
              <a:effectLst/>
              <a:latin typeface="Fieldwork 03 Geo Light" pitchFamily="50" charset="0"/>
              <a:ea typeface="+mn-ea"/>
              <a:cs typeface="+mn-cs"/>
            </a:rPr>
            <a:t> Categorize the functional requirements - </a:t>
          </a:r>
          <a:r>
            <a:rPr lang="en-US" sz="1000" i="1" baseline="0">
              <a:solidFill>
                <a:schemeClr val="dk1"/>
              </a:solidFill>
              <a:effectLst/>
              <a:latin typeface="Fieldwork 03 Geo Light" pitchFamily="50" charset="0"/>
              <a:ea typeface="+mn-ea"/>
              <a:cs typeface="+mn-cs"/>
            </a:rPr>
            <a:t>Add/Remove Functional Categories as necessary</a:t>
          </a:r>
          <a:endParaRPr lang="en-US" sz="1000">
            <a:effectLst/>
            <a:latin typeface="Fieldwork 03 Geo Light" pitchFamily="50" charset="0"/>
          </a:endParaRPr>
        </a:p>
        <a:p>
          <a:r>
            <a:rPr lang="en-US" sz="1000" i="0" baseline="0">
              <a:solidFill>
                <a:schemeClr val="dk1"/>
              </a:solidFill>
              <a:effectLst/>
              <a:latin typeface="Fieldwork 03 Geo Light" pitchFamily="50" charset="0"/>
              <a:ea typeface="+mn-ea"/>
              <a:cs typeface="+mn-cs"/>
            </a:rPr>
            <a:t>* Add the functional requirements - </a:t>
          </a:r>
          <a:r>
            <a:rPr lang="en-US" sz="1000" i="1" baseline="0">
              <a:solidFill>
                <a:schemeClr val="dk1"/>
              </a:solidFill>
              <a:effectLst/>
              <a:latin typeface="Fieldwork 03 Geo Light" pitchFamily="50" charset="0"/>
              <a:ea typeface="+mn-ea"/>
              <a:cs typeface="+mn-cs"/>
            </a:rPr>
            <a:t>Add/Remove Criteria as necessary</a:t>
          </a:r>
          <a:endParaRPr lang="en-US" sz="1000">
            <a:effectLst/>
            <a:latin typeface="Fieldwork 03 Geo Light" pitchFamily="50" charset="0"/>
          </a:endParaRPr>
        </a:p>
        <a:p>
          <a:endParaRPr lang="en-US" sz="1000" i="0" u="none" baseline="0">
            <a:latin typeface="Fieldwork 03 Geo Light" pitchFamily="50" charset="0"/>
          </a:endParaRPr>
        </a:p>
        <a:p>
          <a:r>
            <a:rPr lang="en-US" sz="1000" b="1" i="0" u="sng" baseline="0">
              <a:solidFill>
                <a:srgbClr val="C00000"/>
              </a:solidFill>
              <a:latin typeface="Fieldwork 03 Geo Light" pitchFamily="50" charset="0"/>
            </a:rPr>
            <a:t>Notes</a:t>
          </a:r>
          <a:endParaRPr lang="en-US" sz="1000" b="0" i="0" u="none" baseline="0">
            <a:solidFill>
              <a:srgbClr val="C00000"/>
            </a:solidFill>
            <a:latin typeface="Fieldwork 03 Geo Light" pitchFamily="50" charset="0"/>
          </a:endParaRPr>
        </a:p>
        <a:p>
          <a:r>
            <a:rPr lang="en-US" sz="1000" b="0" i="0" u="none" baseline="0">
              <a:latin typeface="Fieldwork 03 Geo Light" pitchFamily="50" charset="0"/>
            </a:rPr>
            <a:t>* The "Categories" are data driven.  Update them in the "Summary" worksheet</a:t>
          </a:r>
          <a:endParaRPr lang="en-US" sz="1000" b="1" i="0" u="sng" baseline="0">
            <a:latin typeface="Fieldwork 03 Geo Light" pitchFamily="50"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66675</xdr:colOff>
      <xdr:row>14</xdr:row>
      <xdr:rowOff>85725</xdr:rowOff>
    </xdr:from>
    <xdr:to>
      <xdr:col>19</xdr:col>
      <xdr:colOff>885825</xdr:colOff>
      <xdr:row>25</xdr:row>
      <xdr:rowOff>28575</xdr:rowOff>
    </xdr:to>
    <xdr:sp macro="" textlink="">
      <xdr:nvSpPr>
        <xdr:cNvPr id="2" name="TextBox 1">
          <a:extLst>
            <a:ext uri="{FF2B5EF4-FFF2-40B4-BE49-F238E27FC236}">
              <a16:creationId xmlns:a16="http://schemas.microsoft.com/office/drawing/2014/main" id="{77BE7F10-4200-7BE4-9D30-16EFA27512D7}"/>
            </a:ext>
          </a:extLst>
        </xdr:cNvPr>
        <xdr:cNvSpPr txBox="1"/>
      </xdr:nvSpPr>
      <xdr:spPr>
        <a:xfrm>
          <a:off x="3705225" y="2571750"/>
          <a:ext cx="9525000" cy="1400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u="sng">
              <a:latin typeface="Fieldwork 03 Geo Light" pitchFamily="50" charset="0"/>
            </a:rPr>
            <a:t>For Architecture &amp; Technology:</a:t>
          </a:r>
        </a:p>
        <a:p>
          <a:r>
            <a:rPr lang="en-US" sz="1000">
              <a:latin typeface="Fieldwork 03 Geo Light" pitchFamily="50" charset="0"/>
            </a:rPr>
            <a:t>*</a:t>
          </a:r>
          <a:r>
            <a:rPr lang="en-US" sz="1000" baseline="0">
              <a:latin typeface="Fieldwork 03 Geo Light" pitchFamily="50" charset="0"/>
            </a:rPr>
            <a:t> </a:t>
          </a:r>
          <a:r>
            <a:rPr lang="en-US" sz="1000" b="1" baseline="0">
              <a:latin typeface="Fieldwork 03 Geo Light" pitchFamily="50" charset="0"/>
            </a:rPr>
            <a:t>Omni-Channel &amp; Digital Application</a:t>
          </a:r>
          <a:r>
            <a:rPr lang="en-US" sz="1000" baseline="0">
              <a:latin typeface="Fieldwork 03 Geo Light" pitchFamily="50" charset="0"/>
            </a:rPr>
            <a:t>: This contains situational criteria - modify accordingly</a:t>
          </a:r>
        </a:p>
        <a:p>
          <a:r>
            <a:rPr lang="en-US" sz="1000" baseline="0">
              <a:latin typeface="Fieldwork 03 Geo Light" pitchFamily="50" charset="0"/>
            </a:rPr>
            <a:t>* </a:t>
          </a:r>
          <a:r>
            <a:rPr lang="en-US" sz="1000" b="1" baseline="0">
              <a:latin typeface="Fieldwork 03 Geo Light" pitchFamily="50" charset="0"/>
            </a:rPr>
            <a:t>Integration &amp; Iteroperability</a:t>
          </a:r>
        </a:p>
        <a:p>
          <a:r>
            <a:rPr lang="en-US" sz="1000" baseline="0">
              <a:latin typeface="Fieldwork 03 Geo Light" pitchFamily="50" charset="0"/>
            </a:rPr>
            <a:t>* </a:t>
          </a:r>
          <a:r>
            <a:rPr lang="en-US" sz="1000" b="1" baseline="0">
              <a:latin typeface="Fieldwork 03 Geo Light" pitchFamily="50" charset="0"/>
            </a:rPr>
            <a:t>Security</a:t>
          </a:r>
        </a:p>
        <a:p>
          <a:r>
            <a:rPr lang="en-US" sz="1000" baseline="0">
              <a:latin typeface="Fieldwork 03 Geo Light" pitchFamily="50" charset="0"/>
            </a:rPr>
            <a:t>* </a:t>
          </a:r>
          <a:r>
            <a:rPr lang="en-US" sz="1000" b="1" baseline="0">
              <a:latin typeface="Fieldwork 03 Geo Light" pitchFamily="50" charset="0"/>
            </a:rPr>
            <a:t>Architectural Alignment</a:t>
          </a:r>
          <a:r>
            <a:rPr lang="en-US" sz="1000" baseline="0">
              <a:latin typeface="Fieldwork 03 Geo Light" pitchFamily="50" charset="0"/>
            </a:rPr>
            <a:t>: Include Technology Strategy and Architecture + any Additional Infrastructure Items)</a:t>
          </a:r>
        </a:p>
        <a:p>
          <a:r>
            <a:rPr lang="en-US" sz="1000" baseline="0">
              <a:latin typeface="Fieldwork 03 Geo Light" pitchFamily="50" charset="0"/>
            </a:rPr>
            <a:t>* </a:t>
          </a:r>
          <a:r>
            <a:rPr lang="en-US" sz="1000" b="1" baseline="0">
              <a:latin typeface="Fieldwork 03 Geo Light" pitchFamily="50" charset="0"/>
            </a:rPr>
            <a:t>Implementation Timeline</a:t>
          </a:r>
        </a:p>
        <a:p>
          <a:r>
            <a:rPr lang="en-US" sz="1000" baseline="0">
              <a:latin typeface="Fieldwork 03 Geo Light" pitchFamily="50" charset="0"/>
            </a:rPr>
            <a:t>* </a:t>
          </a:r>
          <a:r>
            <a:rPr lang="en-US" sz="1000" b="1" baseline="0">
              <a:latin typeface="Fieldwork 03 Geo Light" pitchFamily="50" charset="0"/>
            </a:rPr>
            <a:t>Data &amp; Analytics and AI/ML</a:t>
          </a:r>
          <a:r>
            <a:rPr lang="en-US" sz="1000" baseline="0">
              <a:latin typeface="Fieldwork 03 Geo Light" pitchFamily="50" charset="0"/>
            </a:rPr>
            <a:t>: This contains situational criteria - modify accordingly</a:t>
          </a:r>
        </a:p>
        <a:p>
          <a:r>
            <a:rPr lang="en-US" sz="1000" baseline="0">
              <a:latin typeface="Fieldwork 03 Geo Light" pitchFamily="50" charset="0"/>
            </a:rPr>
            <a:t>* </a:t>
          </a:r>
          <a:r>
            <a:rPr lang="en-US" sz="1000" b="1" baseline="0">
              <a:latin typeface="Fieldwork 03 Geo Light" pitchFamily="50" charset="0"/>
            </a:rPr>
            <a:t>Service Management</a:t>
          </a:r>
          <a:endParaRPr lang="en-US" sz="1000" b="1">
            <a:latin typeface="Fieldwork 03 Geo Light" pitchFamily="50" charset="0"/>
          </a:endParaRPr>
        </a:p>
      </xdr:txBody>
    </xdr:sp>
    <xdr:clientData/>
  </xdr:twoCellAnchor>
  <xdr:twoCellAnchor>
    <xdr:from>
      <xdr:col>8</xdr:col>
      <xdr:colOff>76200</xdr:colOff>
      <xdr:row>25</xdr:row>
      <xdr:rowOff>152400</xdr:rowOff>
    </xdr:from>
    <xdr:to>
      <xdr:col>19</xdr:col>
      <xdr:colOff>895350</xdr:colOff>
      <xdr:row>36</xdr:row>
      <xdr:rowOff>0</xdr:rowOff>
    </xdr:to>
    <xdr:sp macro="" textlink="">
      <xdr:nvSpPr>
        <xdr:cNvPr id="3" name="TextBox 2">
          <a:extLst>
            <a:ext uri="{FF2B5EF4-FFF2-40B4-BE49-F238E27FC236}">
              <a16:creationId xmlns:a16="http://schemas.microsoft.com/office/drawing/2014/main" id="{3F3ACE5E-E760-4613-AAD6-0C56A45CE4E2}"/>
            </a:ext>
          </a:extLst>
        </xdr:cNvPr>
        <xdr:cNvSpPr txBox="1"/>
      </xdr:nvSpPr>
      <xdr:spPr>
        <a:xfrm>
          <a:off x="3714750" y="4257675"/>
          <a:ext cx="9525000" cy="1628775"/>
        </a:xfrm>
        <a:prstGeom prst="rect">
          <a:avLst/>
        </a:prstGeom>
        <a:solidFill>
          <a:srgbClr val="FFFF99"/>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u="sng">
              <a:latin typeface="Fieldwork 03 Geo Light" pitchFamily="50" charset="0"/>
            </a:rPr>
            <a:t>Score "Weight" Instructions</a:t>
          </a:r>
          <a:endParaRPr lang="en-US" sz="1000" b="1" u="none">
            <a:latin typeface="Fieldwork 03 Geo Light" pitchFamily="50" charset="0"/>
          </a:endParaRPr>
        </a:p>
        <a:p>
          <a:r>
            <a:rPr lang="en-US" sz="1000" i="0" u="none" baseline="0">
              <a:latin typeface="Fieldwork 03 Geo Light" pitchFamily="50" charset="0"/>
            </a:rPr>
            <a:t>You can change the weights of the scores from a high-level to a granular level.  The "Summary" sheet (</a:t>
          </a:r>
          <a:r>
            <a:rPr lang="en-US" sz="1000" i="1" u="none" baseline="0">
              <a:latin typeface="Fieldwork 03 Geo Light" pitchFamily="50" charset="0"/>
            </a:rPr>
            <a:t>this one</a:t>
          </a:r>
          <a:r>
            <a:rPr lang="en-US" sz="1000" i="0" u="none" baseline="0">
              <a:latin typeface="Fieldwork 03 Geo Light" pitchFamily="50" charset="0"/>
            </a:rPr>
            <a:t>) represents the high-level weight.  The individual sheets have additional weights which would represent the granular level.</a:t>
          </a:r>
        </a:p>
        <a:p>
          <a:endParaRPr lang="en-US" sz="1000" i="0" u="none" baseline="0">
            <a:latin typeface="Fieldwork 03 Geo Light" pitchFamily="50" charset="0"/>
          </a:endParaRPr>
        </a:p>
        <a:p>
          <a:r>
            <a:rPr lang="en-US" sz="1000" i="0" u="none" baseline="0">
              <a:latin typeface="Fieldwork 03 Geo Light" pitchFamily="50" charset="0"/>
            </a:rPr>
            <a:t>If you do, remember to verify that the weights add up to 100%</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5:G14"/>
  <sheetViews>
    <sheetView workbookViewId="0"/>
  </sheetViews>
  <sheetFormatPr defaultColWidth="9" defaultRowHeight="12.75"/>
  <cols>
    <col min="1" max="1" width="9" style="3"/>
    <col min="2" max="2" width="1.42578125" style="3" customWidth="1"/>
    <col min="3" max="3" width="1.5703125" style="3" customWidth="1"/>
    <col min="4" max="4" width="27.5703125" style="3" bestFit="1" customWidth="1"/>
    <col min="5" max="5" width="9" style="3"/>
    <col min="6" max="6" width="35.5703125" style="3" customWidth="1"/>
    <col min="7" max="8" width="1.5703125" style="3" customWidth="1"/>
    <col min="9" max="16384" width="9" style="3"/>
  </cols>
  <sheetData>
    <row r="5" spans="3:7" ht="13.5" thickBot="1">
      <c r="D5" s="4"/>
      <c r="E5" s="4"/>
    </row>
    <row r="6" spans="3:7">
      <c r="C6" s="23"/>
      <c r="D6" s="24"/>
      <c r="E6" s="24"/>
      <c r="F6" s="25"/>
      <c r="G6" s="26"/>
    </row>
    <row r="7" spans="3:7">
      <c r="C7" s="27"/>
      <c r="D7" s="12" t="s">
        <v>0</v>
      </c>
      <c r="E7" s="12" t="s">
        <v>1</v>
      </c>
      <c r="F7" s="12" t="s">
        <v>2</v>
      </c>
      <c r="G7" s="28"/>
    </row>
    <row r="8" spans="3:7" ht="25.5">
      <c r="C8" s="27"/>
      <c r="D8" s="29" t="s">
        <v>3</v>
      </c>
      <c r="E8" s="103">
        <v>1</v>
      </c>
      <c r="F8" s="80" t="s">
        <v>4</v>
      </c>
      <c r="G8" s="28"/>
    </row>
    <row r="9" spans="3:7" ht="25.5">
      <c r="C9" s="27"/>
      <c r="D9" s="82" t="s">
        <v>5</v>
      </c>
      <c r="E9" s="103">
        <v>2</v>
      </c>
      <c r="F9" s="81" t="s">
        <v>6</v>
      </c>
      <c r="G9" s="28"/>
    </row>
    <row r="10" spans="3:7" ht="25.5">
      <c r="C10" s="27"/>
      <c r="D10" s="82" t="s">
        <v>7</v>
      </c>
      <c r="E10" s="103">
        <v>3</v>
      </c>
      <c r="F10" s="80" t="s">
        <v>8</v>
      </c>
      <c r="G10" s="28"/>
    </row>
    <row r="11" spans="3:7" ht="25.5">
      <c r="C11" s="27"/>
      <c r="D11" s="82" t="s">
        <v>9</v>
      </c>
      <c r="E11" s="103">
        <v>4</v>
      </c>
      <c r="F11" s="81" t="s">
        <v>10</v>
      </c>
      <c r="G11" s="28"/>
    </row>
    <row r="12" spans="3:7" ht="25.5">
      <c r="C12" s="27"/>
      <c r="D12" s="29" t="s">
        <v>11</v>
      </c>
      <c r="E12" s="103">
        <v>5</v>
      </c>
      <c r="F12" s="80" t="s">
        <v>12</v>
      </c>
      <c r="G12" s="28"/>
    </row>
    <row r="13" spans="3:7" ht="13.5" thickBot="1">
      <c r="C13" s="30"/>
      <c r="D13" s="31"/>
      <c r="E13" s="31"/>
      <c r="F13" s="32"/>
      <c r="G13" s="33"/>
    </row>
    <row r="14" spans="3:7">
      <c r="D14" s="4"/>
      <c r="E14" s="4"/>
    </row>
  </sheetData>
  <phoneticPr fontId="2" type="noConversion"/>
  <pageMargins left="0.75" right="0.75" top="1" bottom="1" header="0.5" footer="0.5"/>
  <pageSetup paperSize="224"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pageSetUpPr fitToPage="1"/>
  </sheetPr>
  <dimension ref="A1:W92"/>
  <sheetViews>
    <sheetView tabSelected="1" zoomScale="130" zoomScaleNormal="130" workbookViewId="0">
      <pane xSplit="5" ySplit="5" topLeftCell="F6" activePane="bottomRight" state="frozen"/>
      <selection pane="bottomRight" activeCell="D7" sqref="D7"/>
      <selection pane="bottomLeft" activeCell="A6" sqref="A6"/>
      <selection pane="topRight" activeCell="F1" sqref="F1"/>
    </sheetView>
  </sheetViews>
  <sheetFormatPr defaultColWidth="9" defaultRowHeight="12.75"/>
  <cols>
    <col min="1" max="1" width="1.42578125" style="3" customWidth="1"/>
    <col min="2" max="2" width="1.7109375" style="3" customWidth="1"/>
    <col min="3" max="3" width="7.85546875" style="79" customWidth="1"/>
    <col min="4" max="4" width="73" style="3" customWidth="1"/>
    <col min="5" max="5" width="6.28515625" style="3" bestFit="1" customWidth="1"/>
    <col min="6" max="6" width="1.5703125" style="3" customWidth="1"/>
    <col min="7" max="7" width="5.7109375" style="86" customWidth="1"/>
    <col min="8" max="8" width="70.140625" style="4" customWidth="1"/>
    <col min="9" max="9" width="1.5703125" style="3" customWidth="1"/>
    <col min="10" max="10" width="7.7109375" style="86" customWidth="1"/>
    <col min="11" max="11" width="73.7109375" style="4" customWidth="1"/>
    <col min="12" max="12" width="1.5703125" style="3" customWidth="1"/>
    <col min="13" max="13" width="7.7109375" style="86" customWidth="1"/>
    <col min="14" max="14" width="73.7109375" style="4" customWidth="1"/>
    <col min="15" max="15" width="1.5703125" style="3" customWidth="1"/>
    <col min="16" max="16" width="7.7109375" style="86" customWidth="1"/>
    <col min="17" max="17" width="73.7109375" style="4" customWidth="1"/>
    <col min="18" max="18" width="1.5703125" style="3" customWidth="1"/>
    <col min="19" max="19" width="7.7109375" style="86" customWidth="1"/>
    <col min="20" max="20" width="73.7109375" style="4" customWidth="1"/>
    <col min="21" max="21" width="1.5703125" style="3" customWidth="1"/>
    <col min="22" max="22" width="7.7109375" style="86" customWidth="1"/>
    <col min="23" max="23" width="73.7109375" style="4" customWidth="1"/>
    <col min="24" max="16384" width="9" style="3"/>
  </cols>
  <sheetData>
    <row r="1" spans="1:23">
      <c r="A1" s="46" t="s">
        <v>13</v>
      </c>
    </row>
    <row r="2" spans="1:23">
      <c r="C2" s="83" t="s">
        <v>14</v>
      </c>
      <c r="D2" s="2"/>
      <c r="E2" s="105"/>
    </row>
    <row r="3" spans="1:23">
      <c r="C3" s="83" t="s">
        <v>15</v>
      </c>
      <c r="D3" s="5"/>
    </row>
    <row r="4" spans="1:23" ht="13.5" thickBot="1">
      <c r="E4" s="110"/>
      <c r="G4" s="145" t="str">
        <f>Summary!$I$6</f>
        <v>Technology Solution 1</v>
      </c>
      <c r="H4" s="145"/>
      <c r="J4" s="145" t="str">
        <f>Summary!$K$6</f>
        <v>Technology Solution 2</v>
      </c>
      <c r="K4" s="145"/>
      <c r="M4" s="145" t="str">
        <f>Summary!$M$6</f>
        <v>Technology Solution 3</v>
      </c>
      <c r="N4" s="145"/>
      <c r="P4" s="145" t="str">
        <f>Summary!$O$6</f>
        <v>Technology Solution 4</v>
      </c>
      <c r="Q4" s="145"/>
      <c r="S4" s="145" t="str">
        <f>Summary!$Q$6</f>
        <v>Technology Solution 5</v>
      </c>
      <c r="T4" s="145"/>
      <c r="V4" s="145" t="str">
        <f>Summary!$S$6</f>
        <v>Technology Solution 6</v>
      </c>
      <c r="W4" s="145"/>
    </row>
    <row r="5" spans="1:23" ht="13.5" thickBot="1">
      <c r="D5" s="106" t="s">
        <v>16</v>
      </c>
      <c r="E5" s="12" t="s">
        <v>17</v>
      </c>
      <c r="G5" s="113" t="s">
        <v>1</v>
      </c>
      <c r="H5" s="114" t="s">
        <v>18</v>
      </c>
      <c r="J5" s="113" t="s">
        <v>1</v>
      </c>
      <c r="K5" s="114" t="s">
        <v>18</v>
      </c>
      <c r="M5" s="113" t="s">
        <v>1</v>
      </c>
      <c r="N5" s="114" t="s">
        <v>18</v>
      </c>
      <c r="P5" s="113" t="s">
        <v>1</v>
      </c>
      <c r="Q5" s="114" t="s">
        <v>18</v>
      </c>
      <c r="S5" s="113" t="s">
        <v>1</v>
      </c>
      <c r="T5" s="114" t="s">
        <v>18</v>
      </c>
      <c r="V5" s="113" t="s">
        <v>1</v>
      </c>
      <c r="W5" s="114" t="s">
        <v>18</v>
      </c>
    </row>
    <row r="6" spans="1:23">
      <c r="D6" s="107" t="str">
        <f>Summary!$D$16</f>
        <v>User Experience &amp; Design</v>
      </c>
      <c r="E6" s="111">
        <f>Summary!$E$16</f>
        <v>0.1</v>
      </c>
      <c r="G6" s="87">
        <f>SUMPRODUCT(G7:G12,$E7:$E12)</f>
        <v>0</v>
      </c>
      <c r="H6" s="115"/>
      <c r="J6" s="87">
        <f>SUMPRODUCT(J7:J12,$E7:$E12)</f>
        <v>0</v>
      </c>
      <c r="K6" s="115"/>
      <c r="M6" s="87">
        <f>SUMPRODUCT(M7:M12,$E7:$E12)</f>
        <v>0</v>
      </c>
      <c r="N6" s="115"/>
      <c r="P6" s="87">
        <f>SUMPRODUCT(P7:P12,$E7:$E12)</f>
        <v>0</v>
      </c>
      <c r="Q6" s="115"/>
      <c r="S6" s="87">
        <f>SUMPRODUCT(S7:S12,$E7:$E12)</f>
        <v>0</v>
      </c>
      <c r="T6" s="115"/>
      <c r="V6" s="87">
        <f>SUMPRODUCT(V7:V12,$E7:$E12)</f>
        <v>0</v>
      </c>
      <c r="W6" s="115"/>
    </row>
    <row r="7" spans="1:23" ht="41.25">
      <c r="A7" s="35"/>
      <c r="C7" s="84"/>
      <c r="D7" s="149" t="s">
        <v>19</v>
      </c>
      <c r="E7" s="98">
        <f>IF(Summary!$F$16=0,0,100%/Summary!$F$16)</f>
        <v>0.2</v>
      </c>
      <c r="G7" s="88">
        <v>0</v>
      </c>
      <c r="H7" s="116"/>
      <c r="J7" s="88">
        <v>0</v>
      </c>
      <c r="K7" s="116"/>
      <c r="M7" s="88">
        <v>0</v>
      </c>
      <c r="N7" s="116"/>
      <c r="P7" s="88">
        <v>0</v>
      </c>
      <c r="Q7" s="116"/>
      <c r="S7" s="88">
        <v>0</v>
      </c>
      <c r="T7" s="116"/>
      <c r="V7" s="88">
        <v>0</v>
      </c>
      <c r="W7" s="116"/>
    </row>
    <row r="8" spans="1:23" ht="51">
      <c r="C8" s="84"/>
      <c r="D8" s="132" t="s">
        <v>20</v>
      </c>
      <c r="E8" s="98">
        <f>IF(Summary!$F$16=0,0,100%/Summary!$F$16)</f>
        <v>0.2</v>
      </c>
      <c r="G8" s="88">
        <v>0</v>
      </c>
      <c r="H8" s="116"/>
      <c r="J8" s="88">
        <v>0</v>
      </c>
      <c r="K8" s="116"/>
      <c r="M8" s="88">
        <v>0</v>
      </c>
      <c r="N8" s="116"/>
      <c r="P8" s="88">
        <v>0</v>
      </c>
      <c r="Q8" s="116"/>
      <c r="S8" s="88">
        <v>0</v>
      </c>
      <c r="T8" s="116"/>
      <c r="V8" s="88">
        <v>0</v>
      </c>
      <c r="W8" s="116"/>
    </row>
    <row r="9" spans="1:23" ht="38.25">
      <c r="C9" s="84"/>
      <c r="D9" s="132" t="s">
        <v>21</v>
      </c>
      <c r="E9" s="98">
        <f>IF(Summary!$F$16=0,0,100%/Summary!$F$16)</f>
        <v>0.2</v>
      </c>
      <c r="G9" s="88">
        <v>0</v>
      </c>
      <c r="H9" s="116"/>
      <c r="J9" s="88">
        <v>0</v>
      </c>
      <c r="K9" s="116"/>
      <c r="M9" s="88">
        <v>0</v>
      </c>
      <c r="N9" s="116"/>
      <c r="P9" s="88">
        <v>0</v>
      </c>
      <c r="Q9" s="116"/>
      <c r="S9" s="88">
        <v>0</v>
      </c>
      <c r="T9" s="116"/>
      <c r="V9" s="88">
        <v>0</v>
      </c>
      <c r="W9" s="116"/>
    </row>
    <row r="10" spans="1:23" ht="39" thickBot="1">
      <c r="C10" s="84"/>
      <c r="D10" s="142" t="s">
        <v>22</v>
      </c>
      <c r="E10" s="98">
        <f>IF(Summary!$F$16=0,0,100%/Summary!$F$16)</f>
        <v>0.2</v>
      </c>
      <c r="G10" s="88">
        <v>0</v>
      </c>
      <c r="H10" s="116"/>
      <c r="J10" s="88">
        <v>0</v>
      </c>
      <c r="K10" s="116"/>
      <c r="M10" s="88">
        <v>0</v>
      </c>
      <c r="N10" s="116"/>
      <c r="P10" s="88">
        <v>0</v>
      </c>
      <c r="Q10" s="116"/>
      <c r="S10" s="88">
        <v>0</v>
      </c>
      <c r="T10" s="116"/>
      <c r="V10" s="88">
        <v>0</v>
      </c>
      <c r="W10" s="116"/>
    </row>
    <row r="11" spans="1:23" ht="26.25" thickBot="1">
      <c r="C11" s="84"/>
      <c r="D11" s="144" t="s">
        <v>23</v>
      </c>
      <c r="E11" s="141"/>
      <c r="G11" s="88">
        <v>0</v>
      </c>
      <c r="H11" s="116"/>
      <c r="J11" s="88">
        <v>0</v>
      </c>
      <c r="K11" s="116"/>
      <c r="M11" s="88">
        <v>0</v>
      </c>
      <c r="N11" s="116"/>
      <c r="P11" s="88">
        <v>0</v>
      </c>
      <c r="Q11" s="116"/>
      <c r="S11" s="88">
        <v>0</v>
      </c>
      <c r="T11" s="116"/>
      <c r="V11" s="88">
        <v>0</v>
      </c>
      <c r="W11" s="116"/>
    </row>
    <row r="12" spans="1:23" ht="26.25" thickBot="1">
      <c r="C12" s="84"/>
      <c r="D12" s="143" t="s">
        <v>24</v>
      </c>
      <c r="E12" s="98">
        <f>IF(Summary!$F$16=0,0,100%/Summary!$F$16)</f>
        <v>0.2</v>
      </c>
      <c r="G12" s="88">
        <v>0</v>
      </c>
      <c r="H12" s="116"/>
      <c r="J12" s="88">
        <v>0</v>
      </c>
      <c r="K12" s="116"/>
      <c r="M12" s="88">
        <v>0</v>
      </c>
      <c r="N12" s="116"/>
      <c r="P12" s="88">
        <v>0</v>
      </c>
      <c r="Q12" s="116"/>
      <c r="S12" s="88">
        <v>0</v>
      </c>
      <c r="T12" s="116"/>
      <c r="V12" s="88">
        <v>0</v>
      </c>
      <c r="W12" s="116"/>
    </row>
    <row r="13" spans="1:23">
      <c r="D13" s="109" t="str">
        <f>Summary!$D$17</f>
        <v>Integration &amp; Interoperability</v>
      </c>
      <c r="E13" s="99">
        <f>Summary!$E$17</f>
        <v>0.1</v>
      </c>
      <c r="G13" s="87">
        <f>SUMPRODUCT(G14:G18,$E14:$E18)</f>
        <v>0</v>
      </c>
      <c r="H13" s="117"/>
      <c r="J13" s="87">
        <f>SUMPRODUCT(J14:J18,$E14:$E18)</f>
        <v>0</v>
      </c>
      <c r="K13" s="117"/>
      <c r="M13" s="87">
        <f>SUMPRODUCT(M14:M18,$E14:$E18)</f>
        <v>0</v>
      </c>
      <c r="N13" s="117"/>
      <c r="P13" s="87">
        <f>SUMPRODUCT(P14:P18,$E14:$E18)</f>
        <v>0</v>
      </c>
      <c r="Q13" s="117"/>
      <c r="S13" s="87">
        <f>SUMPRODUCT(S14:S18,$E14:$E18)</f>
        <v>0</v>
      </c>
      <c r="T13" s="117"/>
      <c r="V13" s="87">
        <f>SUMPRODUCT(V14:V18,$E14:$E18)</f>
        <v>0</v>
      </c>
      <c r="W13" s="117"/>
    </row>
    <row r="14" spans="1:23" ht="25.5">
      <c r="A14" s="35"/>
      <c r="C14" s="84"/>
      <c r="D14" s="133" t="s">
        <v>25</v>
      </c>
      <c r="E14" s="98">
        <f>IF(Summary!$F$17=0,0,100%/Summary!$F$17)</f>
        <v>0.2</v>
      </c>
      <c r="G14" s="88">
        <v>0</v>
      </c>
      <c r="H14" s="116"/>
      <c r="J14" s="88">
        <v>0</v>
      </c>
      <c r="K14" s="116"/>
      <c r="M14" s="88">
        <v>0</v>
      </c>
      <c r="N14" s="116"/>
      <c r="P14" s="88">
        <v>0</v>
      </c>
      <c r="Q14" s="116"/>
      <c r="S14" s="88">
        <v>0</v>
      </c>
      <c r="T14" s="116"/>
      <c r="V14" s="88">
        <v>0</v>
      </c>
      <c r="W14" s="116"/>
    </row>
    <row r="15" spans="1:23" ht="25.5">
      <c r="C15" s="84"/>
      <c r="D15" s="132" t="s">
        <v>26</v>
      </c>
      <c r="E15" s="98">
        <f>IF(Summary!$F$17=0,0,100%/Summary!$F$17)</f>
        <v>0.2</v>
      </c>
      <c r="G15" s="88">
        <v>0</v>
      </c>
      <c r="H15" s="116"/>
      <c r="J15" s="88">
        <v>0</v>
      </c>
      <c r="K15" s="116"/>
      <c r="M15" s="88">
        <v>0</v>
      </c>
      <c r="N15" s="116"/>
      <c r="P15" s="88">
        <v>0</v>
      </c>
      <c r="Q15" s="116"/>
      <c r="S15" s="88">
        <v>0</v>
      </c>
      <c r="T15" s="116"/>
      <c r="V15" s="88">
        <v>0</v>
      </c>
      <c r="W15" s="116"/>
    </row>
    <row r="16" spans="1:23" ht="25.5">
      <c r="A16" s="137"/>
      <c r="C16" s="84"/>
      <c r="D16" s="132" t="s">
        <v>27</v>
      </c>
      <c r="E16" s="98">
        <f>IF(Summary!$F$17=0,0,100%/Summary!$F$17)</f>
        <v>0.2</v>
      </c>
      <c r="G16" s="88">
        <v>0</v>
      </c>
      <c r="H16" s="116"/>
      <c r="J16" s="88">
        <v>0</v>
      </c>
      <c r="K16" s="116"/>
      <c r="M16" s="88">
        <v>0</v>
      </c>
      <c r="N16" s="116"/>
      <c r="P16" s="88">
        <v>0</v>
      </c>
      <c r="Q16" s="116"/>
      <c r="S16" s="88">
        <v>0</v>
      </c>
      <c r="T16" s="116"/>
      <c r="V16" s="88">
        <v>0</v>
      </c>
      <c r="W16" s="116"/>
    </row>
    <row r="17" spans="1:23" ht="76.5">
      <c r="A17" s="35"/>
      <c r="C17" s="84"/>
      <c r="D17" s="132" t="s">
        <v>28</v>
      </c>
      <c r="E17" s="98">
        <f>IF(Summary!$F$17=0,0,100%/Summary!$F$17)</f>
        <v>0.2</v>
      </c>
      <c r="G17" s="88">
        <v>0</v>
      </c>
      <c r="H17" s="116"/>
      <c r="J17" s="88">
        <v>0</v>
      </c>
      <c r="K17" s="116"/>
      <c r="M17" s="88">
        <v>0</v>
      </c>
      <c r="N17" s="116"/>
      <c r="P17" s="88">
        <v>0</v>
      </c>
      <c r="Q17" s="116"/>
      <c r="S17" s="88">
        <v>0</v>
      </c>
      <c r="T17" s="116"/>
      <c r="V17" s="88">
        <v>0</v>
      </c>
      <c r="W17" s="116"/>
    </row>
    <row r="18" spans="1:23" ht="26.25" thickBot="1">
      <c r="A18" s="35"/>
      <c r="C18" s="84"/>
      <c r="D18" s="132" t="s">
        <v>29</v>
      </c>
      <c r="E18" s="98">
        <f>IF(Summary!$F$17=0,0,100%/Summary!$F$17)</f>
        <v>0.2</v>
      </c>
      <c r="G18" s="88">
        <v>0</v>
      </c>
      <c r="H18" s="116"/>
      <c r="J18" s="88">
        <v>0</v>
      </c>
      <c r="K18" s="116"/>
      <c r="M18" s="88">
        <v>0</v>
      </c>
      <c r="N18" s="116"/>
      <c r="P18" s="88">
        <v>0</v>
      </c>
      <c r="Q18" s="116"/>
      <c r="S18" s="88">
        <v>0</v>
      </c>
      <c r="T18" s="116"/>
      <c r="V18" s="88">
        <v>0</v>
      </c>
      <c r="W18" s="116"/>
    </row>
    <row r="19" spans="1:23">
      <c r="C19" s="84"/>
      <c r="D19" s="109" t="str">
        <f>Summary!$D$18</f>
        <v>Security</v>
      </c>
      <c r="E19" s="99">
        <f>Summary!$E$18</f>
        <v>0.2</v>
      </c>
      <c r="G19" s="87">
        <f>SUMPRODUCT(G20:G26,$E20:$E26)</f>
        <v>0</v>
      </c>
      <c r="H19" s="117"/>
      <c r="J19" s="87">
        <f>SUMPRODUCT(J20:J26,$E20:$E26)</f>
        <v>0</v>
      </c>
      <c r="K19" s="117"/>
      <c r="M19" s="87">
        <f>SUMPRODUCT(M20:M26,$E20:$E26)</f>
        <v>0</v>
      </c>
      <c r="N19" s="117"/>
      <c r="P19" s="87">
        <f>SUMPRODUCT(P20:P26,$E20:$E26)</f>
        <v>0</v>
      </c>
      <c r="Q19" s="117"/>
      <c r="S19" s="87">
        <f>SUMPRODUCT(S20:S26,$E20:$E26)</f>
        <v>0</v>
      </c>
      <c r="T19" s="117"/>
      <c r="V19" s="87">
        <f>SUMPRODUCT(V20:V26,$E20:$E26)</f>
        <v>0</v>
      </c>
      <c r="W19" s="117"/>
    </row>
    <row r="20" spans="1:23" ht="76.5">
      <c r="A20" s="137"/>
      <c r="C20" s="84"/>
      <c r="D20" s="134" t="s">
        <v>30</v>
      </c>
      <c r="E20" s="98">
        <f>IF(Summary!$F$18=0,0,100%/Summary!$F$18)</f>
        <v>0.14285714285714285</v>
      </c>
      <c r="G20" s="88">
        <v>0</v>
      </c>
      <c r="H20" s="116"/>
      <c r="J20" s="88">
        <v>0</v>
      </c>
      <c r="K20" s="116"/>
      <c r="M20" s="88">
        <v>0</v>
      </c>
      <c r="N20" s="116"/>
      <c r="P20" s="88">
        <v>0</v>
      </c>
      <c r="Q20" s="116"/>
      <c r="S20" s="88">
        <v>0</v>
      </c>
      <c r="T20" s="116"/>
      <c r="V20" s="88">
        <v>0</v>
      </c>
      <c r="W20" s="116"/>
    </row>
    <row r="21" spans="1:23" ht="38.25">
      <c r="C21" s="84"/>
      <c r="D21" s="134" t="s">
        <v>31</v>
      </c>
      <c r="E21" s="98">
        <f>IF(Summary!$F$18=0,0,100%/Summary!$F$18)</f>
        <v>0.14285714285714285</v>
      </c>
      <c r="G21" s="88">
        <v>0</v>
      </c>
      <c r="H21" s="116"/>
      <c r="J21" s="88">
        <v>0</v>
      </c>
      <c r="K21" s="116"/>
      <c r="M21" s="88">
        <v>0</v>
      </c>
      <c r="N21" s="116"/>
      <c r="P21" s="88">
        <v>0</v>
      </c>
      <c r="Q21" s="116"/>
      <c r="S21" s="88">
        <v>0</v>
      </c>
      <c r="T21" s="116"/>
      <c r="V21" s="88">
        <v>0</v>
      </c>
      <c r="W21" s="116"/>
    </row>
    <row r="22" spans="1:23" ht="38.25">
      <c r="C22" s="84"/>
      <c r="D22" s="134" t="s">
        <v>32</v>
      </c>
      <c r="E22" s="98">
        <f>IF(Summary!$F$18=0,0,100%/Summary!$F$18)</f>
        <v>0.14285714285714285</v>
      </c>
      <c r="G22" s="88"/>
      <c r="H22" s="116"/>
      <c r="J22" s="88"/>
      <c r="K22" s="116"/>
      <c r="M22" s="88"/>
      <c r="N22" s="116"/>
      <c r="P22" s="88"/>
      <c r="Q22" s="116"/>
      <c r="S22" s="88"/>
      <c r="T22" s="116"/>
      <c r="V22" s="88"/>
      <c r="W22" s="116"/>
    </row>
    <row r="23" spans="1:23" ht="38.25">
      <c r="C23" s="84"/>
      <c r="D23" s="134" t="s">
        <v>33</v>
      </c>
      <c r="E23" s="98">
        <f>IF(Summary!$F$18=0,0,100%/Summary!$F$18)</f>
        <v>0.14285714285714285</v>
      </c>
      <c r="G23" s="88"/>
      <c r="H23" s="116"/>
      <c r="J23" s="88"/>
      <c r="K23" s="116"/>
      <c r="M23" s="88"/>
      <c r="N23" s="116"/>
      <c r="P23" s="88"/>
      <c r="Q23" s="116"/>
      <c r="S23" s="88"/>
      <c r="T23" s="116"/>
      <c r="V23" s="88"/>
      <c r="W23" s="116"/>
    </row>
    <row r="24" spans="1:23" ht="25.5">
      <c r="C24" s="84"/>
      <c r="D24" s="134" t="s">
        <v>34</v>
      </c>
      <c r="E24" s="98">
        <f>IF(Summary!$F$18=0,0,100%/Summary!$F$18)</f>
        <v>0.14285714285714285</v>
      </c>
      <c r="G24" s="88">
        <v>0</v>
      </c>
      <c r="H24" s="116"/>
      <c r="J24" s="88">
        <v>0</v>
      </c>
      <c r="K24" s="116"/>
      <c r="M24" s="88">
        <v>0</v>
      </c>
      <c r="N24" s="116"/>
      <c r="P24" s="88">
        <v>0</v>
      </c>
      <c r="Q24" s="116"/>
      <c r="S24" s="88">
        <v>0</v>
      </c>
      <c r="T24" s="116"/>
      <c r="V24" s="88">
        <v>0</v>
      </c>
      <c r="W24" s="116"/>
    </row>
    <row r="25" spans="1:23" ht="89.25">
      <c r="C25" s="84"/>
      <c r="D25" s="134" t="s">
        <v>35</v>
      </c>
      <c r="E25" s="98">
        <f>IF(Summary!$F$18=0,0,100%/Summary!$F$18)</f>
        <v>0.14285714285714285</v>
      </c>
      <c r="G25" s="88">
        <v>0</v>
      </c>
      <c r="H25" s="116"/>
      <c r="J25" s="88">
        <v>0</v>
      </c>
      <c r="K25" s="116"/>
      <c r="M25" s="88">
        <v>0</v>
      </c>
      <c r="N25" s="116"/>
      <c r="P25" s="88">
        <v>0</v>
      </c>
      <c r="Q25" s="116"/>
      <c r="S25" s="88">
        <v>0</v>
      </c>
      <c r="T25" s="116"/>
      <c r="V25" s="88">
        <v>0</v>
      </c>
      <c r="W25" s="116"/>
    </row>
    <row r="26" spans="1:23" ht="26.25" thickBot="1">
      <c r="C26" s="84"/>
      <c r="D26" s="134" t="s">
        <v>36</v>
      </c>
      <c r="E26" s="98">
        <f>IF(Summary!$F$18=0,0,100%/Summary!$F$18)</f>
        <v>0.14285714285714285</v>
      </c>
      <c r="G26" s="88">
        <v>0</v>
      </c>
      <c r="H26" s="116"/>
      <c r="J26" s="88">
        <v>0</v>
      </c>
      <c r="K26" s="116"/>
      <c r="M26" s="88">
        <v>0</v>
      </c>
      <c r="N26" s="116"/>
      <c r="P26" s="88">
        <v>0</v>
      </c>
      <c r="Q26" s="116"/>
      <c r="S26" s="88">
        <v>0</v>
      </c>
      <c r="T26" s="116"/>
      <c r="V26" s="88">
        <v>0</v>
      </c>
      <c r="W26" s="116"/>
    </row>
    <row r="27" spans="1:23">
      <c r="A27" s="137"/>
      <c r="C27" s="84"/>
      <c r="D27" s="109" t="str">
        <f>Summary!$D$19</f>
        <v>Architectural Alignment</v>
      </c>
      <c r="E27" s="99">
        <f>Summary!$E$19</f>
        <v>0.1</v>
      </c>
      <c r="G27" s="87">
        <f>SUMPRODUCT(G28:G31,$E28:$E31)</f>
        <v>0</v>
      </c>
      <c r="H27" s="118"/>
      <c r="J27" s="87">
        <f>SUMPRODUCT(J28:J31,$E28:$E31)</f>
        <v>0</v>
      </c>
      <c r="K27" s="118"/>
      <c r="M27" s="87">
        <f>SUMPRODUCT(M28:M31,$E28:$E31)</f>
        <v>0</v>
      </c>
      <c r="N27" s="118"/>
      <c r="P27" s="87">
        <f>SUMPRODUCT(P28:P31,$E28:$E31)</f>
        <v>0</v>
      </c>
      <c r="Q27" s="118"/>
      <c r="S27" s="87">
        <f>SUMPRODUCT(S28:S31,$E28:$E31)</f>
        <v>0</v>
      </c>
      <c r="T27" s="118"/>
      <c r="V27" s="87">
        <f>SUMPRODUCT(V28:V31,$E28:$E31)</f>
        <v>0</v>
      </c>
      <c r="W27" s="118"/>
    </row>
    <row r="28" spans="1:23" ht="76.5">
      <c r="C28" s="84"/>
      <c r="D28" s="132" t="s">
        <v>37</v>
      </c>
      <c r="E28" s="98">
        <f>IF(Summary!$F$19=0,0,100%/Summary!$F$19)</f>
        <v>0.25</v>
      </c>
      <c r="G28" s="88">
        <v>0</v>
      </c>
      <c r="H28" s="119"/>
      <c r="J28" s="88">
        <v>0</v>
      </c>
      <c r="K28" s="116"/>
      <c r="M28" s="88">
        <v>0</v>
      </c>
      <c r="N28" s="116"/>
      <c r="P28" s="88">
        <v>0</v>
      </c>
      <c r="Q28" s="116"/>
      <c r="S28" s="88">
        <v>0</v>
      </c>
      <c r="T28" s="116"/>
      <c r="V28" s="88">
        <v>0</v>
      </c>
      <c r="W28" s="116"/>
    </row>
    <row r="29" spans="1:23" ht="102">
      <c r="C29" s="84"/>
      <c r="D29" s="132" t="s">
        <v>38</v>
      </c>
      <c r="E29" s="98">
        <f>IF(Summary!$F$19=0,0,100%/Summary!$F$19)</f>
        <v>0.25</v>
      </c>
      <c r="G29" s="88">
        <v>0</v>
      </c>
      <c r="H29" s="116"/>
      <c r="J29" s="88">
        <v>0</v>
      </c>
      <c r="K29" s="116"/>
      <c r="M29" s="88">
        <v>0</v>
      </c>
      <c r="N29" s="116"/>
      <c r="P29" s="88">
        <v>0</v>
      </c>
      <c r="Q29" s="116"/>
      <c r="S29" s="88">
        <v>0</v>
      </c>
      <c r="T29" s="116"/>
      <c r="V29" s="88">
        <v>0</v>
      </c>
      <c r="W29" s="116"/>
    </row>
    <row r="30" spans="1:23" ht="89.25">
      <c r="C30" s="84"/>
      <c r="D30" s="132" t="s">
        <v>39</v>
      </c>
      <c r="E30" s="98">
        <f>IF(Summary!$F$19=0,0,100%/Summary!$F$19)</f>
        <v>0.25</v>
      </c>
      <c r="G30" s="88">
        <v>0</v>
      </c>
      <c r="H30" s="116"/>
      <c r="J30" s="88">
        <v>0</v>
      </c>
      <c r="K30" s="116"/>
      <c r="M30" s="88">
        <v>0</v>
      </c>
      <c r="N30" s="116"/>
      <c r="P30" s="88">
        <v>0</v>
      </c>
      <c r="Q30" s="116"/>
      <c r="S30" s="88">
        <v>0</v>
      </c>
      <c r="T30" s="116"/>
      <c r="V30" s="88">
        <v>0</v>
      </c>
      <c r="W30" s="116"/>
    </row>
    <row r="31" spans="1:23" ht="26.25" thickBot="1">
      <c r="C31" s="84"/>
      <c r="D31" s="132" t="s">
        <v>40</v>
      </c>
      <c r="E31" s="98">
        <f>IF(Summary!$F$19=0,0,100%/Summary!$F$19)</f>
        <v>0.25</v>
      </c>
      <c r="G31" s="88">
        <v>0</v>
      </c>
      <c r="H31" s="116"/>
      <c r="J31" s="88">
        <v>0</v>
      </c>
      <c r="K31" s="116"/>
      <c r="M31" s="88">
        <v>0</v>
      </c>
      <c r="N31" s="116"/>
      <c r="P31" s="88">
        <v>0</v>
      </c>
      <c r="Q31" s="116"/>
      <c r="S31" s="88">
        <v>0</v>
      </c>
      <c r="T31" s="116"/>
      <c r="V31" s="88">
        <v>0</v>
      </c>
      <c r="W31" s="116"/>
    </row>
    <row r="32" spans="1:23">
      <c r="C32" s="84"/>
      <c r="D32" s="109" t="str">
        <f>Summary!$D$20</f>
        <v>Implementation Timeline</v>
      </c>
      <c r="E32" s="99">
        <f>Summary!$E$20</f>
        <v>0.1</v>
      </c>
      <c r="G32" s="87">
        <f>SUMPRODUCT(G33:G34,$E33:$E34)</f>
        <v>0</v>
      </c>
      <c r="H32" s="118"/>
      <c r="J32" s="87">
        <f>SUMPRODUCT(J33:J34,$E33:$E34)</f>
        <v>0</v>
      </c>
      <c r="K32" s="118"/>
      <c r="M32" s="87">
        <f>SUMPRODUCT(M33:M34,$E33:$E34)</f>
        <v>0</v>
      </c>
      <c r="N32" s="118"/>
      <c r="P32" s="87">
        <f>SUMPRODUCT(P33:P34,$E33:$E34)</f>
        <v>0</v>
      </c>
      <c r="Q32" s="118"/>
      <c r="S32" s="87">
        <f>SUMPRODUCT(S33:S34,$E33:$E34)</f>
        <v>0</v>
      </c>
      <c r="T32" s="118"/>
      <c r="V32" s="87">
        <f>SUMPRODUCT(V33:V34,$E33:$E34)</f>
        <v>0</v>
      </c>
      <c r="W32" s="118"/>
    </row>
    <row r="33" spans="3:23" ht="38.25">
      <c r="C33" s="84"/>
      <c r="D33" s="131" t="s">
        <v>41</v>
      </c>
      <c r="E33" s="98">
        <f>IF(Summary!$F$20=0,0,100%/Summary!$F$20)</f>
        <v>0.5</v>
      </c>
      <c r="G33" s="88">
        <v>0</v>
      </c>
      <c r="H33" s="116"/>
      <c r="J33" s="88">
        <v>0</v>
      </c>
      <c r="K33" s="116"/>
      <c r="M33" s="88">
        <v>0</v>
      </c>
      <c r="N33" s="116"/>
      <c r="P33" s="88">
        <v>0</v>
      </c>
      <c r="Q33" s="116"/>
      <c r="S33" s="88">
        <v>0</v>
      </c>
      <c r="T33" s="116"/>
      <c r="V33" s="88">
        <v>0</v>
      </c>
      <c r="W33" s="116"/>
    </row>
    <row r="34" spans="3:23" ht="26.25" thickBot="1">
      <c r="C34" s="84"/>
      <c r="D34" s="135" t="s">
        <v>42</v>
      </c>
      <c r="E34" s="98">
        <f>IF(Summary!$F$20=0,0,100%/Summary!$F$20)</f>
        <v>0.5</v>
      </c>
      <c r="G34" s="88">
        <v>0</v>
      </c>
      <c r="H34" s="116"/>
      <c r="J34" s="88">
        <v>0</v>
      </c>
      <c r="K34" s="116"/>
      <c r="M34" s="88">
        <v>0</v>
      </c>
      <c r="N34" s="116"/>
      <c r="P34" s="88">
        <v>0</v>
      </c>
      <c r="Q34" s="116"/>
      <c r="S34" s="88">
        <v>0</v>
      </c>
      <c r="T34" s="116"/>
      <c r="V34" s="88">
        <v>0</v>
      </c>
      <c r="W34" s="116"/>
    </row>
    <row r="35" spans="3:23">
      <c r="C35" s="84"/>
      <c r="D35" s="109" t="str">
        <f>Summary!$D$21</f>
        <v>Data and Analytics</v>
      </c>
      <c r="E35" s="99">
        <f>Summary!$E$21</f>
        <v>0.1</v>
      </c>
      <c r="G35" s="87">
        <f>SUMPRODUCT(G36:G41,$E36:$E41)</f>
        <v>0</v>
      </c>
      <c r="H35" s="117"/>
      <c r="J35" s="87">
        <f>SUMPRODUCT(J36:J41,$E36:$E41)</f>
        <v>0</v>
      </c>
      <c r="K35" s="117"/>
      <c r="M35" s="87">
        <f>SUMPRODUCT(M36:M41,$E36:$E41)</f>
        <v>0</v>
      </c>
      <c r="N35" s="117"/>
      <c r="P35" s="87">
        <f>SUMPRODUCT(P36:P41,$E36:$E41)</f>
        <v>0</v>
      </c>
      <c r="Q35" s="117"/>
      <c r="S35" s="87">
        <f>SUMPRODUCT(S36:S41,$E36:$E41)</f>
        <v>0</v>
      </c>
      <c r="T35" s="117"/>
      <c r="V35" s="87">
        <f>SUMPRODUCT(V36:V41,$E36:$E41)</f>
        <v>0</v>
      </c>
      <c r="W35" s="117"/>
    </row>
    <row r="36" spans="3:23" ht="76.5">
      <c r="C36" s="84"/>
      <c r="D36" s="136" t="s">
        <v>43</v>
      </c>
      <c r="E36" s="98">
        <f>IF(Summary!$F$21=0,0,100%/Summary!$F$21)</f>
        <v>0.16666666666666666</v>
      </c>
      <c r="G36" s="88">
        <v>0</v>
      </c>
      <c r="H36" s="116"/>
      <c r="J36" s="88">
        <v>0</v>
      </c>
      <c r="K36" s="116"/>
      <c r="M36" s="88">
        <v>0</v>
      </c>
      <c r="N36" s="116"/>
      <c r="P36" s="88">
        <v>0</v>
      </c>
      <c r="Q36" s="116"/>
      <c r="S36" s="88">
        <v>0</v>
      </c>
      <c r="T36" s="116"/>
      <c r="V36" s="88">
        <v>0</v>
      </c>
      <c r="W36" s="116"/>
    </row>
    <row r="37" spans="3:23" ht="38.25">
      <c r="C37" s="84"/>
      <c r="D37" s="136" t="s">
        <v>44</v>
      </c>
      <c r="E37" s="98">
        <f>IF(Summary!$F$21=0,0,100%/Summary!$F$21)</f>
        <v>0.16666666666666666</v>
      </c>
      <c r="G37" s="88">
        <v>0</v>
      </c>
      <c r="H37" s="116"/>
      <c r="J37" s="88">
        <v>0</v>
      </c>
      <c r="K37" s="116"/>
      <c r="M37" s="88">
        <v>0</v>
      </c>
      <c r="N37" s="116"/>
      <c r="P37" s="88">
        <v>0</v>
      </c>
      <c r="Q37" s="116"/>
      <c r="S37" s="88">
        <v>0</v>
      </c>
      <c r="T37" s="116"/>
      <c r="V37" s="88">
        <v>0</v>
      </c>
      <c r="W37" s="116"/>
    </row>
    <row r="38" spans="3:23" ht="38.25">
      <c r="C38" s="84"/>
      <c r="D38" s="136" t="s">
        <v>45</v>
      </c>
      <c r="E38" s="98">
        <f>IF(Summary!$F$21=0,0,100%/Summary!$F$21)</f>
        <v>0.16666666666666666</v>
      </c>
      <c r="G38" s="88">
        <v>0</v>
      </c>
      <c r="H38" s="116"/>
      <c r="J38" s="88">
        <v>0</v>
      </c>
      <c r="K38" s="116"/>
      <c r="M38" s="88">
        <v>0</v>
      </c>
      <c r="N38" s="116"/>
      <c r="P38" s="88">
        <v>0</v>
      </c>
      <c r="Q38" s="116"/>
      <c r="S38" s="88">
        <v>0</v>
      </c>
      <c r="T38" s="116"/>
      <c r="V38" s="88">
        <v>0</v>
      </c>
      <c r="W38" s="116"/>
    </row>
    <row r="39" spans="3:23" ht="38.25">
      <c r="C39" s="84"/>
      <c r="D39" s="136" t="s">
        <v>46</v>
      </c>
      <c r="E39" s="98">
        <f>IF(Summary!$F$21=0,0,100%/Summary!$F$21)</f>
        <v>0.16666666666666666</v>
      </c>
      <c r="G39" s="88">
        <v>0</v>
      </c>
      <c r="H39" s="116"/>
      <c r="J39" s="88">
        <v>0</v>
      </c>
      <c r="K39" s="116"/>
      <c r="M39" s="88">
        <v>0</v>
      </c>
      <c r="N39" s="116"/>
      <c r="P39" s="88">
        <v>0</v>
      </c>
      <c r="Q39" s="116"/>
      <c r="S39" s="88">
        <v>0</v>
      </c>
      <c r="T39" s="116"/>
      <c r="V39" s="88">
        <v>0</v>
      </c>
      <c r="W39" s="116"/>
    </row>
    <row r="40" spans="3:23" ht="38.25">
      <c r="C40" s="84"/>
      <c r="D40" s="136" t="s">
        <v>47</v>
      </c>
      <c r="E40" s="98">
        <f>IF(Summary!$F$21=0,0,100%/Summary!$F$21)</f>
        <v>0.16666666666666666</v>
      </c>
      <c r="G40" s="88">
        <v>0</v>
      </c>
      <c r="H40" s="116"/>
      <c r="J40" s="88">
        <v>0</v>
      </c>
      <c r="K40" s="116"/>
      <c r="M40" s="88">
        <v>0</v>
      </c>
      <c r="N40" s="116"/>
      <c r="P40" s="88">
        <v>0</v>
      </c>
      <c r="Q40" s="116"/>
      <c r="S40" s="88">
        <v>0</v>
      </c>
      <c r="T40" s="116"/>
      <c r="V40" s="88">
        <v>0</v>
      </c>
      <c r="W40" s="116"/>
    </row>
    <row r="41" spans="3:23" ht="26.25" thickBot="1">
      <c r="C41" s="84"/>
      <c r="D41" s="132" t="s">
        <v>48</v>
      </c>
      <c r="E41" s="98">
        <f>IF(Summary!$F$21=0,0,100%/Summary!$F$21)</f>
        <v>0.16666666666666666</v>
      </c>
      <c r="G41" s="88">
        <v>0</v>
      </c>
      <c r="H41" s="116"/>
      <c r="J41" s="88">
        <v>0</v>
      </c>
      <c r="K41" s="116"/>
      <c r="M41" s="88">
        <v>0</v>
      </c>
      <c r="N41" s="116"/>
      <c r="P41" s="88">
        <v>0</v>
      </c>
      <c r="Q41" s="116"/>
      <c r="S41" s="88">
        <v>0</v>
      </c>
      <c r="T41" s="116"/>
      <c r="V41" s="88">
        <v>0</v>
      </c>
      <c r="W41" s="116"/>
    </row>
    <row r="42" spans="3:23">
      <c r="C42" s="84"/>
      <c r="D42" s="109" t="str">
        <f>Summary!$D$22</f>
        <v>Artificial Intelligence &amp; Machine Learning</v>
      </c>
      <c r="E42" s="99">
        <f>Summary!$E$22</f>
        <v>0.1</v>
      </c>
      <c r="G42" s="87">
        <f>SUMPRODUCT(G43:G45,$E43:$E45)</f>
        <v>0</v>
      </c>
      <c r="H42" s="118"/>
      <c r="J42" s="87">
        <f>SUMPRODUCT(J43:J45,$E43:$E45)</f>
        <v>0</v>
      </c>
      <c r="K42" s="118"/>
      <c r="M42" s="87">
        <f>SUMPRODUCT(M43:M45,$E43:$E45)</f>
        <v>0</v>
      </c>
      <c r="N42" s="118"/>
      <c r="P42" s="87">
        <f>SUMPRODUCT(P43:P45,$E43:$E45)</f>
        <v>0</v>
      </c>
      <c r="Q42" s="118"/>
      <c r="S42" s="87">
        <f>SUMPRODUCT(S43:S45,$E43:$E45)</f>
        <v>0</v>
      </c>
      <c r="T42" s="118"/>
      <c r="V42" s="87">
        <f>SUMPRODUCT(V43:V45,$E43:$E45)</f>
        <v>0</v>
      </c>
      <c r="W42" s="118"/>
    </row>
    <row r="43" spans="3:23" ht="25.5">
      <c r="C43" s="84"/>
      <c r="D43" s="136" t="s">
        <v>49</v>
      </c>
      <c r="E43" s="98">
        <f>IF(Summary!$F$22=0,0,100%/Summary!$F$22)</f>
        <v>0.33333333333333331</v>
      </c>
      <c r="G43" s="88">
        <v>0</v>
      </c>
      <c r="H43" s="116"/>
      <c r="J43" s="88">
        <v>0</v>
      </c>
      <c r="K43" s="116"/>
      <c r="M43" s="88">
        <v>0</v>
      </c>
      <c r="N43" s="116"/>
      <c r="P43" s="88">
        <v>0</v>
      </c>
      <c r="Q43" s="116"/>
      <c r="S43" s="88">
        <v>0</v>
      </c>
      <c r="T43" s="116"/>
      <c r="V43" s="88">
        <v>0</v>
      </c>
      <c r="W43" s="116"/>
    </row>
    <row r="44" spans="3:23">
      <c r="C44" s="84"/>
      <c r="D44" s="136" t="s">
        <v>50</v>
      </c>
      <c r="E44" s="98">
        <f>IF(Summary!$F$22=0,0,100%/Summary!$F$22)</f>
        <v>0.33333333333333331</v>
      </c>
      <c r="G44" s="88">
        <v>0</v>
      </c>
      <c r="H44" s="116"/>
      <c r="J44" s="88">
        <v>0</v>
      </c>
      <c r="K44" s="116"/>
      <c r="M44" s="88">
        <v>0</v>
      </c>
      <c r="N44" s="116"/>
      <c r="P44" s="88">
        <v>0</v>
      </c>
      <c r="Q44" s="116"/>
      <c r="S44" s="88">
        <v>0</v>
      </c>
      <c r="T44" s="116"/>
      <c r="V44" s="88">
        <v>0</v>
      </c>
      <c r="W44" s="116"/>
    </row>
    <row r="45" spans="3:23" ht="26.25" thickBot="1">
      <c r="C45" s="84"/>
      <c r="D45" s="136" t="s">
        <v>51</v>
      </c>
      <c r="E45" s="98">
        <f>IF(Summary!$F$22=0,0,100%/Summary!$F$22)</f>
        <v>0.33333333333333331</v>
      </c>
      <c r="G45" s="88">
        <v>0</v>
      </c>
      <c r="H45" s="116"/>
      <c r="J45" s="88">
        <v>0</v>
      </c>
      <c r="K45" s="116"/>
      <c r="M45" s="88">
        <v>0</v>
      </c>
      <c r="N45" s="116"/>
      <c r="P45" s="88">
        <v>0</v>
      </c>
      <c r="Q45" s="116"/>
      <c r="S45" s="88">
        <v>0</v>
      </c>
      <c r="T45" s="116"/>
      <c r="V45" s="88">
        <v>0</v>
      </c>
      <c r="W45" s="116"/>
    </row>
    <row r="46" spans="3:23">
      <c r="C46" s="84"/>
      <c r="D46" s="109" t="str">
        <f>Summary!$D$23</f>
        <v>Generative AI (Situational Criteria)</v>
      </c>
      <c r="E46" s="99">
        <f>Summary!$E$23</f>
        <v>0.1</v>
      </c>
      <c r="G46" s="87">
        <f>SUMPRODUCT(G47:G70,$E47:$E70)</f>
        <v>0</v>
      </c>
      <c r="H46" s="118"/>
      <c r="J46" s="87">
        <f>SUMPRODUCT(J47:J70,$E47:$E70)</f>
        <v>0</v>
      </c>
      <c r="K46" s="118"/>
      <c r="M46" s="87">
        <f>SUMPRODUCT(M47:M70,$E47:$E70)</f>
        <v>0</v>
      </c>
      <c r="N46" s="118"/>
      <c r="P46" s="87">
        <f>SUMPRODUCT(P47:P70,$E47:$E70)</f>
        <v>0</v>
      </c>
      <c r="Q46" s="118"/>
      <c r="S46" s="87">
        <f>SUMPRODUCT(S47:S70,$E47:$E70)</f>
        <v>0</v>
      </c>
      <c r="T46" s="118"/>
      <c r="V46" s="87">
        <f>SUMPRODUCT(V47:V70,$E47:$E70)</f>
        <v>0</v>
      </c>
      <c r="W46" s="118"/>
    </row>
    <row r="47" spans="3:23">
      <c r="C47" s="84"/>
      <c r="D47" s="139" t="s">
        <v>52</v>
      </c>
      <c r="E47" s="140">
        <f>IF(Summary!$F$23=0,0,100%/Summary!$F$23)</f>
        <v>4.1666666666666664E-2</v>
      </c>
      <c r="G47" s="88">
        <v>0</v>
      </c>
      <c r="H47" s="116"/>
      <c r="J47" s="88">
        <v>0</v>
      </c>
      <c r="K47" s="116"/>
      <c r="M47" s="88">
        <v>0</v>
      </c>
      <c r="N47" s="116"/>
      <c r="P47" s="88">
        <v>0</v>
      </c>
      <c r="Q47" s="116"/>
      <c r="S47" s="88">
        <v>0</v>
      </c>
      <c r="T47" s="116"/>
      <c r="V47" s="88">
        <v>0</v>
      </c>
      <c r="W47" s="116"/>
    </row>
    <row r="48" spans="3:23">
      <c r="C48" s="84"/>
      <c r="D48" s="139" t="s">
        <v>53</v>
      </c>
      <c r="E48" s="140">
        <f>IF(Summary!$F$23=0,0,100%/Summary!$F$23)</f>
        <v>4.1666666666666664E-2</v>
      </c>
      <c r="G48" s="88">
        <v>0</v>
      </c>
      <c r="H48" s="116"/>
      <c r="J48" s="88">
        <v>0</v>
      </c>
      <c r="K48" s="116"/>
      <c r="M48" s="88">
        <v>0</v>
      </c>
      <c r="N48" s="116"/>
      <c r="P48" s="88">
        <v>0</v>
      </c>
      <c r="Q48" s="116"/>
      <c r="S48" s="88">
        <v>0</v>
      </c>
      <c r="T48" s="116"/>
      <c r="V48" s="88">
        <v>0</v>
      </c>
      <c r="W48" s="116"/>
    </row>
    <row r="49" spans="3:23">
      <c r="C49" s="84"/>
      <c r="D49" s="139" t="s">
        <v>54</v>
      </c>
      <c r="E49" s="140">
        <f>IF(Summary!$F$23=0,0,100%/Summary!$F$23)</f>
        <v>4.1666666666666664E-2</v>
      </c>
      <c r="G49" s="88">
        <v>0</v>
      </c>
      <c r="H49" s="116"/>
      <c r="J49" s="88">
        <v>0</v>
      </c>
      <c r="K49" s="116"/>
      <c r="M49" s="88">
        <v>0</v>
      </c>
      <c r="N49" s="116"/>
      <c r="P49" s="88">
        <v>0</v>
      </c>
      <c r="Q49" s="116"/>
      <c r="S49" s="88">
        <v>0</v>
      </c>
      <c r="T49" s="116"/>
      <c r="V49" s="88">
        <v>0</v>
      </c>
      <c r="W49" s="116"/>
    </row>
    <row r="50" spans="3:23">
      <c r="C50" s="84"/>
      <c r="D50" s="139" t="s">
        <v>55</v>
      </c>
      <c r="E50" s="140">
        <f>IF(Summary!$F$23=0,0,100%/Summary!$F$23)</f>
        <v>4.1666666666666664E-2</v>
      </c>
      <c r="G50" s="88">
        <v>0</v>
      </c>
      <c r="H50" s="116"/>
      <c r="J50" s="88">
        <v>0</v>
      </c>
      <c r="K50" s="116"/>
      <c r="M50" s="88">
        <v>0</v>
      </c>
      <c r="N50" s="116"/>
      <c r="P50" s="88">
        <v>0</v>
      </c>
      <c r="Q50" s="116"/>
      <c r="S50" s="88">
        <v>0</v>
      </c>
      <c r="T50" s="116"/>
      <c r="V50" s="88">
        <v>0</v>
      </c>
      <c r="W50" s="116"/>
    </row>
    <row r="51" spans="3:23">
      <c r="C51" s="84"/>
      <c r="D51" s="139" t="s">
        <v>56</v>
      </c>
      <c r="E51" s="140">
        <f>IF(Summary!$F$23=0,0,100%/Summary!$F$23)</f>
        <v>4.1666666666666664E-2</v>
      </c>
      <c r="G51" s="88">
        <v>0</v>
      </c>
      <c r="H51" s="116"/>
      <c r="J51" s="88">
        <v>0</v>
      </c>
      <c r="K51" s="116"/>
      <c r="M51" s="88">
        <v>0</v>
      </c>
      <c r="N51" s="116"/>
      <c r="P51" s="88">
        <v>0</v>
      </c>
      <c r="Q51" s="116"/>
      <c r="S51" s="88">
        <v>0</v>
      </c>
      <c r="T51" s="116"/>
      <c r="V51" s="88">
        <v>0</v>
      </c>
      <c r="W51" s="116"/>
    </row>
    <row r="52" spans="3:23">
      <c r="C52" s="84"/>
      <c r="D52" s="139" t="s">
        <v>57</v>
      </c>
      <c r="E52" s="140">
        <f>IF(Summary!$F$23=0,0,100%/Summary!$F$23)</f>
        <v>4.1666666666666664E-2</v>
      </c>
      <c r="G52" s="88">
        <v>0</v>
      </c>
      <c r="H52" s="116"/>
      <c r="J52" s="88">
        <v>0</v>
      </c>
      <c r="K52" s="116"/>
      <c r="M52" s="88">
        <v>0</v>
      </c>
      <c r="N52" s="116"/>
      <c r="P52" s="88">
        <v>0</v>
      </c>
      <c r="Q52" s="116"/>
      <c r="S52" s="88">
        <v>0</v>
      </c>
      <c r="T52" s="116"/>
      <c r="V52" s="88">
        <v>0</v>
      </c>
      <c r="W52" s="116"/>
    </row>
    <row r="53" spans="3:23">
      <c r="C53" s="84"/>
      <c r="D53" s="139" t="s">
        <v>58</v>
      </c>
      <c r="E53" s="140">
        <f>IF(Summary!$F$23=0,0,100%/Summary!$F$23)</f>
        <v>4.1666666666666664E-2</v>
      </c>
      <c r="G53" s="88">
        <v>0</v>
      </c>
      <c r="H53" s="116"/>
      <c r="J53" s="88">
        <v>0</v>
      </c>
      <c r="K53" s="116"/>
      <c r="M53" s="88">
        <v>0</v>
      </c>
      <c r="N53" s="116"/>
      <c r="P53" s="88">
        <v>0</v>
      </c>
      <c r="Q53" s="116"/>
      <c r="S53" s="88">
        <v>0</v>
      </c>
      <c r="T53" s="116"/>
      <c r="V53" s="88">
        <v>0</v>
      </c>
      <c r="W53" s="116"/>
    </row>
    <row r="54" spans="3:23">
      <c r="C54" s="84"/>
      <c r="D54" s="139" t="s">
        <v>59</v>
      </c>
      <c r="E54" s="140">
        <f>IF(Summary!$F$23=0,0,100%/Summary!$F$23)</f>
        <v>4.1666666666666664E-2</v>
      </c>
      <c r="G54" s="88">
        <v>0</v>
      </c>
      <c r="H54" s="116"/>
      <c r="J54" s="88">
        <v>0</v>
      </c>
      <c r="K54" s="116"/>
      <c r="M54" s="88">
        <v>0</v>
      </c>
      <c r="N54" s="116"/>
      <c r="P54" s="88">
        <v>0</v>
      </c>
      <c r="Q54" s="116"/>
      <c r="S54" s="88">
        <v>0</v>
      </c>
      <c r="T54" s="116"/>
      <c r="V54" s="88">
        <v>0</v>
      </c>
      <c r="W54" s="116"/>
    </row>
    <row r="55" spans="3:23">
      <c r="C55" s="84"/>
      <c r="D55" s="139" t="s">
        <v>60</v>
      </c>
      <c r="E55" s="140">
        <f>IF(Summary!$F$23=0,0,100%/Summary!$F$23)</f>
        <v>4.1666666666666664E-2</v>
      </c>
      <c r="G55" s="88">
        <v>0</v>
      </c>
      <c r="H55" s="116"/>
      <c r="J55" s="88">
        <v>0</v>
      </c>
      <c r="K55" s="116"/>
      <c r="M55" s="88">
        <v>0</v>
      </c>
      <c r="N55" s="116"/>
      <c r="P55" s="88">
        <v>0</v>
      </c>
      <c r="Q55" s="116"/>
      <c r="S55" s="88">
        <v>0</v>
      </c>
      <c r="T55" s="116"/>
      <c r="V55" s="88">
        <v>0</v>
      </c>
      <c r="W55" s="116"/>
    </row>
    <row r="56" spans="3:23">
      <c r="C56" s="84"/>
      <c r="D56" s="139" t="s">
        <v>61</v>
      </c>
      <c r="E56" s="140">
        <f>IF(Summary!$F$23=0,0,100%/Summary!$F$23)</f>
        <v>4.1666666666666664E-2</v>
      </c>
      <c r="G56" s="88">
        <v>0</v>
      </c>
      <c r="H56" s="116"/>
      <c r="J56" s="88">
        <v>0</v>
      </c>
      <c r="K56" s="116"/>
      <c r="M56" s="88">
        <v>0</v>
      </c>
      <c r="N56" s="116"/>
      <c r="P56" s="88">
        <v>0</v>
      </c>
      <c r="Q56" s="116"/>
      <c r="S56" s="88">
        <v>0</v>
      </c>
      <c r="T56" s="116"/>
      <c r="V56" s="88">
        <v>0</v>
      </c>
      <c r="W56" s="116"/>
    </row>
    <row r="57" spans="3:23">
      <c r="C57" s="84"/>
      <c r="D57" s="139" t="s">
        <v>62</v>
      </c>
      <c r="E57" s="140">
        <f>IF(Summary!$F$23=0,0,100%/Summary!$F$23)</f>
        <v>4.1666666666666664E-2</v>
      </c>
      <c r="G57" s="88">
        <v>0</v>
      </c>
      <c r="H57" s="116"/>
      <c r="J57" s="88">
        <v>0</v>
      </c>
      <c r="K57" s="116"/>
      <c r="M57" s="88">
        <v>0</v>
      </c>
      <c r="N57" s="116"/>
      <c r="P57" s="88">
        <v>0</v>
      </c>
      <c r="Q57" s="116"/>
      <c r="S57" s="88">
        <v>0</v>
      </c>
      <c r="T57" s="116"/>
      <c r="V57" s="88">
        <v>0</v>
      </c>
      <c r="W57" s="116"/>
    </row>
    <row r="58" spans="3:23" ht="25.5">
      <c r="C58" s="84"/>
      <c r="D58" s="139" t="s">
        <v>63</v>
      </c>
      <c r="E58" s="140">
        <f>IF(Summary!$F$23=0,0,100%/Summary!$F$23)</f>
        <v>4.1666666666666664E-2</v>
      </c>
      <c r="G58" s="88">
        <v>0</v>
      </c>
      <c r="H58" s="116"/>
      <c r="J58" s="88">
        <v>0</v>
      </c>
      <c r="K58" s="116"/>
      <c r="M58" s="88">
        <v>0</v>
      </c>
      <c r="N58" s="116"/>
      <c r="P58" s="88">
        <v>0</v>
      </c>
      <c r="Q58" s="116"/>
      <c r="S58" s="88">
        <v>0</v>
      </c>
      <c r="T58" s="116"/>
      <c r="V58" s="88">
        <v>0</v>
      </c>
      <c r="W58" s="116"/>
    </row>
    <row r="59" spans="3:23">
      <c r="C59" s="84"/>
      <c r="D59" s="139" t="s">
        <v>64</v>
      </c>
      <c r="E59" s="140">
        <f>IF(Summary!$F$23=0,0,100%/Summary!$F$23)</f>
        <v>4.1666666666666664E-2</v>
      </c>
      <c r="G59" s="88">
        <v>0</v>
      </c>
      <c r="H59" s="116"/>
      <c r="J59" s="88">
        <v>0</v>
      </c>
      <c r="K59" s="116"/>
      <c r="M59" s="88">
        <v>0</v>
      </c>
      <c r="N59" s="116"/>
      <c r="P59" s="88">
        <v>0</v>
      </c>
      <c r="Q59" s="116"/>
      <c r="S59" s="88">
        <v>0</v>
      </c>
      <c r="T59" s="116"/>
      <c r="V59" s="88">
        <v>0</v>
      </c>
      <c r="W59" s="116"/>
    </row>
    <row r="60" spans="3:23">
      <c r="C60" s="84"/>
      <c r="D60" s="139" t="s">
        <v>65</v>
      </c>
      <c r="E60" s="140">
        <f>IF(Summary!$F$23=0,0,100%/Summary!$F$23)</f>
        <v>4.1666666666666664E-2</v>
      </c>
      <c r="G60" s="88">
        <v>0</v>
      </c>
      <c r="H60" s="116"/>
      <c r="J60" s="88">
        <v>0</v>
      </c>
      <c r="K60" s="116"/>
      <c r="M60" s="88">
        <v>0</v>
      </c>
      <c r="N60" s="116"/>
      <c r="P60" s="88">
        <v>0</v>
      </c>
      <c r="Q60" s="116"/>
      <c r="S60" s="88">
        <v>0</v>
      </c>
      <c r="T60" s="116"/>
      <c r="V60" s="88">
        <v>0</v>
      </c>
      <c r="W60" s="116"/>
    </row>
    <row r="61" spans="3:23">
      <c r="C61" s="84"/>
      <c r="D61" s="139" t="s">
        <v>66</v>
      </c>
      <c r="E61" s="140">
        <f>IF(Summary!$F$23=0,0,100%/Summary!$F$23)</f>
        <v>4.1666666666666664E-2</v>
      </c>
      <c r="G61" s="88">
        <v>0</v>
      </c>
      <c r="H61" s="116"/>
      <c r="J61" s="88">
        <v>0</v>
      </c>
      <c r="K61" s="116"/>
      <c r="M61" s="88">
        <v>0</v>
      </c>
      <c r="N61" s="116"/>
      <c r="P61" s="88">
        <v>0</v>
      </c>
      <c r="Q61" s="116"/>
      <c r="S61" s="88">
        <v>0</v>
      </c>
      <c r="T61" s="116"/>
      <c r="V61" s="88">
        <v>0</v>
      </c>
      <c r="W61" s="116"/>
    </row>
    <row r="62" spans="3:23">
      <c r="C62" s="84"/>
      <c r="D62" s="139" t="s">
        <v>67</v>
      </c>
      <c r="E62" s="140">
        <f>IF(Summary!$F$23=0,0,100%/Summary!$F$23)</f>
        <v>4.1666666666666664E-2</v>
      </c>
      <c r="G62" s="88">
        <v>0</v>
      </c>
      <c r="H62" s="116"/>
      <c r="J62" s="88">
        <v>0</v>
      </c>
      <c r="K62" s="116"/>
      <c r="M62" s="88">
        <v>0</v>
      </c>
      <c r="N62" s="116"/>
      <c r="P62" s="88">
        <v>0</v>
      </c>
      <c r="Q62" s="116"/>
      <c r="S62" s="88">
        <v>0</v>
      </c>
      <c r="T62" s="116"/>
      <c r="V62" s="88">
        <v>0</v>
      </c>
      <c r="W62" s="116"/>
    </row>
    <row r="63" spans="3:23">
      <c r="C63" s="84"/>
      <c r="D63" s="139" t="s">
        <v>68</v>
      </c>
      <c r="E63" s="140">
        <f>IF(Summary!$F$23=0,0,100%/Summary!$F$23)</f>
        <v>4.1666666666666664E-2</v>
      </c>
      <c r="G63" s="88">
        <v>0</v>
      </c>
      <c r="H63" s="116"/>
      <c r="J63" s="88">
        <v>0</v>
      </c>
      <c r="K63" s="116"/>
      <c r="M63" s="88">
        <v>0</v>
      </c>
      <c r="N63" s="116"/>
      <c r="P63" s="88">
        <v>0</v>
      </c>
      <c r="Q63" s="116"/>
      <c r="S63" s="88">
        <v>0</v>
      </c>
      <c r="T63" s="116"/>
      <c r="V63" s="88">
        <v>0</v>
      </c>
      <c r="W63" s="116"/>
    </row>
    <row r="64" spans="3:23">
      <c r="C64" s="84"/>
      <c r="D64" s="139" t="s">
        <v>69</v>
      </c>
      <c r="E64" s="140">
        <f>IF(Summary!$F$23=0,0,100%/Summary!$F$23)</f>
        <v>4.1666666666666664E-2</v>
      </c>
      <c r="G64" s="88">
        <v>0</v>
      </c>
      <c r="H64" s="116"/>
      <c r="J64" s="88">
        <v>0</v>
      </c>
      <c r="K64" s="116"/>
      <c r="M64" s="88">
        <v>0</v>
      </c>
      <c r="N64" s="116"/>
      <c r="P64" s="88">
        <v>0</v>
      </c>
      <c r="Q64" s="116"/>
      <c r="S64" s="88">
        <v>0</v>
      </c>
      <c r="T64" s="116"/>
      <c r="V64" s="88">
        <v>0</v>
      </c>
      <c r="W64" s="116"/>
    </row>
    <row r="65" spans="3:23">
      <c r="C65" s="84"/>
      <c r="D65" s="139" t="s">
        <v>70</v>
      </c>
      <c r="E65" s="140">
        <f>IF(Summary!$F$23=0,0,100%/Summary!$F$23)</f>
        <v>4.1666666666666664E-2</v>
      </c>
      <c r="G65" s="88">
        <v>0</v>
      </c>
      <c r="H65" s="116"/>
      <c r="J65" s="88">
        <v>0</v>
      </c>
      <c r="K65" s="116"/>
      <c r="M65" s="88">
        <v>0</v>
      </c>
      <c r="N65" s="116"/>
      <c r="P65" s="88">
        <v>0</v>
      </c>
      <c r="Q65" s="116"/>
      <c r="S65" s="88">
        <v>0</v>
      </c>
      <c r="T65" s="116"/>
      <c r="V65" s="88">
        <v>0</v>
      </c>
      <c r="W65" s="116"/>
    </row>
    <row r="66" spans="3:23">
      <c r="C66" s="84"/>
      <c r="D66" s="139" t="s">
        <v>71</v>
      </c>
      <c r="E66" s="140">
        <f>IF(Summary!$F$23=0,0,100%/Summary!$F$23)</f>
        <v>4.1666666666666664E-2</v>
      </c>
      <c r="G66" s="88">
        <v>0</v>
      </c>
      <c r="H66" s="116"/>
      <c r="J66" s="88">
        <v>0</v>
      </c>
      <c r="K66" s="116"/>
      <c r="M66" s="88">
        <v>0</v>
      </c>
      <c r="N66" s="116"/>
      <c r="P66" s="88">
        <v>0</v>
      </c>
      <c r="Q66" s="116"/>
      <c r="S66" s="88">
        <v>0</v>
      </c>
      <c r="T66" s="116"/>
      <c r="V66" s="88">
        <v>0</v>
      </c>
      <c r="W66" s="116"/>
    </row>
    <row r="67" spans="3:23" ht="25.5">
      <c r="C67" s="84"/>
      <c r="D67" s="139" t="s">
        <v>72</v>
      </c>
      <c r="E67" s="140">
        <f>IF(Summary!$F$23=0,0,100%/Summary!$F$23)</f>
        <v>4.1666666666666664E-2</v>
      </c>
      <c r="G67" s="88">
        <v>0</v>
      </c>
      <c r="H67" s="116"/>
      <c r="J67" s="88">
        <v>0</v>
      </c>
      <c r="K67" s="116"/>
      <c r="M67" s="88">
        <v>0</v>
      </c>
      <c r="N67" s="116"/>
      <c r="P67" s="88">
        <v>0</v>
      </c>
      <c r="Q67" s="116"/>
      <c r="S67" s="88">
        <v>0</v>
      </c>
      <c r="T67" s="116"/>
      <c r="V67" s="88">
        <v>0</v>
      </c>
      <c r="W67" s="116"/>
    </row>
    <row r="68" spans="3:23">
      <c r="C68" s="84"/>
      <c r="D68" s="139" t="s">
        <v>73</v>
      </c>
      <c r="E68" s="140">
        <f>IF(Summary!$F$23=0,0,100%/Summary!$F$23)</f>
        <v>4.1666666666666664E-2</v>
      </c>
      <c r="G68" s="88">
        <v>0</v>
      </c>
      <c r="H68" s="116"/>
      <c r="J68" s="88">
        <v>0</v>
      </c>
      <c r="K68" s="116"/>
      <c r="M68" s="88">
        <v>0</v>
      </c>
      <c r="N68" s="116"/>
      <c r="P68" s="88">
        <v>0</v>
      </c>
      <c r="Q68" s="116"/>
      <c r="S68" s="88">
        <v>0</v>
      </c>
      <c r="T68" s="116"/>
      <c r="V68" s="88">
        <v>0</v>
      </c>
      <c r="W68" s="116"/>
    </row>
    <row r="69" spans="3:23">
      <c r="C69" s="84"/>
      <c r="D69" s="139" t="s">
        <v>74</v>
      </c>
      <c r="E69" s="140">
        <f>IF(Summary!$F$23=0,0,100%/Summary!$F$23)</f>
        <v>4.1666666666666664E-2</v>
      </c>
      <c r="G69" s="88">
        <v>0</v>
      </c>
      <c r="H69" s="116"/>
      <c r="J69" s="88">
        <v>0</v>
      </c>
      <c r="K69" s="116"/>
      <c r="M69" s="88">
        <v>0</v>
      </c>
      <c r="N69" s="116"/>
      <c r="P69" s="88">
        <v>0</v>
      </c>
      <c r="Q69" s="116"/>
      <c r="S69" s="88">
        <v>0</v>
      </c>
      <c r="T69" s="116"/>
      <c r="V69" s="88">
        <v>0</v>
      </c>
      <c r="W69" s="116"/>
    </row>
    <row r="70" spans="3:23" ht="13.5" thickBot="1">
      <c r="C70" s="84"/>
      <c r="D70" s="139" t="s">
        <v>75</v>
      </c>
      <c r="E70" s="140">
        <f>IF(Summary!$F$23=0,0,100%/Summary!$F$23)</f>
        <v>4.1666666666666664E-2</v>
      </c>
      <c r="G70" s="88">
        <v>0</v>
      </c>
      <c r="H70" s="116"/>
      <c r="J70" s="88">
        <v>0</v>
      </c>
      <c r="K70" s="116"/>
      <c r="M70" s="88">
        <v>0</v>
      </c>
      <c r="N70" s="116"/>
      <c r="P70" s="88">
        <v>0</v>
      </c>
      <c r="Q70" s="116"/>
      <c r="S70" s="88">
        <v>0</v>
      </c>
      <c r="T70" s="116"/>
      <c r="V70" s="88">
        <v>0</v>
      </c>
      <c r="W70" s="116"/>
    </row>
    <row r="71" spans="3:23">
      <c r="C71" s="84"/>
      <c r="D71" s="109" t="str">
        <f>Summary!$D$24</f>
        <v>Service Management</v>
      </c>
      <c r="E71" s="99">
        <f>Summary!$E$24</f>
        <v>0.1</v>
      </c>
      <c r="G71" s="87">
        <f>SUMPRODUCT(G72:G79,$E72:$E79)</f>
        <v>0</v>
      </c>
      <c r="H71" s="117"/>
      <c r="J71" s="87">
        <f>SUMPRODUCT(J72:J79,$E72:$E79)</f>
        <v>0</v>
      </c>
      <c r="K71" s="117"/>
      <c r="M71" s="87">
        <f>SUMPRODUCT(M72:M79,$E72:$E79)</f>
        <v>0</v>
      </c>
      <c r="N71" s="117"/>
      <c r="P71" s="87">
        <f>SUMPRODUCT(P72:P79,$E72:$E79)</f>
        <v>0</v>
      </c>
      <c r="Q71" s="117"/>
      <c r="S71" s="87">
        <f>SUMPRODUCT(S72:S79,$E72:$E79)</f>
        <v>0</v>
      </c>
      <c r="T71" s="117"/>
      <c r="V71" s="87">
        <f>SUMPRODUCT(V72:V79,$E72:$E79)</f>
        <v>0</v>
      </c>
      <c r="W71" s="117"/>
    </row>
    <row r="72" spans="3:23" ht="25.5">
      <c r="C72" s="84"/>
      <c r="D72" s="136" t="s">
        <v>76</v>
      </c>
      <c r="E72" s="98">
        <f>IF(Summary!$F$24=0,0,100%/Summary!$F$24)</f>
        <v>0.125</v>
      </c>
      <c r="G72" s="88">
        <v>0</v>
      </c>
      <c r="H72" s="116"/>
      <c r="J72" s="88">
        <v>0</v>
      </c>
      <c r="K72" s="116"/>
      <c r="M72" s="88">
        <v>0</v>
      </c>
      <c r="N72" s="116"/>
      <c r="P72" s="88">
        <v>0</v>
      </c>
      <c r="Q72" s="116"/>
      <c r="S72" s="88">
        <v>0</v>
      </c>
      <c r="T72" s="116"/>
      <c r="V72" s="88">
        <v>0</v>
      </c>
      <c r="W72" s="116"/>
    </row>
    <row r="73" spans="3:23" ht="51">
      <c r="C73" s="84"/>
      <c r="D73" s="136" t="s">
        <v>77</v>
      </c>
      <c r="E73" s="98">
        <f>IF(Summary!$F$24=0,0,100%/Summary!$F$24)</f>
        <v>0.125</v>
      </c>
      <c r="G73" s="88">
        <v>0</v>
      </c>
      <c r="H73" s="116"/>
      <c r="J73" s="88">
        <v>0</v>
      </c>
      <c r="K73" s="116"/>
      <c r="M73" s="88">
        <v>0</v>
      </c>
      <c r="N73" s="116"/>
      <c r="P73" s="88">
        <v>0</v>
      </c>
      <c r="Q73" s="116"/>
      <c r="S73" s="88">
        <v>0</v>
      </c>
      <c r="T73" s="116"/>
      <c r="V73" s="88">
        <v>0</v>
      </c>
      <c r="W73" s="116"/>
    </row>
    <row r="74" spans="3:23" ht="127.5">
      <c r="C74" s="84"/>
      <c r="D74" s="136" t="s">
        <v>78</v>
      </c>
      <c r="E74" s="98">
        <f>IF(Summary!$F$24=0,0,100%/Summary!$F$24)</f>
        <v>0.125</v>
      </c>
      <c r="G74" s="88">
        <v>0</v>
      </c>
      <c r="H74" s="116"/>
      <c r="J74" s="88">
        <v>0</v>
      </c>
      <c r="K74" s="116"/>
      <c r="M74" s="88">
        <v>0</v>
      </c>
      <c r="N74" s="116"/>
      <c r="P74" s="88">
        <v>0</v>
      </c>
      <c r="Q74" s="116"/>
      <c r="S74" s="88">
        <v>0</v>
      </c>
      <c r="T74" s="116"/>
      <c r="V74" s="88">
        <v>0</v>
      </c>
      <c r="W74" s="116"/>
    </row>
    <row r="75" spans="3:23" ht="51">
      <c r="C75" s="84"/>
      <c r="D75" s="136" t="s">
        <v>79</v>
      </c>
      <c r="E75" s="98">
        <f>IF(Summary!$F$24=0,0,100%/Summary!$F$24)</f>
        <v>0.125</v>
      </c>
      <c r="G75" s="88">
        <v>0</v>
      </c>
      <c r="H75" s="116"/>
      <c r="J75" s="88">
        <v>0</v>
      </c>
      <c r="K75" s="116"/>
      <c r="M75" s="88">
        <v>0</v>
      </c>
      <c r="N75" s="116"/>
      <c r="P75" s="88">
        <v>0</v>
      </c>
      <c r="Q75" s="116"/>
      <c r="S75" s="88">
        <v>0</v>
      </c>
      <c r="T75" s="116"/>
      <c r="V75" s="88">
        <v>0</v>
      </c>
      <c r="W75" s="116"/>
    </row>
    <row r="76" spans="3:23" ht="38.25">
      <c r="C76" s="84"/>
      <c r="D76" s="136" t="s">
        <v>80</v>
      </c>
      <c r="E76" s="98">
        <f>IF(Summary!$F$24=0,0,100%/Summary!$F$24)</f>
        <v>0.125</v>
      </c>
      <c r="G76" s="88">
        <v>0</v>
      </c>
      <c r="H76" s="116"/>
      <c r="J76" s="88">
        <v>0</v>
      </c>
      <c r="K76" s="116"/>
      <c r="M76" s="88">
        <v>0</v>
      </c>
      <c r="N76" s="116"/>
      <c r="P76" s="88">
        <v>0</v>
      </c>
      <c r="Q76" s="116"/>
      <c r="S76" s="88">
        <v>0</v>
      </c>
      <c r="T76" s="116"/>
      <c r="V76" s="88">
        <v>0</v>
      </c>
      <c r="W76" s="116"/>
    </row>
    <row r="77" spans="3:23" ht="25.5">
      <c r="C77" s="84"/>
      <c r="D77" s="136" t="s">
        <v>81</v>
      </c>
      <c r="E77" s="98">
        <f>IF(Summary!$F$24=0,0,100%/Summary!$F$24)</f>
        <v>0.125</v>
      </c>
      <c r="G77" s="88">
        <v>0</v>
      </c>
      <c r="H77" s="116"/>
      <c r="J77" s="88">
        <v>0</v>
      </c>
      <c r="K77" s="116"/>
      <c r="M77" s="88">
        <v>0</v>
      </c>
      <c r="N77" s="116"/>
      <c r="P77" s="88">
        <v>0</v>
      </c>
      <c r="Q77" s="116"/>
      <c r="S77" s="88">
        <v>0</v>
      </c>
      <c r="T77" s="116"/>
      <c r="V77" s="88">
        <v>0</v>
      </c>
      <c r="W77" s="116"/>
    </row>
    <row r="78" spans="3:23" ht="25.5">
      <c r="C78" s="84"/>
      <c r="D78" s="136" t="s">
        <v>82</v>
      </c>
      <c r="E78" s="98">
        <f>IF(Summary!$F$24=0,0,100%/Summary!$F$24)</f>
        <v>0.125</v>
      </c>
      <c r="G78" s="88"/>
      <c r="H78" s="116"/>
      <c r="J78" s="88"/>
      <c r="K78" s="116"/>
      <c r="M78" s="88"/>
      <c r="N78" s="116"/>
      <c r="P78" s="88"/>
      <c r="Q78" s="116"/>
      <c r="S78" s="88"/>
      <c r="T78" s="116"/>
      <c r="V78" s="88"/>
      <c r="W78" s="116"/>
    </row>
    <row r="79" spans="3:23" ht="51">
      <c r="C79" s="84"/>
      <c r="D79" s="136" t="s">
        <v>83</v>
      </c>
      <c r="E79" s="98">
        <f>IF(Summary!$F$24=0,0,100%/Summary!$F$24)</f>
        <v>0.125</v>
      </c>
      <c r="G79" s="88">
        <v>0</v>
      </c>
      <c r="H79" s="116"/>
      <c r="J79" s="88">
        <v>0</v>
      </c>
      <c r="K79" s="116"/>
      <c r="M79" s="88">
        <v>0</v>
      </c>
      <c r="N79" s="116"/>
      <c r="P79" s="88">
        <v>0</v>
      </c>
      <c r="Q79" s="116"/>
      <c r="S79" s="88">
        <v>0</v>
      </c>
      <c r="T79" s="116"/>
      <c r="V79" s="88">
        <v>0</v>
      </c>
      <c r="W79" s="116"/>
    </row>
    <row r="80" spans="3:23">
      <c r="E80" s="4"/>
      <c r="G80" s="112"/>
      <c r="H80" s="19"/>
      <c r="J80" s="112"/>
      <c r="K80" s="19"/>
      <c r="M80" s="112"/>
      <c r="N80" s="19"/>
      <c r="P80" s="112"/>
      <c r="Q80" s="19"/>
      <c r="S80" s="112"/>
      <c r="T80" s="19"/>
      <c r="V80" s="112"/>
      <c r="W80" s="19"/>
    </row>
    <row r="81" spans="5:23" ht="13.5" thickBot="1">
      <c r="E81" s="121">
        <f>E6+E13+E19+E27+E32+E35+E42+E46+E71</f>
        <v>0.99999999999999989</v>
      </c>
      <c r="G81" s="89">
        <f>(G6*$E6)+(G13*$E13)+(G19*$E19)+(G27*$E27)+(G32*$E32)+(G35*$E35)+(G42*$E42)+(G46*$E46)+(G71*$E71)</f>
        <v>0</v>
      </c>
      <c r="H81" s="8"/>
      <c r="J81" s="89">
        <f>(J6*$E6)+(J13*$E13)+(J19*$E19)+(J27*$E27)+(J32*$E32)+(J35*$E35)+(J42*$E42)+(J46*$E46)+(J71*$E71)</f>
        <v>0</v>
      </c>
      <c r="K81" s="8"/>
      <c r="M81" s="89">
        <f>(M6*$E6)+(M13*$E13)+(M19*$E19)+(M27*$E27)+(M32*$E32)+(M35*$E35)+(M42*$E42)+(M46*$E46)+(M71*$E71)</f>
        <v>0</v>
      </c>
      <c r="N81" s="8"/>
      <c r="P81" s="89">
        <f>(P6*$E6)+(P13*$E13)+(P19*$E19)+(P27*$E27)+(P32*$E32)+(P35*$E35)+(P42*$E42)+(P46*$E46)+(P71*$E71)</f>
        <v>0</v>
      </c>
      <c r="Q81" s="8"/>
      <c r="S81" s="89">
        <f>(S6*$E6)+(S13*$E13)+(S19*$E19)+(S27*$E27)+(S32*$E32)+(S35*$E35)+(S42*$E42)+(S46*$E46)+(S71*$E71)</f>
        <v>0</v>
      </c>
      <c r="T81" s="8"/>
      <c r="V81" s="89">
        <f>(V6*$E6)+(V13*$E13)+(V19*$E19)+(V27*$E27)+(V32*$E32)+(V35*$E35)+(V42*$E42)+(V46*$E46)+(V71*$E71)</f>
        <v>0</v>
      </c>
      <c r="W81" s="8"/>
    </row>
    <row r="82" spans="5:23" ht="13.5" thickTop="1">
      <c r="G82" s="97"/>
      <c r="H82" s="22"/>
      <c r="J82" s="97"/>
      <c r="K82" s="22"/>
      <c r="M82" s="97"/>
      <c r="N82" s="22"/>
      <c r="P82" s="97"/>
      <c r="Q82" s="22"/>
      <c r="S82" s="97"/>
      <c r="T82" s="22"/>
      <c r="V82" s="97"/>
      <c r="W82" s="22"/>
    </row>
    <row r="83" spans="5:23">
      <c r="G83" s="97"/>
      <c r="H83" s="22"/>
      <c r="J83" s="97"/>
      <c r="K83" s="22"/>
      <c r="M83" s="97"/>
      <c r="N83" s="22"/>
      <c r="P83" s="97"/>
      <c r="Q83" s="22"/>
      <c r="S83" s="97"/>
      <c r="T83" s="22"/>
      <c r="V83" s="97"/>
      <c r="W83" s="22"/>
    </row>
    <row r="90" spans="5:23">
      <c r="G90" s="90">
        <f>'Scoring Framework'!E8</f>
        <v>1</v>
      </c>
      <c r="J90" s="90">
        <f>'Scoring Framework'!I8</f>
        <v>0</v>
      </c>
      <c r="M90" s="90">
        <f>'Scoring Framework'!M8</f>
        <v>0</v>
      </c>
      <c r="P90" s="90">
        <f>'Scoring Framework'!Q8</f>
        <v>0</v>
      </c>
      <c r="S90" s="90">
        <f>'Scoring Framework'!U8</f>
        <v>0</v>
      </c>
      <c r="V90" s="90">
        <f>'Scoring Framework'!Y8</f>
        <v>0</v>
      </c>
    </row>
    <row r="91" spans="5:23">
      <c r="G91" s="90">
        <f>'Scoring Framework'!E9</f>
        <v>2</v>
      </c>
      <c r="J91" s="90">
        <f>'Scoring Framework'!I9</f>
        <v>0</v>
      </c>
      <c r="M91" s="90">
        <f>'Scoring Framework'!M9</f>
        <v>0</v>
      </c>
      <c r="P91" s="90">
        <f>'Scoring Framework'!Q9</f>
        <v>0</v>
      </c>
      <c r="S91" s="90">
        <f>'Scoring Framework'!U9</f>
        <v>0</v>
      </c>
      <c r="V91" s="90">
        <f>'Scoring Framework'!Y9</f>
        <v>0</v>
      </c>
    </row>
    <row r="92" spans="5:23">
      <c r="G92" s="90">
        <f>'Scoring Framework'!E12</f>
        <v>5</v>
      </c>
      <c r="J92" s="90">
        <f>'Scoring Framework'!I12</f>
        <v>0</v>
      </c>
      <c r="M92" s="90">
        <f>'Scoring Framework'!M12</f>
        <v>0</v>
      </c>
      <c r="P92" s="90">
        <f>'Scoring Framework'!Q12</f>
        <v>0</v>
      </c>
      <c r="S92" s="90">
        <f>'Scoring Framework'!U12</f>
        <v>0</v>
      </c>
      <c r="V92" s="90">
        <f>'Scoring Framework'!Y12</f>
        <v>0</v>
      </c>
    </row>
  </sheetData>
  <mergeCells count="6">
    <mergeCell ref="V4:W4"/>
    <mergeCell ref="M4:N4"/>
    <mergeCell ref="P4:Q4"/>
    <mergeCell ref="S4:T4"/>
    <mergeCell ref="G4:H4"/>
    <mergeCell ref="J4:K4"/>
  </mergeCells>
  <phoneticPr fontId="2" type="noConversion"/>
  <conditionalFormatting sqref="E81">
    <cfRule type="cellIs" dxfId="4" priority="1" operator="notEqual">
      <formula>1</formula>
    </cfRule>
  </conditionalFormatting>
  <dataValidations xWindow="688" yWindow="621" count="3">
    <dataValidation allowBlank="1" showInputMessage="1" showErrorMessage="1" promptTitle="Reviewer: Support API guidance" prompt="When reviewing the vendors response - BSC prefers REST API's and for PHI data, FHIR is the preferred protocol._x000a__x000a_This only affects the score, it does not exclude a vendor if they do not have the preferred technologies." sqref="A16" xr:uid="{FE67C3B1-8A79-4337-9151-08080127AE39}"/>
    <dataValidation allowBlank="1" showInputMessage="1" showErrorMessage="1" promptTitle="Reviewer: Security Standards" prompt="When reviewing the vendors response, BSC prefers that the vendor be supporting the latest version (or n-1) of a protocol or standard.  The older the version of a protocol or standard, should impact the score accordingly and be flagged as a risk." sqref="A20" xr:uid="{2D6D8FAF-708A-4D5E-A8FC-22C3FFC48FA4}"/>
    <dataValidation allowBlank="1" showInputMessage="1" showErrorMessage="1" promptTitle="Reviewer: Architect Alignment" prompt="When reviewing the responses for this section, keep in mind the &quot;BSC IT Architecture Guiding Principle's&quot;" sqref="A27" xr:uid="{227AFF7D-4603-4B96-B94F-B0374C738361}"/>
  </dataValidations>
  <pageMargins left="0.25" right="0.25" top="0.5" bottom="0.5" header="0" footer="0"/>
  <pageSetup paperSize="224" scale="48" fitToHeight="4" orientation="portrait" r:id="rId1"/>
  <headerFooter alignWithMargins="0"/>
  <extLst>
    <ext xmlns:x14="http://schemas.microsoft.com/office/spreadsheetml/2009/9/main" uri="{CCE6A557-97BC-4b89-ADB6-D9C93CAAB3DF}">
      <x14:dataValidations xmlns:xm="http://schemas.microsoft.com/office/excel/2006/main" xWindow="688" yWindow="621" count="1">
        <x14:dataValidation type="list" allowBlank="1" showInputMessage="1" showErrorMessage="1" promptTitle="Please enter your response:" prompt="1 - Does not address needs_x000a_2 - Meets minimal needs_x000a_3 - Meets basic needs_x000a_4 - Meets most needs_x000a_5 - Meets needs fully" xr:uid="{36CE9F38-1C24-42CE-8D02-2E7C7A1965D8}">
          <x14:formula1>
            <xm:f>'Scoring Framework'!$E$8:$E$12</xm:f>
          </x14:formula1>
          <xm:sqref>V72:V79 G14:G18 G20:G26 G28:G31 G33:G34 S36:S41 G47:G70 M7:M12 S14:S18 S20:S26 S28:S31 S33:S34 J36:J41 P72:P79 S7:S12 J14:J18 J20:J26 J28:J31 J33:J34 M36:M41 G72:G79 G7:G12 M14:M18 M20:M26 M28:M31 M33:M34 P36:P41 J72:J79 J7:J12 P14:P18 P20:P26 P28:P31 P33:P34 V36:V41 M72:M79 P7:P12 V14:V18 V20:V26 V28:V31 V33:V34 S72:S79 G36:G41 S47:S70 P47:P70 V47:V70 J47:J70 M47:M70 V43:V45 S43:S45 P43:P45 M43:M45 J43:J45 G43:G45 V7:V12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50"/>
    <pageSetUpPr fitToPage="1"/>
  </sheetPr>
  <dimension ref="A1:W55"/>
  <sheetViews>
    <sheetView zoomScaleNormal="100" workbookViewId="0">
      <pane xSplit="5" ySplit="5" topLeftCell="F14" activePane="bottomRight" state="frozen"/>
      <selection pane="bottomRight" activeCell="H56" sqref="H56:H60"/>
      <selection pane="bottomLeft" activeCell="A6" sqref="A6"/>
      <selection pane="topRight" activeCell="F1" sqref="F1"/>
    </sheetView>
  </sheetViews>
  <sheetFormatPr defaultColWidth="9" defaultRowHeight="12.75"/>
  <cols>
    <col min="1" max="1" width="1.42578125" style="3" customWidth="1"/>
    <col min="2" max="2" width="3.7109375" style="3" customWidth="1"/>
    <col min="3" max="3" width="7.140625" style="3" customWidth="1"/>
    <col min="4" max="4" width="67.42578125" style="3" customWidth="1"/>
    <col min="5" max="5" width="6.28515625" style="3" bestFit="1" customWidth="1"/>
    <col min="6" max="6" width="1.5703125" style="3" customWidth="1"/>
    <col min="7" max="7" width="5.7109375" style="86" customWidth="1"/>
    <col min="8" max="8" width="79" style="4" customWidth="1"/>
    <col min="9" max="9" width="1.5703125" style="3" customWidth="1"/>
    <col min="10" max="10" width="7.7109375" style="86" customWidth="1"/>
    <col min="11" max="11" width="70.85546875" style="4" customWidth="1"/>
    <col min="12" max="12" width="1.5703125" style="3" customWidth="1"/>
    <col min="13" max="13" width="7.7109375" style="86" customWidth="1"/>
    <col min="14" max="14" width="70.85546875" style="4" customWidth="1"/>
    <col min="15" max="15" width="1.5703125" style="3" customWidth="1"/>
    <col min="16" max="16" width="7.7109375" style="86" customWidth="1"/>
    <col min="17" max="17" width="70.85546875" style="4" customWidth="1"/>
    <col min="18" max="18" width="1.5703125" style="3" customWidth="1"/>
    <col min="19" max="19" width="7.7109375" style="86" customWidth="1"/>
    <col min="20" max="20" width="70.85546875" style="4" customWidth="1"/>
    <col min="21" max="21" width="1.5703125" style="3" customWidth="1"/>
    <col min="22" max="22" width="7.7109375" style="86" customWidth="1"/>
    <col min="23" max="23" width="70.85546875" style="4" customWidth="1"/>
    <col min="24" max="16384" width="9" style="3"/>
  </cols>
  <sheetData>
    <row r="1" spans="1:23">
      <c r="A1" s="45" t="s">
        <v>84</v>
      </c>
    </row>
    <row r="2" spans="1:23">
      <c r="C2" s="1" t="s">
        <v>14</v>
      </c>
      <c r="D2" s="2"/>
      <c r="E2" s="105"/>
    </row>
    <row r="3" spans="1:23">
      <c r="C3" s="1" t="s">
        <v>15</v>
      </c>
      <c r="D3" s="5"/>
    </row>
    <row r="4" spans="1:23" ht="13.5" thickBot="1">
      <c r="E4" s="110"/>
      <c r="G4" s="145" t="str">
        <f>Summary!$I$6</f>
        <v>Technology Solution 1</v>
      </c>
      <c r="H4" s="145"/>
      <c r="J4" s="145" t="str">
        <f>Summary!$K$6</f>
        <v>Technology Solution 2</v>
      </c>
      <c r="K4" s="145"/>
      <c r="M4" s="145" t="str">
        <f>Summary!$M$6</f>
        <v>Technology Solution 3</v>
      </c>
      <c r="N4" s="145"/>
      <c r="P4" s="145" t="str">
        <f>Summary!$O$6</f>
        <v>Technology Solution 4</v>
      </c>
      <c r="Q4" s="145"/>
      <c r="S4" s="145" t="str">
        <f>Summary!$Q$6</f>
        <v>Technology Solution 5</v>
      </c>
      <c r="T4" s="145"/>
      <c r="V4" s="145" t="str">
        <f>Summary!$S$6</f>
        <v>Technology Solution 6</v>
      </c>
      <c r="W4" s="145"/>
    </row>
    <row r="5" spans="1:23" ht="13.5" thickBot="1">
      <c r="D5" s="106" t="s">
        <v>16</v>
      </c>
      <c r="E5" s="12" t="s">
        <v>17</v>
      </c>
      <c r="G5" s="113" t="s">
        <v>1</v>
      </c>
      <c r="H5" s="114" t="s">
        <v>18</v>
      </c>
      <c r="J5" s="113" t="s">
        <v>1</v>
      </c>
      <c r="K5" s="114" t="s">
        <v>18</v>
      </c>
      <c r="M5" s="113" t="s">
        <v>1</v>
      </c>
      <c r="N5" s="114" t="s">
        <v>18</v>
      </c>
      <c r="P5" s="113" t="s">
        <v>1</v>
      </c>
      <c r="Q5" s="114" t="s">
        <v>18</v>
      </c>
      <c r="S5" s="113" t="s">
        <v>1</v>
      </c>
      <c r="T5" s="114" t="s">
        <v>18</v>
      </c>
      <c r="V5" s="113" t="s">
        <v>1</v>
      </c>
      <c r="W5" s="114" t="s">
        <v>18</v>
      </c>
    </row>
    <row r="6" spans="1:23">
      <c r="D6" s="120" t="str">
        <f>Summary!$D$27</f>
        <v>Functional Category 1</v>
      </c>
      <c r="E6" s="55">
        <f>Summary!$E$27</f>
        <v>0.2</v>
      </c>
      <c r="G6" s="87">
        <f>SUMPRODUCT(G7:G10,$E7:$E10)</f>
        <v>0</v>
      </c>
      <c r="H6" s="115"/>
      <c r="J6" s="87">
        <f>SUMPRODUCT(J7:J10,$E7:$E10)</f>
        <v>0</v>
      </c>
      <c r="K6" s="115"/>
      <c r="M6" s="87">
        <f>SUMPRODUCT(M7:M10,$E7:$E10)</f>
        <v>0</v>
      </c>
      <c r="N6" s="115"/>
      <c r="P6" s="87">
        <f>SUMPRODUCT(P7:P10,$E7:$E10)</f>
        <v>0</v>
      </c>
      <c r="Q6" s="115"/>
      <c r="S6" s="87">
        <f>SUMPRODUCT(S7:S10,$E7:$E10)</f>
        <v>0</v>
      </c>
      <c r="T6" s="115"/>
      <c r="V6" s="87">
        <f>SUMPRODUCT(V7:V10,$E7:$E10)</f>
        <v>0</v>
      </c>
      <c r="W6" s="115"/>
    </row>
    <row r="7" spans="1:23">
      <c r="C7" s="84"/>
      <c r="D7" s="108" t="s">
        <v>85</v>
      </c>
      <c r="E7" s="6">
        <f>IF(Summary!$F$27=0,0,100%/Summary!$F$27)</f>
        <v>0.25</v>
      </c>
      <c r="G7" s="88">
        <v>0</v>
      </c>
      <c r="H7" s="116"/>
      <c r="J7" s="88">
        <v>0</v>
      </c>
      <c r="K7" s="116"/>
      <c r="M7" s="88">
        <v>0</v>
      </c>
      <c r="N7" s="116"/>
      <c r="P7" s="88">
        <v>0</v>
      </c>
      <c r="Q7" s="116"/>
      <c r="S7" s="88">
        <v>0</v>
      </c>
      <c r="T7" s="116"/>
      <c r="V7" s="88">
        <v>0</v>
      </c>
      <c r="W7" s="116"/>
    </row>
    <row r="8" spans="1:23">
      <c r="B8" s="35"/>
      <c r="C8" s="84"/>
      <c r="D8" s="108" t="s">
        <v>86</v>
      </c>
      <c r="E8" s="6">
        <f>IF(Summary!$F$27=0,0,100%/Summary!$F$27)</f>
        <v>0.25</v>
      </c>
      <c r="G8" s="88">
        <v>0</v>
      </c>
      <c r="H8" s="116"/>
      <c r="J8" s="88">
        <v>0</v>
      </c>
      <c r="K8" s="116"/>
      <c r="M8" s="88">
        <v>0</v>
      </c>
      <c r="N8" s="116"/>
      <c r="P8" s="88">
        <v>0</v>
      </c>
      <c r="Q8" s="116"/>
      <c r="S8" s="88">
        <v>0</v>
      </c>
      <c r="T8" s="116"/>
      <c r="V8" s="88">
        <v>0</v>
      </c>
      <c r="W8" s="116"/>
    </row>
    <row r="9" spans="1:23">
      <c r="C9" s="84"/>
      <c r="D9" s="108" t="s">
        <v>87</v>
      </c>
      <c r="E9" s="6">
        <f>IF(Summary!$F$27=0,0,100%/Summary!$F$27)</f>
        <v>0.25</v>
      </c>
      <c r="G9" s="88">
        <v>0</v>
      </c>
      <c r="H9" s="116"/>
      <c r="J9" s="88">
        <v>0</v>
      </c>
      <c r="K9" s="116"/>
      <c r="M9" s="88">
        <v>0</v>
      </c>
      <c r="N9" s="116"/>
      <c r="P9" s="88">
        <v>0</v>
      </c>
      <c r="Q9" s="116"/>
      <c r="S9" s="88">
        <v>0</v>
      </c>
      <c r="T9" s="116"/>
      <c r="V9" s="88">
        <v>0</v>
      </c>
      <c r="W9" s="116"/>
    </row>
    <row r="10" spans="1:23">
      <c r="C10" s="84"/>
      <c r="D10" s="108" t="s">
        <v>88</v>
      </c>
      <c r="E10" s="6">
        <f>IF(Summary!$F$27=0,0,100%/Summary!$F$27)</f>
        <v>0.25</v>
      </c>
      <c r="G10" s="88">
        <v>0</v>
      </c>
      <c r="H10" s="116"/>
      <c r="J10" s="88">
        <v>0</v>
      </c>
      <c r="K10" s="116"/>
      <c r="M10" s="88">
        <v>0</v>
      </c>
      <c r="N10" s="116"/>
      <c r="P10" s="88">
        <v>0</v>
      </c>
      <c r="Q10" s="116"/>
      <c r="S10" s="88">
        <v>0</v>
      </c>
      <c r="T10" s="116"/>
      <c r="V10" s="88">
        <v>0</v>
      </c>
      <c r="W10" s="116"/>
    </row>
    <row r="11" spans="1:23">
      <c r="C11" s="84"/>
      <c r="D11" s="109" t="str">
        <f>Summary!$D$28</f>
        <v>Functional Category 2</v>
      </c>
      <c r="E11" s="56">
        <f>Summary!$E$28</f>
        <v>0.2</v>
      </c>
      <c r="G11" s="87">
        <f>SUMPRODUCT(G12:G15,$E12:$E15)</f>
        <v>0</v>
      </c>
      <c r="H11" s="117"/>
      <c r="J11" s="87">
        <f>SUMPRODUCT(J12:J15,$E12:$E15)</f>
        <v>0</v>
      </c>
      <c r="K11" s="117"/>
      <c r="M11" s="87">
        <f>SUMPRODUCT(M12:M15,$E12:$E15)</f>
        <v>0</v>
      </c>
      <c r="N11" s="117"/>
      <c r="P11" s="87">
        <f>SUMPRODUCT(P12:P15,$E12:$E15)</f>
        <v>0</v>
      </c>
      <c r="Q11" s="117"/>
      <c r="S11" s="87">
        <f>SUMPRODUCT(S12:S15,$E12:$E15)</f>
        <v>0</v>
      </c>
      <c r="T11" s="117"/>
      <c r="V11" s="87">
        <f>SUMPRODUCT(V12:V15,$E12:$E15)</f>
        <v>0</v>
      </c>
      <c r="W11" s="117"/>
    </row>
    <row r="12" spans="1:23">
      <c r="B12" s="35"/>
      <c r="C12" s="84"/>
      <c r="D12" s="108" t="s">
        <v>89</v>
      </c>
      <c r="E12" s="6">
        <f>IF(Summary!$F$28=0,0,100%/Summary!$F$28)</f>
        <v>0.25</v>
      </c>
      <c r="G12" s="88">
        <v>0</v>
      </c>
      <c r="H12" s="116"/>
      <c r="J12" s="88">
        <v>0</v>
      </c>
      <c r="K12" s="116"/>
      <c r="M12" s="88">
        <v>0</v>
      </c>
      <c r="N12" s="116"/>
      <c r="P12" s="88">
        <v>0</v>
      </c>
      <c r="Q12" s="116"/>
      <c r="S12" s="88">
        <v>0</v>
      </c>
      <c r="T12" s="116"/>
      <c r="V12" s="88">
        <v>0</v>
      </c>
      <c r="W12" s="116"/>
    </row>
    <row r="13" spans="1:23">
      <c r="B13" s="35"/>
      <c r="C13" s="84"/>
      <c r="D13" s="108" t="s">
        <v>90</v>
      </c>
      <c r="E13" s="6">
        <f>IF(Summary!$F$28=0,0,100%/Summary!$F$28)</f>
        <v>0.25</v>
      </c>
      <c r="G13" s="88">
        <v>0</v>
      </c>
      <c r="H13" s="116"/>
      <c r="J13" s="88">
        <v>0</v>
      </c>
      <c r="K13" s="116"/>
      <c r="M13" s="88">
        <v>0</v>
      </c>
      <c r="N13" s="116"/>
      <c r="P13" s="88">
        <v>0</v>
      </c>
      <c r="Q13" s="116"/>
      <c r="S13" s="88">
        <v>0</v>
      </c>
      <c r="T13" s="116"/>
      <c r="V13" s="88">
        <v>0</v>
      </c>
      <c r="W13" s="116"/>
    </row>
    <row r="14" spans="1:23">
      <c r="B14" s="35"/>
      <c r="C14" s="84"/>
      <c r="D14" s="108" t="s">
        <v>91</v>
      </c>
      <c r="E14" s="6">
        <f>IF(Summary!$F$28=0,0,100%/Summary!$F$28)</f>
        <v>0.25</v>
      </c>
      <c r="G14" s="88">
        <v>0</v>
      </c>
      <c r="H14" s="116"/>
      <c r="J14" s="88">
        <v>0</v>
      </c>
      <c r="K14" s="116"/>
      <c r="M14" s="88">
        <v>0</v>
      </c>
      <c r="N14" s="116"/>
      <c r="P14" s="88">
        <v>0</v>
      </c>
      <c r="Q14" s="116"/>
      <c r="S14" s="88">
        <v>0</v>
      </c>
      <c r="T14" s="116"/>
      <c r="V14" s="88">
        <v>0</v>
      </c>
      <c r="W14" s="116"/>
    </row>
    <row r="15" spans="1:23">
      <c r="B15" s="35"/>
      <c r="C15" s="84"/>
      <c r="D15" s="108" t="s">
        <v>92</v>
      </c>
      <c r="E15" s="6">
        <f>IF(Summary!$F$28=0,0,100%/Summary!$F$28)</f>
        <v>0.25</v>
      </c>
      <c r="G15" s="88">
        <v>0</v>
      </c>
      <c r="H15" s="116"/>
      <c r="J15" s="88">
        <v>0</v>
      </c>
      <c r="K15" s="116"/>
      <c r="M15" s="88">
        <v>0</v>
      </c>
      <c r="N15" s="116"/>
      <c r="P15" s="88">
        <v>0</v>
      </c>
      <c r="Q15" s="116"/>
      <c r="S15" s="88">
        <v>0</v>
      </c>
      <c r="T15" s="116"/>
      <c r="V15" s="88">
        <v>0</v>
      </c>
      <c r="W15" s="116"/>
    </row>
    <row r="16" spans="1:23">
      <c r="C16" s="84"/>
      <c r="D16" s="109" t="str">
        <f>Summary!$D$29</f>
        <v>Functional Category 3</v>
      </c>
      <c r="E16" s="56">
        <f>Summary!$E$29</f>
        <v>0.2</v>
      </c>
      <c r="G16" s="87">
        <f>SUMPRODUCT(G17:G20,$E17:$E20)</f>
        <v>0</v>
      </c>
      <c r="H16" s="118"/>
      <c r="J16" s="87">
        <f>SUMPRODUCT(J17:J20,$E17:$E20)</f>
        <v>0</v>
      </c>
      <c r="K16" s="118"/>
      <c r="M16" s="87">
        <f>SUMPRODUCT(M17:M20,$E17:$E20)</f>
        <v>0</v>
      </c>
      <c r="N16" s="118"/>
      <c r="P16" s="87">
        <f>SUMPRODUCT(P17:P20,$E17:$E20)</f>
        <v>0</v>
      </c>
      <c r="Q16" s="118"/>
      <c r="S16" s="87">
        <f>SUMPRODUCT(S17:S20,$E17:$E20)</f>
        <v>0</v>
      </c>
      <c r="T16" s="118"/>
      <c r="V16" s="87">
        <f>SUMPRODUCT(V17:V20,$E17:$E20)</f>
        <v>0</v>
      </c>
      <c r="W16" s="118"/>
    </row>
    <row r="17" spans="3:23">
      <c r="C17" s="84"/>
      <c r="D17" s="108" t="s">
        <v>93</v>
      </c>
      <c r="E17" s="6">
        <f>IF(Summary!$F$29=0,0,100%/Summary!$F$29)</f>
        <v>0.25</v>
      </c>
      <c r="G17" s="88">
        <v>0</v>
      </c>
      <c r="H17" s="119"/>
      <c r="J17" s="88">
        <v>0</v>
      </c>
      <c r="K17" s="116"/>
      <c r="M17" s="88">
        <v>0</v>
      </c>
      <c r="N17" s="116"/>
      <c r="P17" s="88">
        <v>0</v>
      </c>
      <c r="Q17" s="116"/>
      <c r="S17" s="88">
        <v>0</v>
      </c>
      <c r="T17" s="116"/>
      <c r="V17" s="88">
        <v>0</v>
      </c>
      <c r="W17" s="116"/>
    </row>
    <row r="18" spans="3:23">
      <c r="C18" s="84"/>
      <c r="D18" s="108" t="s">
        <v>94</v>
      </c>
      <c r="E18" s="6">
        <f>IF(Summary!$F$29=0,0,100%/Summary!$F$29)</f>
        <v>0.25</v>
      </c>
      <c r="G18" s="88">
        <v>0</v>
      </c>
      <c r="H18" s="116"/>
      <c r="J18" s="88">
        <v>0</v>
      </c>
      <c r="K18" s="116"/>
      <c r="M18" s="88">
        <v>0</v>
      </c>
      <c r="N18" s="116"/>
      <c r="P18" s="88">
        <v>0</v>
      </c>
      <c r="Q18" s="116"/>
      <c r="S18" s="88">
        <v>0</v>
      </c>
      <c r="T18" s="116"/>
      <c r="V18" s="88">
        <v>0</v>
      </c>
      <c r="W18" s="116"/>
    </row>
    <row r="19" spans="3:23">
      <c r="C19" s="84"/>
      <c r="D19" s="108" t="s">
        <v>95</v>
      </c>
      <c r="E19" s="6">
        <f>IF(Summary!$F$29=0,0,100%/Summary!$F$29)</f>
        <v>0.25</v>
      </c>
      <c r="G19" s="88">
        <v>0</v>
      </c>
      <c r="H19" s="116"/>
      <c r="J19" s="88">
        <v>0</v>
      </c>
      <c r="K19" s="116"/>
      <c r="M19" s="88">
        <v>0</v>
      </c>
      <c r="N19" s="116"/>
      <c r="P19" s="88">
        <v>0</v>
      </c>
      <c r="Q19" s="116"/>
      <c r="S19" s="88">
        <v>0</v>
      </c>
      <c r="T19" s="116"/>
      <c r="V19" s="88">
        <v>0</v>
      </c>
      <c r="W19" s="116"/>
    </row>
    <row r="20" spans="3:23">
      <c r="C20" s="84"/>
      <c r="D20" s="108" t="s">
        <v>96</v>
      </c>
      <c r="E20" s="6">
        <f>IF(Summary!$F$29=0,0,100%/Summary!$F$29)</f>
        <v>0.25</v>
      </c>
      <c r="G20" s="88">
        <v>0</v>
      </c>
      <c r="H20" s="116"/>
      <c r="J20" s="88">
        <v>0</v>
      </c>
      <c r="K20" s="116"/>
      <c r="M20" s="88">
        <v>0</v>
      </c>
      <c r="N20" s="116"/>
      <c r="P20" s="88">
        <v>0</v>
      </c>
      <c r="Q20" s="116"/>
      <c r="S20" s="88">
        <v>0</v>
      </c>
      <c r="T20" s="116"/>
      <c r="V20" s="88">
        <v>0</v>
      </c>
      <c r="W20" s="116"/>
    </row>
    <row r="21" spans="3:23">
      <c r="C21" s="84"/>
      <c r="D21" s="109" t="str">
        <f>Summary!$D$30</f>
        <v>Functional Category 4</v>
      </c>
      <c r="E21" s="56">
        <f>Summary!$E$30</f>
        <v>0.2</v>
      </c>
      <c r="G21" s="87">
        <f>SUMPRODUCT(G22:G25,$E22:$E25)</f>
        <v>0</v>
      </c>
      <c r="H21" s="118"/>
      <c r="J21" s="87">
        <f>SUMPRODUCT(J22:J25,$E22:$E25)</f>
        <v>0</v>
      </c>
      <c r="K21" s="118"/>
      <c r="M21" s="87">
        <f>SUMPRODUCT(M22:M25,$E22:$E25)</f>
        <v>0</v>
      </c>
      <c r="N21" s="118"/>
      <c r="P21" s="87">
        <f>SUMPRODUCT(P22:P25,$E22:$E25)</f>
        <v>0</v>
      </c>
      <c r="Q21" s="118"/>
      <c r="S21" s="87">
        <f>SUMPRODUCT(S22:S25,$E22:$E25)</f>
        <v>0</v>
      </c>
      <c r="T21" s="118"/>
      <c r="V21" s="87">
        <f>SUMPRODUCT(V22:V25,$E22:$E25)</f>
        <v>0</v>
      </c>
      <c r="W21" s="118"/>
    </row>
    <row r="22" spans="3:23">
      <c r="C22" s="84"/>
      <c r="D22" s="108" t="s">
        <v>97</v>
      </c>
      <c r="E22" s="6">
        <f>IF(Summary!$F$30=0,0,100%/Summary!$F$30)</f>
        <v>0.25</v>
      </c>
      <c r="G22" s="88">
        <v>0</v>
      </c>
      <c r="H22" s="116"/>
      <c r="J22" s="88">
        <v>0</v>
      </c>
      <c r="K22" s="116"/>
      <c r="M22" s="88">
        <v>0</v>
      </c>
      <c r="N22" s="116"/>
      <c r="P22" s="88">
        <v>0</v>
      </c>
      <c r="Q22" s="116"/>
      <c r="S22" s="88">
        <v>0</v>
      </c>
      <c r="T22" s="116"/>
      <c r="V22" s="88">
        <v>0</v>
      </c>
      <c r="W22" s="116"/>
    </row>
    <row r="23" spans="3:23">
      <c r="C23" s="84"/>
      <c r="D23" s="108" t="s">
        <v>98</v>
      </c>
      <c r="E23" s="6">
        <f>IF(Summary!$F$30=0,0,100%/Summary!$F$30)</f>
        <v>0.25</v>
      </c>
      <c r="G23" s="88">
        <v>0</v>
      </c>
      <c r="H23" s="116"/>
      <c r="J23" s="88">
        <v>0</v>
      </c>
      <c r="K23" s="116"/>
      <c r="M23" s="88">
        <v>0</v>
      </c>
      <c r="N23" s="116"/>
      <c r="P23" s="88">
        <v>0</v>
      </c>
      <c r="Q23" s="116"/>
      <c r="S23" s="88">
        <v>0</v>
      </c>
      <c r="T23" s="116"/>
      <c r="V23" s="88">
        <v>0</v>
      </c>
      <c r="W23" s="116"/>
    </row>
    <row r="24" spans="3:23">
      <c r="C24" s="84"/>
      <c r="D24" s="108" t="s">
        <v>99</v>
      </c>
      <c r="E24" s="6">
        <f>IF(Summary!$F$30=0,0,100%/Summary!$F$30)</f>
        <v>0.25</v>
      </c>
      <c r="G24" s="88">
        <v>0</v>
      </c>
      <c r="H24" s="116"/>
      <c r="J24" s="88">
        <v>0</v>
      </c>
      <c r="K24" s="116"/>
      <c r="M24" s="88">
        <v>0</v>
      </c>
      <c r="N24" s="116"/>
      <c r="P24" s="88">
        <v>0</v>
      </c>
      <c r="Q24" s="116"/>
      <c r="S24" s="88">
        <v>0</v>
      </c>
      <c r="T24" s="116"/>
      <c r="V24" s="88">
        <v>0</v>
      </c>
      <c r="W24" s="116"/>
    </row>
    <row r="25" spans="3:23">
      <c r="C25" s="84"/>
      <c r="D25" s="108" t="s">
        <v>100</v>
      </c>
      <c r="E25" s="6">
        <f>IF(Summary!$F$30=0,0,100%/Summary!$F$30)</f>
        <v>0.25</v>
      </c>
      <c r="G25" s="88">
        <v>0</v>
      </c>
      <c r="H25" s="116"/>
      <c r="J25" s="88">
        <v>0</v>
      </c>
      <c r="K25" s="116"/>
      <c r="M25" s="88">
        <v>0</v>
      </c>
      <c r="N25" s="116"/>
      <c r="P25" s="88">
        <v>0</v>
      </c>
      <c r="Q25" s="116"/>
      <c r="S25" s="88">
        <v>0</v>
      </c>
      <c r="T25" s="116"/>
      <c r="V25" s="88">
        <v>0</v>
      </c>
      <c r="W25" s="116"/>
    </row>
    <row r="26" spans="3:23">
      <c r="C26" s="84"/>
      <c r="D26" s="109" t="str">
        <f>Summary!$D$31</f>
        <v>Functional Category 5</v>
      </c>
      <c r="E26" s="56">
        <f>Summary!$E$31</f>
        <v>0.2</v>
      </c>
      <c r="G26" s="87">
        <f>SUMPRODUCT(G27:G30,$E27:$E30)</f>
        <v>0</v>
      </c>
      <c r="H26" s="118"/>
      <c r="J26" s="87">
        <f>SUMPRODUCT(J27:J30,$E27:$E30)</f>
        <v>0</v>
      </c>
      <c r="K26" s="118"/>
      <c r="M26" s="87">
        <f>SUMPRODUCT(M27:M30,$E27:$E30)</f>
        <v>0</v>
      </c>
      <c r="N26" s="118"/>
      <c r="P26" s="87">
        <f>SUMPRODUCT(P27:P30,$E27:$E30)</f>
        <v>0</v>
      </c>
      <c r="Q26" s="118"/>
      <c r="S26" s="87">
        <f>SUMPRODUCT(S27:S30,$E27:$E30)</f>
        <v>0</v>
      </c>
      <c r="T26" s="118"/>
      <c r="V26" s="87">
        <f>SUMPRODUCT(V27:V30,$E27:$E30)</f>
        <v>0</v>
      </c>
      <c r="W26" s="118"/>
    </row>
    <row r="27" spans="3:23">
      <c r="C27" s="84"/>
      <c r="D27" s="108" t="s">
        <v>101</v>
      </c>
      <c r="E27" s="6">
        <f>IF(Summary!$F$31=0,0,100%/Summary!$F$31)</f>
        <v>0.25</v>
      </c>
      <c r="G27" s="88">
        <v>0</v>
      </c>
      <c r="H27" s="116"/>
      <c r="J27" s="88">
        <v>0</v>
      </c>
      <c r="K27" s="116"/>
      <c r="M27" s="88">
        <v>0</v>
      </c>
      <c r="N27" s="116"/>
      <c r="P27" s="88">
        <v>0</v>
      </c>
      <c r="Q27" s="116"/>
      <c r="S27" s="88">
        <v>0</v>
      </c>
      <c r="T27" s="116"/>
      <c r="V27" s="88">
        <v>0</v>
      </c>
      <c r="W27" s="116"/>
    </row>
    <row r="28" spans="3:23">
      <c r="C28" s="84"/>
      <c r="D28" s="108" t="s">
        <v>102</v>
      </c>
      <c r="E28" s="6">
        <f>IF(Summary!$F$31=0,0,100%/Summary!$F$31)</f>
        <v>0.25</v>
      </c>
      <c r="G28" s="88">
        <v>0</v>
      </c>
      <c r="H28" s="116"/>
      <c r="J28" s="88">
        <v>0</v>
      </c>
      <c r="K28" s="116"/>
      <c r="M28" s="88">
        <v>0</v>
      </c>
      <c r="N28" s="116"/>
      <c r="P28" s="88">
        <v>0</v>
      </c>
      <c r="Q28" s="116"/>
      <c r="S28" s="88">
        <v>0</v>
      </c>
      <c r="T28" s="116"/>
      <c r="V28" s="88">
        <v>0</v>
      </c>
      <c r="W28" s="116"/>
    </row>
    <row r="29" spans="3:23">
      <c r="C29" s="84"/>
      <c r="D29" s="108" t="s">
        <v>103</v>
      </c>
      <c r="E29" s="6">
        <f>IF(Summary!$F$31=0,0,100%/Summary!$F$31)</f>
        <v>0.25</v>
      </c>
      <c r="G29" s="88">
        <v>0</v>
      </c>
      <c r="H29" s="116"/>
      <c r="J29" s="88">
        <v>0</v>
      </c>
      <c r="K29" s="116"/>
      <c r="M29" s="88">
        <v>0</v>
      </c>
      <c r="N29" s="116"/>
      <c r="P29" s="88">
        <v>0</v>
      </c>
      <c r="Q29" s="116"/>
      <c r="S29" s="88">
        <v>0</v>
      </c>
      <c r="T29" s="116"/>
      <c r="V29" s="88">
        <v>0</v>
      </c>
      <c r="W29" s="116"/>
    </row>
    <row r="30" spans="3:23">
      <c r="C30" s="84"/>
      <c r="D30" s="108" t="s">
        <v>104</v>
      </c>
      <c r="E30" s="6">
        <f>IF(Summary!$F$31=0,0,100%/Summary!$F$31)</f>
        <v>0.25</v>
      </c>
      <c r="G30" s="88">
        <v>0</v>
      </c>
      <c r="H30" s="116"/>
      <c r="J30" s="88">
        <v>0</v>
      </c>
      <c r="K30" s="116"/>
      <c r="M30" s="88">
        <v>0</v>
      </c>
      <c r="N30" s="116"/>
      <c r="P30" s="88">
        <v>0</v>
      </c>
      <c r="Q30" s="116"/>
      <c r="S30" s="88">
        <v>0</v>
      </c>
      <c r="T30" s="116"/>
      <c r="V30" s="88">
        <v>0</v>
      </c>
      <c r="W30" s="116"/>
    </row>
    <row r="31" spans="3:23">
      <c r="G31" s="112"/>
      <c r="H31" s="19"/>
      <c r="J31" s="112"/>
      <c r="K31" s="19"/>
      <c r="M31" s="112"/>
      <c r="N31" s="19"/>
      <c r="P31" s="112"/>
      <c r="Q31" s="19"/>
      <c r="S31" s="112"/>
      <c r="T31" s="19"/>
      <c r="V31" s="112"/>
      <c r="W31" s="19"/>
    </row>
    <row r="32" spans="3:23" ht="13.5" thickBot="1">
      <c r="E32" s="121">
        <f>E6+E11+E16+E21+E26</f>
        <v>1</v>
      </c>
      <c r="G32" s="89">
        <f>(G6*$E6)+(G11*$E11)+(G16*$E16)+(G21*$E21)+(G26*$E26)</f>
        <v>0</v>
      </c>
      <c r="H32" s="8"/>
      <c r="J32" s="89">
        <f>(J6*$E6)+(J11*$E11)+(J16*$E16)+(J21*$E21)+(J26*$E26)</f>
        <v>0</v>
      </c>
      <c r="K32" s="8"/>
      <c r="M32" s="89">
        <f>(M6*$E6)+(M11*$E11)+(M16*$E16)+(M21*$E21)+(M26*$E26)</f>
        <v>0</v>
      </c>
      <c r="N32" s="8"/>
      <c r="P32" s="89">
        <f>(P6*$E6)+(P11*$E11)+(P16*$E16)+(P21*$E21)+(P26*$E26)</f>
        <v>0</v>
      </c>
      <c r="Q32" s="8"/>
      <c r="S32" s="89">
        <f>(S6*$E6)+(S11*$E11)+(S16*$E16)+(S21*$E21)+(S26*$E26)</f>
        <v>0</v>
      </c>
      <c r="T32" s="8"/>
      <c r="V32" s="89">
        <f>(V6*$E6)+(V11*$E11)+(V16*$E16)+(V21*$E21)+(V26*$E26)</f>
        <v>0</v>
      </c>
      <c r="W32" s="8"/>
    </row>
    <row r="33" ht="13.5" thickTop="1"/>
    <row r="53" spans="7:22">
      <c r="G53" s="90">
        <f>'Scoring Framework'!E8</f>
        <v>1</v>
      </c>
      <c r="J53" s="90">
        <f>'Scoring Framework'!I8</f>
        <v>0</v>
      </c>
      <c r="M53" s="90">
        <f>'Scoring Framework'!M8</f>
        <v>0</v>
      </c>
      <c r="P53" s="90">
        <f>'Scoring Framework'!Q8</f>
        <v>0</v>
      </c>
      <c r="S53" s="90">
        <f>'Scoring Framework'!U8</f>
        <v>0</v>
      </c>
      <c r="V53" s="90">
        <f>'Scoring Framework'!Y8</f>
        <v>0</v>
      </c>
    </row>
    <row r="54" spans="7:22">
      <c r="G54" s="90">
        <f>'Scoring Framework'!E9</f>
        <v>2</v>
      </c>
      <c r="J54" s="90">
        <f>'Scoring Framework'!I9</f>
        <v>0</v>
      </c>
      <c r="M54" s="90">
        <f>'Scoring Framework'!M9</f>
        <v>0</v>
      </c>
      <c r="P54" s="90">
        <f>'Scoring Framework'!Q9</f>
        <v>0</v>
      </c>
      <c r="S54" s="90">
        <f>'Scoring Framework'!U9</f>
        <v>0</v>
      </c>
      <c r="V54" s="90">
        <f>'Scoring Framework'!Y9</f>
        <v>0</v>
      </c>
    </row>
    <row r="55" spans="7:22">
      <c r="G55" s="90">
        <f>'Scoring Framework'!E12</f>
        <v>5</v>
      </c>
      <c r="J55" s="90">
        <f>'Scoring Framework'!I12</f>
        <v>0</v>
      </c>
      <c r="M55" s="90">
        <f>'Scoring Framework'!M12</f>
        <v>0</v>
      </c>
      <c r="P55" s="90">
        <f>'Scoring Framework'!Q12</f>
        <v>0</v>
      </c>
      <c r="S55" s="90">
        <f>'Scoring Framework'!U12</f>
        <v>0</v>
      </c>
      <c r="V55" s="90">
        <f>'Scoring Framework'!Y12</f>
        <v>0</v>
      </c>
    </row>
  </sheetData>
  <mergeCells count="6">
    <mergeCell ref="V4:W4"/>
    <mergeCell ref="G4:H4"/>
    <mergeCell ref="J4:K4"/>
    <mergeCell ref="M4:N4"/>
    <mergeCell ref="P4:Q4"/>
    <mergeCell ref="S4:T4"/>
  </mergeCells>
  <conditionalFormatting sqref="E32">
    <cfRule type="cellIs" dxfId="3" priority="1" operator="notEqual">
      <formula>1</formula>
    </cfRule>
  </conditionalFormatting>
  <pageMargins left="0.25" right="0.25" top="0.5" bottom="0.5" header="0" footer="0"/>
  <pageSetup paperSize="224" scale="48" fitToHeight="4" orientation="portrait" r:id="rId1"/>
  <headerFooter alignWithMargins="0"/>
  <drawing r:id="rId2"/>
  <extLst>
    <ext xmlns:x14="http://schemas.microsoft.com/office/spreadsheetml/2009/9/main" uri="{CCE6A557-97BC-4b89-ADB6-D9C93CAAB3DF}">
      <x14:dataValidations xmlns:xm="http://schemas.microsoft.com/office/excel/2006/main" count="1">
        <x14:dataValidation type="list" allowBlank="1" showInputMessage="1" showErrorMessage="1" errorTitle="Valid Choices" error="0 - Does not address_x000a_3 - Needs improvement_x000a_7 - Meets expectations" promptTitle="Please enter your response" prompt="1 - Does not address needs_x000a_2 - Meets minimal needs_x000a_3 - Meets basic needs_x000a_4 - Meets most needs_x000a_5 - Meets needs fully" xr:uid="{00000000-0002-0000-0300-000000000000}">
          <x14:formula1>
            <xm:f>'Scoring Framework'!$E$8:$E$12</xm:f>
          </x14:formula1>
          <xm:sqref>S12:S15 G12:G15 G17:G20 G27:G30 S17:S20 S27:S30 S22:S25 S7:S10 G22:G25 G7:G10 J12:J15 J17:J20 J27:J30 J22:J25 J7:J10 M12:M15 M17:M20 M27:M30 M22:M25 M7:M10 P12:P15 P17:P20 P27:P30 P22:P25 P7:P10 V12:V15 V17:V20 V27:V30 V22:V25 V7:V10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70C0"/>
    <pageSetUpPr fitToPage="1"/>
  </sheetPr>
  <dimension ref="A1:W56"/>
  <sheetViews>
    <sheetView zoomScaleNormal="100" zoomScaleSheetLayoutView="100" workbookViewId="0">
      <pane xSplit="5" ySplit="6" topLeftCell="G19" activePane="bottomRight" state="frozen"/>
      <selection pane="bottomRight" activeCell="G19" sqref="G19"/>
      <selection pane="bottomLeft" activeCell="A7" sqref="A7"/>
      <selection pane="topRight" activeCell="F1" sqref="F1"/>
    </sheetView>
  </sheetViews>
  <sheetFormatPr defaultColWidth="9" defaultRowHeight="12"/>
  <cols>
    <col min="1" max="2" width="1.42578125" style="36" customWidth="1"/>
    <col min="3" max="3" width="6.85546875" style="36" customWidth="1"/>
    <col min="4" max="4" width="59.140625" style="36" customWidth="1"/>
    <col min="5" max="5" width="5.7109375" style="36" bestFit="1" customWidth="1"/>
    <col min="6" max="6" width="1.7109375" style="36" customWidth="1"/>
    <col min="7" max="7" width="8.42578125" style="91" customWidth="1"/>
    <col min="8" max="8" width="78.42578125" style="37" customWidth="1"/>
    <col min="9" max="9" width="1.5703125" style="36" customWidth="1"/>
    <col min="10" max="10" width="5.7109375" style="91" customWidth="1"/>
    <col min="11" max="11" width="81.5703125" style="37" customWidth="1"/>
    <col min="12" max="12" width="1.5703125" style="36" customWidth="1"/>
    <col min="13" max="13" width="5.7109375" style="91" customWidth="1"/>
    <col min="14" max="14" width="81.5703125" style="37" customWidth="1"/>
    <col min="15" max="15" width="1.5703125" style="36" customWidth="1"/>
    <col min="16" max="16" width="5.7109375" style="91" customWidth="1"/>
    <col min="17" max="17" width="81.5703125" style="37" customWidth="1"/>
    <col min="18" max="18" width="1.5703125" style="36" customWidth="1"/>
    <col min="19" max="19" width="5.7109375" style="91" customWidth="1"/>
    <col min="20" max="20" width="81.5703125" style="37" customWidth="1"/>
    <col min="21" max="21" width="1.5703125" style="36" customWidth="1"/>
    <col min="22" max="22" width="5.7109375" style="91" customWidth="1"/>
    <col min="23" max="23" width="81.5703125" style="37" customWidth="1"/>
    <col min="24" max="16384" width="9" style="36"/>
  </cols>
  <sheetData>
    <row r="1" spans="1:23">
      <c r="A1" s="77" t="s">
        <v>105</v>
      </c>
    </row>
    <row r="2" spans="1:23">
      <c r="C2" s="39" t="s">
        <v>14</v>
      </c>
      <c r="D2" s="40"/>
      <c r="E2" s="122"/>
    </row>
    <row r="3" spans="1:23">
      <c r="C3" s="39" t="s">
        <v>15</v>
      </c>
      <c r="D3" s="41"/>
    </row>
    <row r="4" spans="1:23" ht="12.75" thickBot="1">
      <c r="G4" s="146" t="str">
        <f>Summary!$I$6</f>
        <v>Technology Solution 1</v>
      </c>
      <c r="H4" s="146"/>
      <c r="J4" s="146" t="str">
        <f>Summary!$K$6</f>
        <v>Technology Solution 2</v>
      </c>
      <c r="K4" s="146"/>
      <c r="M4" s="146" t="str">
        <f>Summary!$M$6</f>
        <v>Technology Solution 3</v>
      </c>
      <c r="N4" s="146"/>
      <c r="P4" s="146" t="str">
        <f>Summary!$O$6</f>
        <v>Technology Solution 4</v>
      </c>
      <c r="Q4" s="146"/>
      <c r="S4" s="146" t="str">
        <f>Summary!$Q$6</f>
        <v>Technology Solution 5</v>
      </c>
      <c r="T4" s="146"/>
      <c r="V4" s="146" t="str">
        <f>Summary!$S$6</f>
        <v>Technology Solution 6</v>
      </c>
      <c r="W4" s="146"/>
    </row>
    <row r="5" spans="1:23" ht="12.75" thickBot="1">
      <c r="D5" s="42" t="s">
        <v>16</v>
      </c>
      <c r="E5" s="124" t="s">
        <v>17</v>
      </c>
      <c r="G5" s="123" t="s">
        <v>1</v>
      </c>
      <c r="H5" s="124" t="s">
        <v>18</v>
      </c>
      <c r="J5" s="123" t="s">
        <v>1</v>
      </c>
      <c r="K5" s="124" t="s">
        <v>18</v>
      </c>
      <c r="M5" s="123" t="s">
        <v>1</v>
      </c>
      <c r="N5" s="124" t="s">
        <v>18</v>
      </c>
      <c r="P5" s="123" t="s">
        <v>1</v>
      </c>
      <c r="Q5" s="124" t="s">
        <v>18</v>
      </c>
      <c r="S5" s="123" t="s">
        <v>1</v>
      </c>
      <c r="T5" s="124" t="s">
        <v>18</v>
      </c>
      <c r="V5" s="123" t="s">
        <v>1</v>
      </c>
      <c r="W5" s="124" t="s">
        <v>18</v>
      </c>
    </row>
    <row r="6" spans="1:23" ht="12.75">
      <c r="D6" s="64" t="str">
        <f>Summary!$D$34</f>
        <v>Efficiencies</v>
      </c>
      <c r="E6" s="130">
        <f>Summary!$E$36</f>
        <v>0.3</v>
      </c>
      <c r="G6" s="125">
        <f>SUMPRODUCT(G7:G9,$E7:$E9)</f>
        <v>0</v>
      </c>
      <c r="H6" s="126"/>
      <c r="J6" s="125">
        <f>SUMPRODUCT(J7:J9,$E7:$E9)</f>
        <v>0</v>
      </c>
      <c r="K6" s="126"/>
      <c r="M6" s="125">
        <f>SUMPRODUCT(M7:M9,$E7:$E9)</f>
        <v>0</v>
      </c>
      <c r="N6" s="126"/>
      <c r="P6" s="125">
        <f>SUMPRODUCT(P7:P9,$E7:$E9)</f>
        <v>0</v>
      </c>
      <c r="Q6" s="126"/>
      <c r="S6" s="125">
        <f>SUMPRODUCT(S7:S9,$E7:$E9)</f>
        <v>0</v>
      </c>
      <c r="T6" s="126"/>
      <c r="V6" s="125">
        <f>SUMPRODUCT(V7:V9,$E7:$E9)</f>
        <v>0</v>
      </c>
      <c r="W6" s="126"/>
    </row>
    <row r="7" spans="1:23" ht="13.9" customHeight="1">
      <c r="C7" s="84"/>
      <c r="D7" s="85" t="s">
        <v>106</v>
      </c>
      <c r="E7" s="6">
        <f>IF(Summary!$F$36=0,0,100%/Summary!$F$36)</f>
        <v>0.33333333333333331</v>
      </c>
      <c r="G7" s="92">
        <v>0</v>
      </c>
      <c r="H7" s="127"/>
      <c r="J7" s="92">
        <v>0</v>
      </c>
      <c r="K7" s="127"/>
      <c r="M7" s="92">
        <v>0</v>
      </c>
      <c r="N7" s="127"/>
      <c r="P7" s="92">
        <v>0</v>
      </c>
      <c r="Q7" s="127"/>
      <c r="S7" s="92">
        <v>0</v>
      </c>
      <c r="T7" s="127"/>
      <c r="V7" s="92">
        <v>0</v>
      </c>
      <c r="W7" s="127"/>
    </row>
    <row r="8" spans="1:23" ht="13.9" customHeight="1">
      <c r="C8" s="84"/>
      <c r="D8" s="85" t="s">
        <v>107</v>
      </c>
      <c r="E8" s="6">
        <f>IF(Summary!$F$36=0,0,100%/Summary!$F$36)</f>
        <v>0.33333333333333331</v>
      </c>
      <c r="G8" s="92">
        <v>0</v>
      </c>
      <c r="H8" s="127"/>
      <c r="J8" s="92">
        <v>0</v>
      </c>
      <c r="K8" s="127"/>
      <c r="M8" s="92">
        <v>0</v>
      </c>
      <c r="N8" s="127"/>
      <c r="P8" s="92">
        <v>0</v>
      </c>
      <c r="Q8" s="127"/>
      <c r="S8" s="92">
        <v>0</v>
      </c>
      <c r="T8" s="127"/>
      <c r="V8" s="92">
        <v>0</v>
      </c>
      <c r="W8" s="127"/>
    </row>
    <row r="9" spans="1:23" ht="15" customHeight="1">
      <c r="C9" s="84"/>
      <c r="D9" s="85" t="s">
        <v>108</v>
      </c>
      <c r="E9" s="6">
        <f>IF(Summary!$F$36=0,0,100%/Summary!$F$36)</f>
        <v>0.33333333333333331</v>
      </c>
      <c r="G9" s="92">
        <v>0</v>
      </c>
      <c r="H9" s="127"/>
      <c r="J9" s="92">
        <v>0</v>
      </c>
      <c r="K9" s="127"/>
      <c r="M9" s="92">
        <v>0</v>
      </c>
      <c r="N9" s="127"/>
      <c r="P9" s="92">
        <v>0</v>
      </c>
      <c r="Q9" s="127"/>
      <c r="S9" s="92">
        <v>0</v>
      </c>
      <c r="T9" s="127"/>
      <c r="V9" s="92">
        <v>0</v>
      </c>
      <c r="W9" s="127"/>
    </row>
    <row r="10" spans="1:23" ht="12.75">
      <c r="C10" s="84"/>
      <c r="D10" s="65" t="str">
        <f>Summary!$D$35</f>
        <v>Recurring Cost of Change</v>
      </c>
      <c r="E10" s="56">
        <f>Summary!$E$35</f>
        <v>0.3</v>
      </c>
      <c r="G10" s="125">
        <f>SUMPRODUCT(G11:G13,$E11:$E13)</f>
        <v>0</v>
      </c>
      <c r="H10" s="126"/>
      <c r="J10" s="125">
        <f>SUMPRODUCT(J11:J13,$E11:$E13)</f>
        <v>0</v>
      </c>
      <c r="K10" s="128"/>
      <c r="M10" s="125">
        <f>SUMPRODUCT(M11:M13,$E11:$E13)</f>
        <v>0</v>
      </c>
      <c r="N10" s="128"/>
      <c r="P10" s="125">
        <f>SUMPRODUCT(P11:P13,$E11:$E13)</f>
        <v>0</v>
      </c>
      <c r="Q10" s="128"/>
      <c r="S10" s="125">
        <f>SUMPRODUCT(S11:S13,$E11:$E13)</f>
        <v>0</v>
      </c>
      <c r="T10" s="128"/>
      <c r="V10" s="125">
        <f>SUMPRODUCT(V11:V13,$E11:$E13)</f>
        <v>0</v>
      </c>
      <c r="W10" s="128"/>
    </row>
    <row r="11" spans="1:23" ht="24">
      <c r="C11" s="84"/>
      <c r="D11" s="85" t="s">
        <v>109</v>
      </c>
      <c r="E11" s="6">
        <f>IF(Summary!$F$35=0,0,100%/Summary!$F$35)</f>
        <v>0.33333333333333331</v>
      </c>
      <c r="G11" s="92">
        <v>0</v>
      </c>
      <c r="H11" s="127"/>
      <c r="J11" s="92">
        <v>0</v>
      </c>
      <c r="K11" s="127"/>
      <c r="M11" s="92">
        <v>0</v>
      </c>
      <c r="N11" s="127"/>
      <c r="P11" s="92">
        <v>0</v>
      </c>
      <c r="Q11" s="127"/>
      <c r="S11" s="92">
        <v>0</v>
      </c>
      <c r="T11" s="127"/>
      <c r="V11" s="92">
        <v>0</v>
      </c>
      <c r="W11" s="127"/>
    </row>
    <row r="12" spans="1:23" ht="24">
      <c r="C12" s="84"/>
      <c r="D12" s="85" t="s">
        <v>110</v>
      </c>
      <c r="E12" s="6">
        <f>IF(Summary!$F$35=0,0,100%/Summary!$F$35)</f>
        <v>0.33333333333333331</v>
      </c>
      <c r="G12" s="92">
        <v>0</v>
      </c>
      <c r="H12" s="127"/>
      <c r="J12" s="92">
        <v>0</v>
      </c>
      <c r="K12" s="127"/>
      <c r="M12" s="92">
        <v>0</v>
      </c>
      <c r="N12" s="127"/>
      <c r="P12" s="92">
        <v>0</v>
      </c>
      <c r="Q12" s="127"/>
      <c r="S12" s="92">
        <v>0</v>
      </c>
      <c r="T12" s="127"/>
      <c r="V12" s="92">
        <v>0</v>
      </c>
      <c r="W12" s="127"/>
    </row>
    <row r="13" spans="1:23" ht="24">
      <c r="C13" s="84"/>
      <c r="D13" s="85" t="s">
        <v>111</v>
      </c>
      <c r="E13" s="6">
        <f>IF(Summary!$F$35=0,0,100%/Summary!$F$35)</f>
        <v>0.33333333333333331</v>
      </c>
      <c r="G13" s="92">
        <v>0</v>
      </c>
      <c r="H13" s="129"/>
      <c r="J13" s="92">
        <v>0</v>
      </c>
      <c r="K13" s="127"/>
      <c r="M13" s="92">
        <v>0</v>
      </c>
      <c r="N13" s="127"/>
      <c r="P13" s="92">
        <v>0</v>
      </c>
      <c r="Q13" s="127"/>
      <c r="S13" s="92">
        <v>0</v>
      </c>
      <c r="T13" s="127"/>
      <c r="V13" s="92">
        <v>0</v>
      </c>
      <c r="W13" s="127"/>
    </row>
    <row r="14" spans="1:23" ht="12.75">
      <c r="C14" s="84"/>
      <c r="D14" s="65" t="str">
        <f>Summary!$D$36</f>
        <v>Total Cost to Change</v>
      </c>
      <c r="E14" s="56">
        <f>Summary!$E$34</f>
        <v>0.4</v>
      </c>
      <c r="G14" s="125">
        <f>SUMPRODUCT(G15:G16,$E15:$E16)</f>
        <v>0</v>
      </c>
      <c r="H14" s="126"/>
      <c r="J14" s="125">
        <f>SUMPRODUCT(J15:J16,$E15:$E16)</f>
        <v>0</v>
      </c>
      <c r="K14" s="126"/>
      <c r="M14" s="125">
        <f>SUMPRODUCT(M15:M16,$E15:$E16)</f>
        <v>0</v>
      </c>
      <c r="N14" s="126"/>
      <c r="P14" s="125">
        <f>SUMPRODUCT(P15:P16,$E15:$E16)</f>
        <v>0</v>
      </c>
      <c r="Q14" s="126"/>
      <c r="S14" s="125">
        <f>SUMPRODUCT(S15:S16,$E15:$E16)</f>
        <v>0</v>
      </c>
      <c r="T14" s="126"/>
      <c r="V14" s="125">
        <f>SUMPRODUCT(V15:V16,$E15:$E16)</f>
        <v>0</v>
      </c>
      <c r="W14" s="126"/>
    </row>
    <row r="15" spans="1:23" ht="24">
      <c r="C15" s="84"/>
      <c r="D15" s="85" t="s">
        <v>112</v>
      </c>
      <c r="E15" s="6">
        <f>IF(Summary!$F$34=0,0,100%/Summary!$F$34)</f>
        <v>0.5</v>
      </c>
      <c r="G15" s="92">
        <v>0</v>
      </c>
      <c r="H15" s="127"/>
      <c r="J15" s="92">
        <v>0</v>
      </c>
      <c r="K15" s="127"/>
      <c r="M15" s="92">
        <v>0</v>
      </c>
      <c r="N15" s="127"/>
      <c r="P15" s="92">
        <v>0</v>
      </c>
      <c r="Q15" s="127"/>
      <c r="S15" s="92">
        <v>0</v>
      </c>
      <c r="T15" s="127"/>
      <c r="V15" s="92">
        <v>0</v>
      </c>
      <c r="W15" s="127"/>
    </row>
    <row r="16" spans="1:23" ht="24">
      <c r="C16" s="84"/>
      <c r="D16" s="85" t="s">
        <v>113</v>
      </c>
      <c r="E16" s="6">
        <f>IF(Summary!$F$34=0,0,100%/Summary!$F$34)</f>
        <v>0.5</v>
      </c>
      <c r="G16" s="92">
        <v>0</v>
      </c>
      <c r="H16" s="127"/>
      <c r="J16" s="92">
        <v>0</v>
      </c>
      <c r="K16" s="127"/>
      <c r="M16" s="92">
        <v>0</v>
      </c>
      <c r="N16" s="127"/>
      <c r="P16" s="92">
        <v>0</v>
      </c>
      <c r="Q16" s="127"/>
      <c r="S16" s="92">
        <v>0</v>
      </c>
      <c r="T16" s="127"/>
      <c r="V16" s="92">
        <v>0</v>
      </c>
      <c r="W16" s="127"/>
    </row>
    <row r="17" spans="4:23">
      <c r="D17" s="38"/>
      <c r="E17" s="38"/>
    </row>
    <row r="18" spans="4:23">
      <c r="D18" s="38"/>
      <c r="E18" s="38"/>
      <c r="G18" s="93"/>
      <c r="H18" s="43"/>
      <c r="J18" s="93"/>
      <c r="K18" s="43"/>
      <c r="M18" s="93"/>
      <c r="N18" s="43"/>
      <c r="P18" s="93"/>
      <c r="Q18" s="43"/>
      <c r="S18" s="93"/>
      <c r="T18" s="43"/>
      <c r="V18" s="93"/>
      <c r="W18" s="43"/>
    </row>
    <row r="19" spans="4:23" ht="12.75" thickBot="1">
      <c r="D19" s="38"/>
      <c r="E19" s="138">
        <f>E6+E10+E14</f>
        <v>1</v>
      </c>
      <c r="G19" s="94">
        <f>(G14*$E14)+(G10*$E10)+(G6*$E6)</f>
        <v>0</v>
      </c>
      <c r="H19" s="44"/>
      <c r="J19" s="94">
        <f>(J14*$E14)+(J10*$E10)+(J6*$E6)</f>
        <v>0</v>
      </c>
      <c r="K19" s="44"/>
      <c r="M19" s="94">
        <f>(M14*$E14)+(M10*$E10)+(M6*$E6)</f>
        <v>0</v>
      </c>
      <c r="N19" s="44"/>
      <c r="P19" s="94">
        <f>(P14*$E14)+(P10*$E10)+(P6*$E6)</f>
        <v>0</v>
      </c>
      <c r="Q19" s="44"/>
      <c r="S19" s="94">
        <f>(S14*$E14)+(S10*$E10)+(S6*$E6)</f>
        <v>0</v>
      </c>
      <c r="T19" s="44"/>
      <c r="V19" s="94">
        <f>(V14*$E14)+(V10*$E10)+(V6*$E6)</f>
        <v>0</v>
      </c>
      <c r="W19" s="44"/>
    </row>
    <row r="20" spans="4:23" ht="12.75" thickTop="1">
      <c r="D20" s="38"/>
      <c r="E20" s="38"/>
    </row>
    <row r="21" spans="4:23">
      <c r="D21" s="38"/>
      <c r="E21" s="38"/>
    </row>
    <row r="22" spans="4:23">
      <c r="D22" s="38" t="s">
        <v>114</v>
      </c>
      <c r="E22" s="38"/>
    </row>
    <row r="23" spans="4:23">
      <c r="D23" s="38" t="s">
        <v>115</v>
      </c>
      <c r="E23" s="38"/>
    </row>
    <row r="24" spans="4:23">
      <c r="D24" s="36" t="s">
        <v>116</v>
      </c>
    </row>
    <row r="25" spans="4:23">
      <c r="D25" s="36" t="s">
        <v>117</v>
      </c>
    </row>
    <row r="54" spans="7:22">
      <c r="G54" s="95">
        <f>'Scoring Framework'!E8</f>
        <v>1</v>
      </c>
      <c r="J54" s="95">
        <f>'Scoring Framework'!I8</f>
        <v>0</v>
      </c>
      <c r="M54" s="95">
        <f>'Scoring Framework'!M8</f>
        <v>0</v>
      </c>
      <c r="P54" s="95">
        <f>'Scoring Framework'!Q8</f>
        <v>0</v>
      </c>
      <c r="S54" s="95">
        <f>'Scoring Framework'!U8</f>
        <v>0</v>
      </c>
      <c r="V54" s="95">
        <f>'Scoring Framework'!Y8</f>
        <v>0</v>
      </c>
    </row>
    <row r="55" spans="7:22">
      <c r="G55" s="95">
        <f>'Scoring Framework'!E9</f>
        <v>2</v>
      </c>
      <c r="J55" s="95">
        <f>'Scoring Framework'!I9</f>
        <v>0</v>
      </c>
      <c r="M55" s="95">
        <f>'Scoring Framework'!M9</f>
        <v>0</v>
      </c>
      <c r="P55" s="95">
        <f>'Scoring Framework'!Q9</f>
        <v>0</v>
      </c>
      <c r="S55" s="95">
        <f>'Scoring Framework'!U9</f>
        <v>0</v>
      </c>
      <c r="V55" s="95">
        <f>'Scoring Framework'!Y9</f>
        <v>0</v>
      </c>
    </row>
    <row r="56" spans="7:22">
      <c r="G56" s="95">
        <f>'Scoring Framework'!E12</f>
        <v>5</v>
      </c>
      <c r="J56" s="95">
        <f>'Scoring Framework'!I12</f>
        <v>0</v>
      </c>
      <c r="M56" s="95">
        <f>'Scoring Framework'!M12</f>
        <v>0</v>
      </c>
      <c r="P56" s="95">
        <f>'Scoring Framework'!Q12</f>
        <v>0</v>
      </c>
      <c r="S56" s="95">
        <f>'Scoring Framework'!U12</f>
        <v>0</v>
      </c>
      <c r="V56" s="95">
        <f>'Scoring Framework'!Y12</f>
        <v>0</v>
      </c>
    </row>
  </sheetData>
  <mergeCells count="6">
    <mergeCell ref="V4:W4"/>
    <mergeCell ref="G4:H4"/>
    <mergeCell ref="J4:K4"/>
    <mergeCell ref="M4:N4"/>
    <mergeCell ref="P4:Q4"/>
    <mergeCell ref="S4:T4"/>
  </mergeCells>
  <phoneticPr fontId="2" type="noConversion"/>
  <conditionalFormatting sqref="E19">
    <cfRule type="cellIs" dxfId="2" priority="1" operator="notEqual">
      <formula>1</formula>
    </cfRule>
  </conditionalFormatting>
  <pageMargins left="0.25" right="0.25" top="0.5" bottom="0.5" header="0" footer="0"/>
  <pageSetup scale="37" orientation="portrait" horizontalDpi="4294967293" r:id="rId1"/>
  <headerFooter alignWithMargins="0"/>
  <extLst>
    <ext xmlns:x14="http://schemas.microsoft.com/office/spreadsheetml/2009/9/main" uri="{CCE6A557-97BC-4b89-ADB6-D9C93CAAB3DF}">
      <x14:dataValidations xmlns:xm="http://schemas.microsoft.com/office/excel/2006/main" disablePrompts="1" count="1">
        <x14:dataValidation type="list" allowBlank="1" showInputMessage="1" showErrorMessage="1" errorTitle="Valid choices" error="0 - Does not address_x000a_3 - Needs improvement_x000a_7 - Meets expectations" promptTitle="Please enter your choice" prompt="1 - Does not address needs_x000a_2 - Meets minimal needs_x000a_3 - Meets basic needs_x000a_4 - Meets most needs_x000a_5 - Meets needs fully_x000a_" xr:uid="{00000000-0002-0000-0400-000000000000}">
          <x14:formula1>
            <xm:f>'Scoring Framework'!$E$8:$E$12</xm:f>
          </x14:formula1>
          <xm:sqref>G7:G9 G11:G13 G15:G16 S7:S9 S11:S13 S15:S16 J7:J9 J11:J13 J15:J16 M7:M9 M11:M13 M15:M16 P7:P9 P11:P13 P15:P16 V7:V9 V11:V13 V15:V16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0" tint="-0.249977111117893"/>
    <pageSetUpPr fitToPage="1"/>
  </sheetPr>
  <dimension ref="A1:W45"/>
  <sheetViews>
    <sheetView zoomScaleNormal="100" workbookViewId="0">
      <pane xSplit="5" ySplit="6" topLeftCell="F7" activePane="bottomRight" state="frozen"/>
      <selection pane="bottomRight" activeCell="V25" sqref="V25"/>
      <selection pane="bottomLeft" activeCell="A7" sqref="A7"/>
      <selection pane="topRight" activeCell="F1" sqref="F1"/>
    </sheetView>
  </sheetViews>
  <sheetFormatPr defaultColWidth="9" defaultRowHeight="12.75"/>
  <cols>
    <col min="1" max="1" width="1.42578125" style="3" customWidth="1"/>
    <col min="2" max="2" width="1.7109375" style="3" customWidth="1"/>
    <col min="3" max="3" width="5.42578125" style="3" customWidth="1"/>
    <col min="4" max="4" width="77" style="3" customWidth="1"/>
    <col min="5" max="5" width="6.28515625" style="3" bestFit="1" customWidth="1"/>
    <col min="6" max="6" width="1.5703125" style="3" customWidth="1"/>
    <col min="7" max="7" width="5.7109375" style="86" customWidth="1"/>
    <col min="8" max="8" width="68.42578125" style="4" customWidth="1"/>
    <col min="9" max="9" width="1.5703125" style="3" customWidth="1"/>
    <col min="10" max="10" width="7.7109375" style="86" customWidth="1"/>
    <col min="11" max="11" width="72" style="4" customWidth="1"/>
    <col min="12" max="12" width="1.5703125" style="3" customWidth="1"/>
    <col min="13" max="13" width="7.7109375" style="86" customWidth="1"/>
    <col min="14" max="14" width="72" style="4" customWidth="1"/>
    <col min="15" max="15" width="1.5703125" style="3" customWidth="1"/>
    <col min="16" max="16" width="7.7109375" style="86" customWidth="1"/>
    <col min="17" max="17" width="72" style="4" customWidth="1"/>
    <col min="18" max="18" width="1.5703125" style="3" customWidth="1"/>
    <col min="19" max="19" width="7.7109375" style="86" customWidth="1"/>
    <col min="20" max="20" width="72" style="4" customWidth="1"/>
    <col min="21" max="21" width="1.5703125" style="3" customWidth="1"/>
    <col min="22" max="22" width="7.7109375" style="86" customWidth="1"/>
    <col min="23" max="23" width="72" style="4" customWidth="1"/>
    <col min="24" max="16384" width="9" style="3"/>
  </cols>
  <sheetData>
    <row r="1" spans="1:23">
      <c r="A1" s="76" t="s">
        <v>118</v>
      </c>
    </row>
    <row r="2" spans="1:23">
      <c r="C2" s="1" t="s">
        <v>14</v>
      </c>
      <c r="D2" s="2"/>
      <c r="E2" s="105"/>
    </row>
    <row r="3" spans="1:23">
      <c r="C3" s="1" t="s">
        <v>15</v>
      </c>
      <c r="D3" s="5"/>
    </row>
    <row r="4" spans="1:23">
      <c r="G4" s="145" t="str">
        <f>Summary!$I$6</f>
        <v>Technology Solution 1</v>
      </c>
      <c r="H4" s="145"/>
      <c r="J4" s="145" t="str">
        <f>Summary!$K$6</f>
        <v>Technology Solution 2</v>
      </c>
      <c r="K4" s="145"/>
      <c r="M4" s="145" t="str">
        <f>Summary!$M$6</f>
        <v>Technology Solution 3</v>
      </c>
      <c r="N4" s="145"/>
      <c r="P4" s="145" t="str">
        <f>Summary!$O$6</f>
        <v>Technology Solution 4</v>
      </c>
      <c r="Q4" s="145"/>
      <c r="S4" s="145" t="str">
        <f>Summary!$Q$6</f>
        <v>Technology Solution 5</v>
      </c>
      <c r="T4" s="145"/>
      <c r="V4" s="145" t="str">
        <f>Summary!$S$6</f>
        <v>Technology Solution 6</v>
      </c>
      <c r="W4" s="145"/>
    </row>
    <row r="5" spans="1:23">
      <c r="D5" s="12" t="s">
        <v>16</v>
      </c>
      <c r="E5" s="12" t="s">
        <v>17</v>
      </c>
      <c r="G5" s="113" t="s">
        <v>1</v>
      </c>
      <c r="H5" s="114" t="s">
        <v>18</v>
      </c>
      <c r="J5" s="113" t="s">
        <v>1</v>
      </c>
      <c r="K5" s="114" t="s">
        <v>18</v>
      </c>
      <c r="M5" s="113" t="s">
        <v>1</v>
      </c>
      <c r="N5" s="114" t="s">
        <v>18</v>
      </c>
      <c r="P5" s="113" t="s">
        <v>1</v>
      </c>
      <c r="Q5" s="114" t="s">
        <v>18</v>
      </c>
      <c r="S5" s="113" t="s">
        <v>1</v>
      </c>
      <c r="T5" s="114" t="s">
        <v>18</v>
      </c>
      <c r="V5" s="113" t="s">
        <v>1</v>
      </c>
      <c r="W5" s="114" t="s">
        <v>18</v>
      </c>
    </row>
    <row r="6" spans="1:23">
      <c r="D6" s="59" t="str">
        <f>Summary!$D$39</f>
        <v>Expert Resource Availability</v>
      </c>
      <c r="E6" s="130">
        <f>Summary!$E$39</f>
        <v>1</v>
      </c>
      <c r="G6" s="87">
        <f>SUMPRODUCT(G7:G8,$E7:$E8)</f>
        <v>0</v>
      </c>
      <c r="H6" s="115"/>
      <c r="J6" s="87">
        <f>SUMPRODUCT(J7:J8,$E7:$E8)</f>
        <v>0</v>
      </c>
      <c r="K6" s="115"/>
      <c r="M6" s="87">
        <f>SUMPRODUCT(M7:M8,$E7:$E8)</f>
        <v>0</v>
      </c>
      <c r="N6" s="115"/>
      <c r="P6" s="87">
        <f>SUMPRODUCT(P7:P8,$E7:$E8)</f>
        <v>0</v>
      </c>
      <c r="Q6" s="115"/>
      <c r="S6" s="87">
        <f>SUMPRODUCT(S7:S8,$E7:$E8)</f>
        <v>0</v>
      </c>
      <c r="T6" s="115"/>
      <c r="V6" s="87">
        <f>SUMPRODUCT(V7:V8,$E7:$E8)</f>
        <v>0</v>
      </c>
      <c r="W6" s="115"/>
    </row>
    <row r="7" spans="1:23">
      <c r="B7" s="35"/>
      <c r="C7" s="79"/>
      <c r="D7" s="60" t="s">
        <v>119</v>
      </c>
      <c r="E7" s="6">
        <f>IF(Summary!$F$39=0,0,100%/Summary!$F$39)</f>
        <v>0.5</v>
      </c>
      <c r="G7" s="96">
        <v>0</v>
      </c>
      <c r="H7" s="116"/>
      <c r="J7" s="96">
        <v>0</v>
      </c>
      <c r="K7" s="116"/>
      <c r="M7" s="96">
        <v>0</v>
      </c>
      <c r="N7" s="116"/>
      <c r="P7" s="96">
        <v>0</v>
      </c>
      <c r="Q7" s="116"/>
      <c r="S7" s="96">
        <v>0</v>
      </c>
      <c r="T7" s="116"/>
      <c r="V7" s="96">
        <v>0</v>
      </c>
      <c r="W7" s="116"/>
    </row>
    <row r="8" spans="1:23">
      <c r="C8" s="79"/>
      <c r="D8" s="60" t="s">
        <v>120</v>
      </c>
      <c r="E8" s="6">
        <f>IF(Summary!$F$39=0,0,100%/Summary!$F$39)</f>
        <v>0.5</v>
      </c>
      <c r="G8" s="96">
        <v>0</v>
      </c>
      <c r="H8" s="116"/>
      <c r="J8" s="96">
        <v>0</v>
      </c>
      <c r="K8" s="116"/>
      <c r="M8" s="96">
        <v>0</v>
      </c>
      <c r="N8" s="116"/>
      <c r="P8" s="96">
        <v>0</v>
      </c>
      <c r="Q8" s="116"/>
      <c r="S8" s="96">
        <v>0</v>
      </c>
      <c r="T8" s="116"/>
      <c r="V8" s="96">
        <v>0</v>
      </c>
      <c r="W8" s="116"/>
    </row>
    <row r="9" spans="1:23">
      <c r="C9" s="79"/>
      <c r="D9" s="59" t="str">
        <f>Summary!$D$40</f>
        <v>PLACEHOLDER 1</v>
      </c>
      <c r="E9" s="56">
        <f>Summary!$E$40</f>
        <v>0</v>
      </c>
      <c r="G9" s="87">
        <f>SUMPRODUCT(G10:G13,$E10:$E13)</f>
        <v>0</v>
      </c>
      <c r="H9" s="118"/>
      <c r="J9" s="87">
        <f>SUMPRODUCT(J10:J13,$E10:$E13)</f>
        <v>0</v>
      </c>
      <c r="K9" s="118"/>
      <c r="M9" s="87">
        <f>SUMPRODUCT(M10:M13,$E10:$E13)</f>
        <v>0</v>
      </c>
      <c r="N9" s="118"/>
      <c r="P9" s="87">
        <f>SUMPRODUCT(P10:P13,$E10:$E13)</f>
        <v>0</v>
      </c>
      <c r="Q9" s="118"/>
      <c r="S9" s="87">
        <f>SUMPRODUCT(S10:S13,$E10:$E13)</f>
        <v>0</v>
      </c>
      <c r="T9" s="118"/>
      <c r="V9" s="87">
        <f>SUMPRODUCT(V10:V13,$E10:$E13)</f>
        <v>0</v>
      </c>
      <c r="W9" s="118"/>
    </row>
    <row r="10" spans="1:23" ht="13.9" customHeight="1">
      <c r="C10" s="79"/>
      <c r="D10" s="60"/>
      <c r="E10" s="6">
        <f>IF(Summary!$F$40=0,0,100%/Summary!$F$40)</f>
        <v>0</v>
      </c>
      <c r="G10" s="96">
        <v>0</v>
      </c>
      <c r="H10" s="119"/>
      <c r="J10" s="96">
        <v>0</v>
      </c>
      <c r="K10" s="116"/>
      <c r="M10" s="96">
        <v>0</v>
      </c>
      <c r="N10" s="116"/>
      <c r="P10" s="96">
        <v>0</v>
      </c>
      <c r="Q10" s="116"/>
      <c r="S10" s="96">
        <v>0</v>
      </c>
      <c r="T10" s="116"/>
      <c r="V10" s="96">
        <v>0</v>
      </c>
      <c r="W10" s="116"/>
    </row>
    <row r="11" spans="1:23">
      <c r="C11" s="79"/>
      <c r="D11" s="60"/>
      <c r="E11" s="6">
        <f>IF(Summary!$F$40=0,0,100%/Summary!$F$40)</f>
        <v>0</v>
      </c>
      <c r="G11" s="96">
        <v>0</v>
      </c>
      <c r="H11" s="116"/>
      <c r="J11" s="96">
        <v>0</v>
      </c>
      <c r="K11" s="116"/>
      <c r="M11" s="96">
        <v>0</v>
      </c>
      <c r="N11" s="116"/>
      <c r="P11" s="96">
        <v>0</v>
      </c>
      <c r="Q11" s="116"/>
      <c r="S11" s="96">
        <v>0</v>
      </c>
      <c r="T11" s="116"/>
      <c r="V11" s="96">
        <v>0</v>
      </c>
      <c r="W11" s="116"/>
    </row>
    <row r="12" spans="1:23" ht="16.899999999999999" customHeight="1">
      <c r="B12" s="35"/>
      <c r="C12" s="79"/>
      <c r="D12" s="60"/>
      <c r="E12" s="6">
        <f>IF(Summary!$F$40=0,0,100%/Summary!$F$40)</f>
        <v>0</v>
      </c>
      <c r="G12" s="96">
        <v>0</v>
      </c>
      <c r="H12" s="116"/>
      <c r="J12" s="96">
        <v>0</v>
      </c>
      <c r="K12" s="116"/>
      <c r="M12" s="96">
        <v>0</v>
      </c>
      <c r="N12" s="116"/>
      <c r="P12" s="96">
        <v>0</v>
      </c>
      <c r="Q12" s="116"/>
      <c r="S12" s="96">
        <v>0</v>
      </c>
      <c r="T12" s="116"/>
      <c r="V12" s="96">
        <v>0</v>
      </c>
      <c r="W12" s="116"/>
    </row>
    <row r="13" spans="1:23">
      <c r="C13" s="79"/>
      <c r="D13" s="61"/>
      <c r="E13" s="6">
        <f>IF(Summary!$F$40=0,0,100%/Summary!$F$40)</f>
        <v>0</v>
      </c>
      <c r="G13" s="96">
        <v>0</v>
      </c>
      <c r="H13" s="116"/>
      <c r="J13" s="96">
        <v>0</v>
      </c>
      <c r="K13" s="116"/>
      <c r="M13" s="96">
        <v>0</v>
      </c>
      <c r="N13" s="116"/>
      <c r="P13" s="96">
        <v>0</v>
      </c>
      <c r="Q13" s="116"/>
      <c r="S13" s="96">
        <v>0</v>
      </c>
      <c r="T13" s="116"/>
      <c r="V13" s="96">
        <v>0</v>
      </c>
      <c r="W13" s="116"/>
    </row>
    <row r="14" spans="1:23">
      <c r="C14" s="79"/>
      <c r="D14" s="59" t="str">
        <f>Summary!$D$41</f>
        <v>PLACEHOLDER 2</v>
      </c>
      <c r="E14" s="56">
        <f>Summary!$E$41</f>
        <v>0</v>
      </c>
      <c r="G14" s="87">
        <f>SUMPRODUCT(G15:G18,$E15:$E18)</f>
        <v>0</v>
      </c>
      <c r="H14" s="118"/>
      <c r="J14" s="87">
        <f>SUMPRODUCT(J15:J18,$E15:$E18)</f>
        <v>0</v>
      </c>
      <c r="K14" s="118"/>
      <c r="M14" s="87">
        <f>SUMPRODUCT(M15:M18,$E15:$E18)</f>
        <v>0</v>
      </c>
      <c r="N14" s="118"/>
      <c r="P14" s="87">
        <f>SUMPRODUCT(P15:P18,$E15:$E18)</f>
        <v>0</v>
      </c>
      <c r="Q14" s="118"/>
      <c r="S14" s="87">
        <f>SUMPRODUCT(S15:S18,$E15:$E18)</f>
        <v>0</v>
      </c>
      <c r="T14" s="118"/>
      <c r="V14" s="87">
        <f>SUMPRODUCT(V15:V18,$E15:$E18)</f>
        <v>0</v>
      </c>
      <c r="W14" s="118"/>
    </row>
    <row r="15" spans="1:23" ht="12" customHeight="1">
      <c r="C15" s="79"/>
      <c r="D15" s="58"/>
      <c r="E15" s="6">
        <f>IF(Summary!$F$41=0,0,100%/Summary!$F$41)</f>
        <v>0</v>
      </c>
      <c r="G15" s="96">
        <v>0</v>
      </c>
      <c r="H15" s="116"/>
      <c r="J15" s="96">
        <v>0</v>
      </c>
      <c r="K15" s="116"/>
      <c r="M15" s="96">
        <v>0</v>
      </c>
      <c r="N15" s="116"/>
      <c r="P15" s="96">
        <v>0</v>
      </c>
      <c r="Q15" s="116"/>
      <c r="S15" s="96">
        <v>0</v>
      </c>
      <c r="T15" s="116"/>
      <c r="V15" s="96">
        <v>0</v>
      </c>
      <c r="W15" s="116"/>
    </row>
    <row r="16" spans="1:23" ht="12" customHeight="1">
      <c r="C16" s="79"/>
      <c r="D16" s="58"/>
      <c r="E16" s="6">
        <f>IF(Summary!$F$41=0,0,100%/Summary!$F$41)</f>
        <v>0</v>
      </c>
      <c r="G16" s="96">
        <v>0</v>
      </c>
      <c r="H16" s="116"/>
      <c r="J16" s="96">
        <v>0</v>
      </c>
      <c r="K16" s="116"/>
      <c r="M16" s="96">
        <v>0</v>
      </c>
      <c r="N16" s="116"/>
      <c r="P16" s="96">
        <v>0</v>
      </c>
      <c r="Q16" s="116"/>
      <c r="S16" s="96">
        <v>0</v>
      </c>
      <c r="T16" s="116"/>
      <c r="V16" s="96">
        <v>0</v>
      </c>
      <c r="W16" s="116"/>
    </row>
    <row r="17" spans="3:23">
      <c r="C17" s="79"/>
      <c r="D17" s="58"/>
      <c r="E17" s="6">
        <f>IF(Summary!$F$41=0,0,100%/Summary!$F$41)</f>
        <v>0</v>
      </c>
      <c r="G17" s="96">
        <v>0</v>
      </c>
      <c r="H17" s="116"/>
      <c r="J17" s="96">
        <v>0</v>
      </c>
      <c r="K17" s="116"/>
      <c r="M17" s="96">
        <v>0</v>
      </c>
      <c r="N17" s="116"/>
      <c r="P17" s="96">
        <v>0</v>
      </c>
      <c r="Q17" s="116"/>
      <c r="S17" s="96">
        <v>0</v>
      </c>
      <c r="T17" s="116"/>
      <c r="V17" s="96">
        <v>0</v>
      </c>
      <c r="W17" s="116"/>
    </row>
    <row r="18" spans="3:23">
      <c r="C18" s="79"/>
      <c r="D18" s="58"/>
      <c r="E18" s="6">
        <f>IF(Summary!$F$41=0,0,100%/Summary!$F$41)</f>
        <v>0</v>
      </c>
      <c r="G18" s="96">
        <v>0</v>
      </c>
      <c r="H18" s="116"/>
      <c r="J18" s="96">
        <v>0</v>
      </c>
      <c r="K18" s="116"/>
      <c r="M18" s="96">
        <v>0</v>
      </c>
      <c r="N18" s="116"/>
      <c r="P18" s="96">
        <v>0</v>
      </c>
      <c r="Q18" s="116"/>
      <c r="S18" s="96">
        <v>0</v>
      </c>
      <c r="T18" s="116"/>
      <c r="V18" s="96">
        <v>0</v>
      </c>
      <c r="W18" s="116"/>
    </row>
    <row r="19" spans="3:23">
      <c r="C19" s="79"/>
      <c r="D19" s="104" t="str">
        <f>Summary!$D$42</f>
        <v>PLACEHOLDER 3</v>
      </c>
      <c r="E19" s="56">
        <f>Summary!$E$42</f>
        <v>0</v>
      </c>
      <c r="G19" s="87">
        <f>SUMPRODUCT(G20:G23,$E20:$E23)</f>
        <v>0</v>
      </c>
      <c r="H19" s="118"/>
      <c r="J19" s="87">
        <f>SUMPRODUCT(J20:J23,$E20:$E23)</f>
        <v>0</v>
      </c>
      <c r="K19" s="118"/>
      <c r="M19" s="87">
        <f>SUMPRODUCT(M20:M23,$E20:$E23)</f>
        <v>0</v>
      </c>
      <c r="N19" s="118"/>
      <c r="P19" s="87">
        <f>SUMPRODUCT(P20:P23,$E20:$E23)</f>
        <v>0</v>
      </c>
      <c r="Q19" s="118"/>
      <c r="S19" s="87">
        <f>SUMPRODUCT(S20:S23,$E20:$E23)</f>
        <v>0</v>
      </c>
      <c r="T19" s="118"/>
      <c r="V19" s="87">
        <f>SUMPRODUCT(V20:V23,$E20:$E23)</f>
        <v>0</v>
      </c>
      <c r="W19" s="118"/>
    </row>
    <row r="20" spans="3:23" ht="12" customHeight="1">
      <c r="C20" s="79"/>
      <c r="D20" s="58"/>
      <c r="E20" s="6">
        <f>IF(Summary!$F$42=0,0,100%/Summary!$F$42)</f>
        <v>0</v>
      </c>
      <c r="G20" s="96">
        <v>0</v>
      </c>
      <c r="H20" s="116"/>
      <c r="J20" s="96">
        <v>0</v>
      </c>
      <c r="K20" s="116"/>
      <c r="M20" s="96">
        <v>0</v>
      </c>
      <c r="N20" s="116"/>
      <c r="P20" s="96">
        <v>0</v>
      </c>
      <c r="Q20" s="116"/>
      <c r="S20" s="96">
        <v>0</v>
      </c>
      <c r="T20" s="116"/>
      <c r="V20" s="96">
        <v>0</v>
      </c>
      <c r="W20" s="116"/>
    </row>
    <row r="21" spans="3:23" ht="12" customHeight="1">
      <c r="C21" s="79"/>
      <c r="D21" s="58"/>
      <c r="E21" s="6">
        <f>IF(Summary!$F$42=0,0,100%/Summary!$F$42)</f>
        <v>0</v>
      </c>
      <c r="G21" s="96">
        <v>0</v>
      </c>
      <c r="H21" s="116"/>
      <c r="J21" s="96">
        <v>0</v>
      </c>
      <c r="K21" s="116"/>
      <c r="M21" s="96">
        <v>0</v>
      </c>
      <c r="N21" s="116"/>
      <c r="P21" s="96">
        <v>0</v>
      </c>
      <c r="Q21" s="116"/>
      <c r="S21" s="96">
        <v>0</v>
      </c>
      <c r="T21" s="116"/>
      <c r="V21" s="96">
        <v>0</v>
      </c>
      <c r="W21" s="116"/>
    </row>
    <row r="22" spans="3:23">
      <c r="C22" s="79"/>
      <c r="D22" s="58"/>
      <c r="E22" s="6">
        <f>IF(Summary!$F$42=0,0,100%/Summary!$F$42)</f>
        <v>0</v>
      </c>
      <c r="G22" s="96">
        <v>0</v>
      </c>
      <c r="H22" s="116"/>
      <c r="J22" s="96">
        <v>0</v>
      </c>
      <c r="K22" s="116"/>
      <c r="M22" s="96">
        <v>0</v>
      </c>
      <c r="N22" s="116"/>
      <c r="P22" s="96">
        <v>0</v>
      </c>
      <c r="Q22" s="116"/>
      <c r="S22" s="96">
        <v>0</v>
      </c>
      <c r="T22" s="116"/>
      <c r="V22" s="96">
        <v>0</v>
      </c>
      <c r="W22" s="116"/>
    </row>
    <row r="23" spans="3:23" ht="13.5" thickBot="1">
      <c r="C23" s="79"/>
      <c r="D23" s="58"/>
      <c r="E23" s="6">
        <f>IF(Summary!$F$42=0,0,100%/Summary!$F$42)</f>
        <v>0</v>
      </c>
      <c r="G23" s="96">
        <v>0</v>
      </c>
      <c r="H23" s="116"/>
      <c r="J23" s="96">
        <v>0</v>
      </c>
      <c r="K23" s="116"/>
      <c r="M23" s="96">
        <v>0</v>
      </c>
      <c r="N23" s="116"/>
      <c r="P23" s="96">
        <v>0</v>
      </c>
      <c r="Q23" s="116"/>
      <c r="S23" s="96">
        <v>0</v>
      </c>
      <c r="T23" s="116"/>
      <c r="V23" s="96">
        <v>0</v>
      </c>
      <c r="W23" s="116"/>
    </row>
    <row r="24" spans="3:23">
      <c r="E24" s="7"/>
      <c r="G24" s="112"/>
      <c r="H24" s="19"/>
      <c r="J24" s="112"/>
      <c r="K24" s="19"/>
      <c r="M24" s="112"/>
      <c r="N24" s="19"/>
      <c r="P24" s="112"/>
      <c r="Q24" s="19"/>
      <c r="S24" s="112"/>
      <c r="T24" s="19"/>
      <c r="V24" s="112"/>
      <c r="W24" s="19"/>
    </row>
    <row r="25" spans="3:23" ht="13.5" thickBot="1">
      <c r="E25" s="9">
        <f>E6+E9+E14+E19</f>
        <v>1</v>
      </c>
      <c r="G25" s="89">
        <f>(G14*$E14)+(G9*$E9)+(G19*$E19)+(G6*$E6)</f>
        <v>0</v>
      </c>
      <c r="H25" s="8"/>
      <c r="J25" s="89">
        <f>(J14*$E14)+(J9*$E9)+(J19*$E19)+(J6*$E6)</f>
        <v>0</v>
      </c>
      <c r="K25" s="8"/>
      <c r="M25" s="89">
        <f>(M14*$E14)+(M9*$E9)+(M19*$E19)+(M6*$E6)</f>
        <v>0</v>
      </c>
      <c r="N25" s="8"/>
      <c r="P25" s="89">
        <f>(P14*$E14)+(P9*$E9)+(P19*$E19)+(P6*$E6)</f>
        <v>0</v>
      </c>
      <c r="Q25" s="8"/>
      <c r="S25" s="89">
        <f>(S14*$E14)+(S9*$E9)+(S19*$E19)+(S6*$E6)</f>
        <v>0</v>
      </c>
      <c r="T25" s="8"/>
      <c r="V25" s="89">
        <f>(V14*$E14)+(V9*$E9)+(V19*$E19)+(V6*$E6)</f>
        <v>0</v>
      </c>
      <c r="W25" s="8"/>
    </row>
    <row r="26" spans="3:23" ht="13.5" thickTop="1"/>
    <row r="43" spans="7:22">
      <c r="G43" s="90">
        <f>'Scoring Framework'!E8</f>
        <v>1</v>
      </c>
      <c r="J43" s="90">
        <f>'Scoring Framework'!I8</f>
        <v>0</v>
      </c>
      <c r="M43" s="90">
        <f>'Scoring Framework'!M8</f>
        <v>0</v>
      </c>
      <c r="P43" s="90">
        <f>'Scoring Framework'!Q8</f>
        <v>0</v>
      </c>
      <c r="S43" s="90">
        <f>'Scoring Framework'!U8</f>
        <v>0</v>
      </c>
      <c r="V43" s="90">
        <f>'Scoring Framework'!Y8</f>
        <v>0</v>
      </c>
    </row>
    <row r="44" spans="7:22">
      <c r="G44" s="90">
        <f>'Scoring Framework'!E9</f>
        <v>2</v>
      </c>
      <c r="J44" s="90">
        <f>'Scoring Framework'!I9</f>
        <v>0</v>
      </c>
      <c r="M44" s="90">
        <f>'Scoring Framework'!M9</f>
        <v>0</v>
      </c>
      <c r="P44" s="90">
        <f>'Scoring Framework'!Q9</f>
        <v>0</v>
      </c>
      <c r="S44" s="90">
        <f>'Scoring Framework'!U9</f>
        <v>0</v>
      </c>
      <c r="V44" s="90">
        <f>'Scoring Framework'!Y9</f>
        <v>0</v>
      </c>
    </row>
    <row r="45" spans="7:22">
      <c r="G45" s="90">
        <f>'Scoring Framework'!E12</f>
        <v>5</v>
      </c>
      <c r="J45" s="90">
        <f>'Scoring Framework'!I12</f>
        <v>0</v>
      </c>
      <c r="M45" s="90">
        <f>'Scoring Framework'!M12</f>
        <v>0</v>
      </c>
      <c r="P45" s="90">
        <f>'Scoring Framework'!Q12</f>
        <v>0</v>
      </c>
      <c r="S45" s="90">
        <f>'Scoring Framework'!U12</f>
        <v>0</v>
      </c>
      <c r="V45" s="90">
        <f>'Scoring Framework'!Y12</f>
        <v>0</v>
      </c>
    </row>
  </sheetData>
  <mergeCells count="6">
    <mergeCell ref="V4:W4"/>
    <mergeCell ref="G4:H4"/>
    <mergeCell ref="J4:K4"/>
    <mergeCell ref="M4:N4"/>
    <mergeCell ref="P4:Q4"/>
    <mergeCell ref="S4:T4"/>
  </mergeCells>
  <conditionalFormatting sqref="E25">
    <cfRule type="cellIs" dxfId="1" priority="1" operator="notEqual">
      <formula>1</formula>
    </cfRule>
  </conditionalFormatting>
  <pageMargins left="0.25" right="0.25" top="0.5" bottom="0.5" header="0" footer="0"/>
  <pageSetup paperSize="224" scale="48" fitToHeight="4" orientation="portrait" r:id="rId1"/>
  <headerFooter alignWithMargins="0"/>
  <extLst>
    <ext xmlns:x14="http://schemas.microsoft.com/office/spreadsheetml/2009/9/main" uri="{CCE6A557-97BC-4b89-ADB6-D9C93CAAB3DF}">
      <x14:dataValidations xmlns:xm="http://schemas.microsoft.com/office/excel/2006/main" count="1">
        <x14:dataValidation type="list" allowBlank="1" showInputMessage="1" showErrorMessage="1" errorTitle="Valid choices" error="0 - Does not address_x000a_3 - Needs improvement_x000a_7 - Meets expectations" promptTitle="Please enter your response" prompt="1 - Does not address needs_x000a_2 - Meets minimal needs_x000a_3 - Meets basic needs_x000a_4 - Meets most needs_x000a_5 - Meets needs fully" xr:uid="{00000000-0002-0000-0500-000000000000}">
          <x14:formula1>
            <xm:f>'Scoring Framework'!$E$8:$E$12</xm:f>
          </x14:formula1>
          <xm:sqref>S7:S8 S10:S13 S15:S18 S20:S23 G7:G8 G10:G13 G15:G18 G20:G23 J7:J8 J10:J13 J15:J18 J20:J23 M7:M8 M10:M13 M15:M18 M20:M23 P7:P8 P10:P13 P15:P18 P20:P23 V7:V8 V10:V13 V15:V18 V20:V23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FF00"/>
  </sheetPr>
  <dimension ref="B3:T42"/>
  <sheetViews>
    <sheetView workbookViewId="0">
      <selection activeCell="F17" sqref="F17"/>
    </sheetView>
  </sheetViews>
  <sheetFormatPr defaultColWidth="9" defaultRowHeight="12.75"/>
  <cols>
    <col min="1" max="1" width="1.42578125" style="3" customWidth="1"/>
    <col min="2" max="2" width="2.42578125" style="3" customWidth="1"/>
    <col min="3" max="3" width="2.5703125" style="3" customWidth="1"/>
    <col min="4" max="4" width="26.7109375" style="3" customWidth="1"/>
    <col min="5" max="5" width="7.42578125" style="4" bestFit="1" customWidth="1"/>
    <col min="6" max="6" width="10.7109375" style="3" bestFit="1" customWidth="1"/>
    <col min="7" max="7" width="1.5703125" style="3" customWidth="1"/>
    <col min="8" max="8" width="1.7109375" style="4" customWidth="1"/>
    <col min="9" max="9" width="9.85546875" style="3" customWidth="1"/>
    <col min="10" max="10" width="14.28515625" style="3" customWidth="1"/>
    <col min="11" max="11" width="9.85546875" style="3" customWidth="1"/>
    <col min="12" max="12" width="14.28515625" style="3" customWidth="1"/>
    <col min="13" max="13" width="9.85546875" style="3" customWidth="1"/>
    <col min="14" max="14" width="14.28515625" style="3" customWidth="1"/>
    <col min="15" max="15" width="9.85546875" style="3" customWidth="1"/>
    <col min="16" max="16" width="14.28515625" style="3" customWidth="1"/>
    <col min="17" max="17" width="9.85546875" style="3" customWidth="1"/>
    <col min="18" max="18" width="14.28515625" style="3" customWidth="1"/>
    <col min="19" max="19" width="9.85546875" style="3" customWidth="1"/>
    <col min="20" max="20" width="14.28515625" style="3" customWidth="1"/>
    <col min="21" max="16384" width="9" style="3"/>
  </cols>
  <sheetData>
    <row r="3" spans="2:20">
      <c r="B3" s="10" t="s">
        <v>121</v>
      </c>
    </row>
    <row r="5" spans="2:20" ht="13.5" thickBot="1">
      <c r="F5" s="4"/>
      <c r="H5" s="3"/>
      <c r="I5" s="4"/>
      <c r="J5" s="4"/>
      <c r="L5" s="4"/>
    </row>
    <row r="6" spans="2:20" ht="13.5" thickBot="1">
      <c r="F6" s="4"/>
      <c r="H6" s="3"/>
      <c r="I6" s="148" t="s">
        <v>122</v>
      </c>
      <c r="J6" s="147"/>
      <c r="K6" s="147" t="s">
        <v>123</v>
      </c>
      <c r="L6" s="147"/>
      <c r="M6" s="147" t="s">
        <v>124</v>
      </c>
      <c r="N6" s="147"/>
      <c r="O6" s="147" t="s">
        <v>125</v>
      </c>
      <c r="P6" s="147"/>
      <c r="Q6" s="147" t="s">
        <v>126</v>
      </c>
      <c r="R6" s="147"/>
      <c r="S6" s="147" t="s">
        <v>127</v>
      </c>
      <c r="T6" s="147"/>
    </row>
    <row r="7" spans="2:20" ht="25.5">
      <c r="D7" s="48" t="s">
        <v>16</v>
      </c>
      <c r="E7" s="49" t="s">
        <v>17</v>
      </c>
      <c r="F7" s="50" t="s">
        <v>128</v>
      </c>
      <c r="H7" s="3"/>
      <c r="I7" s="11" t="s">
        <v>129</v>
      </c>
      <c r="J7" s="66" t="s">
        <v>130</v>
      </c>
      <c r="K7" s="12" t="s">
        <v>129</v>
      </c>
      <c r="L7" s="66" t="s">
        <v>130</v>
      </c>
      <c r="M7" s="12" t="s">
        <v>129</v>
      </c>
      <c r="N7" s="66" t="s">
        <v>130</v>
      </c>
      <c r="O7" s="12" t="s">
        <v>129</v>
      </c>
      <c r="P7" s="66" t="s">
        <v>130</v>
      </c>
      <c r="Q7" s="12" t="s">
        <v>129</v>
      </c>
      <c r="R7" s="66" t="s">
        <v>130</v>
      </c>
      <c r="S7" s="12" t="s">
        <v>129</v>
      </c>
      <c r="T7" s="66" t="s">
        <v>130</v>
      </c>
    </row>
    <row r="8" spans="2:20">
      <c r="D8" s="34" t="s">
        <v>13</v>
      </c>
      <c r="E8" s="53">
        <v>0.5</v>
      </c>
      <c r="F8" s="13">
        <f>'Scoring Framework'!$E$12</f>
        <v>5</v>
      </c>
      <c r="H8" s="3"/>
      <c r="I8" s="14">
        <f>'Architecture &amp; Technology'!G81</f>
        <v>0</v>
      </c>
      <c r="J8" s="15">
        <f>IF($F$8=0,0,I8/$F$8)</f>
        <v>0</v>
      </c>
      <c r="K8" s="62">
        <f>'Architecture &amp; Technology'!J81</f>
        <v>0</v>
      </c>
      <c r="L8" s="15">
        <f>IF($F$8=0,0,K8/$F$8)</f>
        <v>0</v>
      </c>
      <c r="M8" s="62">
        <f>'Architecture &amp; Technology'!M81</f>
        <v>0</v>
      </c>
      <c r="N8" s="15">
        <f>IF($F$8=0,0,M8/$F$8)</f>
        <v>0</v>
      </c>
      <c r="O8" s="62">
        <f>'Architecture &amp; Technology'!P81</f>
        <v>0</v>
      </c>
      <c r="P8" s="15">
        <f>IF($F$8=0,0,O8/$F$8)</f>
        <v>0</v>
      </c>
      <c r="Q8" s="62">
        <f>'Architecture &amp; Technology'!S81</f>
        <v>0</v>
      </c>
      <c r="R8" s="15">
        <f>IF($F$8=0,0,Q8/$F$8)</f>
        <v>0</v>
      </c>
      <c r="S8" s="62">
        <f>'Architecture &amp; Technology'!V81</f>
        <v>0</v>
      </c>
      <c r="T8" s="15">
        <f>IF($F$8=0,0,S8/$F$8)</f>
        <v>0</v>
      </c>
    </row>
    <row r="9" spans="2:20">
      <c r="D9" s="34" t="s">
        <v>131</v>
      </c>
      <c r="E9" s="53">
        <v>0.3</v>
      </c>
      <c r="F9" s="13">
        <f>'Scoring Framework'!$E$12</f>
        <v>5</v>
      </c>
      <c r="H9" s="3"/>
      <c r="I9" s="57">
        <f>'Vendor Functional'!G32</f>
        <v>0</v>
      </c>
      <c r="J9" s="15">
        <f>IF($F$9=0,0,I9/$F$9)</f>
        <v>0</v>
      </c>
      <c r="K9" s="62">
        <f>'Vendor Functional'!J32</f>
        <v>0</v>
      </c>
      <c r="L9" s="15">
        <f>IF($F$9=0,0,K9/$F$9)</f>
        <v>0</v>
      </c>
      <c r="M9" s="62">
        <f>'Vendor Functional'!M32</f>
        <v>0</v>
      </c>
      <c r="N9" s="15">
        <f>IF($F$9=0,0,M9/$F$9)</f>
        <v>0</v>
      </c>
      <c r="O9" s="62">
        <f>'Vendor Functional'!P32</f>
        <v>0</v>
      </c>
      <c r="P9" s="15">
        <f>IF($F$9=0,0,O9/$F$9)</f>
        <v>0</v>
      </c>
      <c r="Q9" s="62">
        <f>'Vendor Functional'!S32</f>
        <v>0</v>
      </c>
      <c r="R9" s="15">
        <f>IF($F$9=0,0,Q9/$F$9)</f>
        <v>0</v>
      </c>
      <c r="S9" s="62">
        <f>'Vendor Functional'!V32</f>
        <v>0</v>
      </c>
      <c r="T9" s="15">
        <f>IF($F$9=0,0,S9/$F$9)</f>
        <v>0</v>
      </c>
    </row>
    <row r="10" spans="2:20">
      <c r="D10" s="34" t="s">
        <v>105</v>
      </c>
      <c r="E10" s="53">
        <v>0.15</v>
      </c>
      <c r="F10" s="13">
        <f>'Scoring Framework'!$E$12</f>
        <v>5</v>
      </c>
      <c r="H10" s="3"/>
      <c r="I10" s="14">
        <f>'Relative Cost'!G19</f>
        <v>0</v>
      </c>
      <c r="J10" s="15">
        <f>IF($F$10=0,0,I10/$F$10)</f>
        <v>0</v>
      </c>
      <c r="K10" s="62">
        <f>'Relative Cost'!J19</f>
        <v>0</v>
      </c>
      <c r="L10" s="15">
        <f>IF($F$10=0,0,K10/$F$10)</f>
        <v>0</v>
      </c>
      <c r="M10" s="62">
        <f>'Relative Cost'!M19</f>
        <v>0</v>
      </c>
      <c r="N10" s="15">
        <f>IF($F$10=0,0,M10/$F$10)</f>
        <v>0</v>
      </c>
      <c r="O10" s="62">
        <f>'Relative Cost'!P19</f>
        <v>0</v>
      </c>
      <c r="P10" s="15">
        <f>IF($F$10=0,0,O10/$F$10)</f>
        <v>0</v>
      </c>
      <c r="Q10" s="62">
        <f>'Relative Cost'!S19</f>
        <v>0</v>
      </c>
      <c r="R10" s="15">
        <f>IF($F$10=0,0,Q10/$F$10)</f>
        <v>0</v>
      </c>
      <c r="S10" s="62">
        <f>'Relative Cost'!V19</f>
        <v>0</v>
      </c>
      <c r="T10" s="15">
        <f>IF($F$10=0,0,S10/$F$10)</f>
        <v>0</v>
      </c>
    </row>
    <row r="11" spans="2:20" ht="13.5" thickBot="1">
      <c r="D11" s="47" t="s">
        <v>132</v>
      </c>
      <c r="E11" s="54">
        <v>0.05</v>
      </c>
      <c r="F11" s="16">
        <f>'Scoring Framework'!$E$12</f>
        <v>5</v>
      </c>
      <c r="H11" s="3"/>
      <c r="I11" s="17">
        <f>'Hinge Factors'!G25</f>
        <v>0</v>
      </c>
      <c r="J11" s="18">
        <f>IF($F$11=0,0,I11/$F$11)</f>
        <v>0</v>
      </c>
      <c r="K11" s="63">
        <f>'Hinge Factors'!J25</f>
        <v>0</v>
      </c>
      <c r="L11" s="18">
        <f>IF($F$11=0,0,K11/$F$11)</f>
        <v>0</v>
      </c>
      <c r="M11" s="63">
        <f>'Hinge Factors'!M25</f>
        <v>0</v>
      </c>
      <c r="N11" s="18">
        <f>IF($F$11=0,0,M11/$F$11)</f>
        <v>0</v>
      </c>
      <c r="O11" s="63">
        <f>'Hinge Factors'!P25</f>
        <v>0</v>
      </c>
      <c r="P11" s="18">
        <f>IF($F$11=0,0,O11/$F$11)</f>
        <v>0</v>
      </c>
      <c r="Q11" s="63">
        <f>'Hinge Factors'!S25</f>
        <v>0</v>
      </c>
      <c r="R11" s="18">
        <f>IF($F$11=0,0,Q11/$F$11)</f>
        <v>0</v>
      </c>
      <c r="S11" s="63">
        <f>'Hinge Factors'!V25</f>
        <v>0</v>
      </c>
      <c r="T11" s="18">
        <f>IF($F$11=0,0,S11/$F$11)</f>
        <v>0</v>
      </c>
    </row>
    <row r="12" spans="2:20" ht="13.5" thickBot="1">
      <c r="E12" s="19"/>
      <c r="F12" s="4"/>
      <c r="H12" s="3"/>
      <c r="I12" s="20"/>
      <c r="J12" s="20"/>
      <c r="K12" s="20"/>
      <c r="L12" s="20"/>
    </row>
    <row r="13" spans="2:20" ht="13.5" thickBot="1">
      <c r="E13" s="21">
        <f>SUM($E$8:$E$11)</f>
        <v>1</v>
      </c>
      <c r="F13" s="22">
        <v>5</v>
      </c>
      <c r="H13" s="3"/>
      <c r="I13" s="78">
        <f>SUMPRODUCT($E$8:$E$11,I8:I11)</f>
        <v>0</v>
      </c>
      <c r="J13" s="75"/>
      <c r="K13" s="78">
        <f>SUMPRODUCT($E$8:$E$11,K8:K11)</f>
        <v>0</v>
      </c>
      <c r="L13" s="75"/>
      <c r="M13" s="78">
        <f>SUMPRODUCT($E$8:$E$11,M8:M11)</f>
        <v>0</v>
      </c>
      <c r="N13" s="75"/>
      <c r="O13" s="78">
        <f>SUMPRODUCT($E$8:$E$11,O8:O11)</f>
        <v>0</v>
      </c>
      <c r="P13" s="75"/>
      <c r="Q13" s="78">
        <f>SUMPRODUCT($E$8:$E$11,Q8:Q11)</f>
        <v>0</v>
      </c>
      <c r="R13" s="75"/>
      <c r="S13" s="78">
        <f>SUMPRODUCT($E$8:$E$11,S8:S11)</f>
        <v>0</v>
      </c>
      <c r="T13" s="75"/>
    </row>
    <row r="14" spans="2:20" ht="13.5" thickTop="1">
      <c r="F14" s="4"/>
      <c r="H14" s="3"/>
      <c r="I14" s="4"/>
      <c r="J14" s="4"/>
      <c r="L14" s="4"/>
    </row>
    <row r="15" spans="2:20">
      <c r="D15" s="67" t="s">
        <v>13</v>
      </c>
      <c r="E15" s="68" t="s">
        <v>17</v>
      </c>
      <c r="F15" s="68" t="s">
        <v>133</v>
      </c>
    </row>
    <row r="16" spans="2:20">
      <c r="D16" s="51" t="s">
        <v>134</v>
      </c>
      <c r="E16" s="52">
        <v>0.1</v>
      </c>
      <c r="F16" s="29">
        <v>5</v>
      </c>
    </row>
    <row r="17" spans="4:6">
      <c r="D17" s="51" t="s">
        <v>135</v>
      </c>
      <c r="E17" s="52">
        <v>0.1</v>
      </c>
      <c r="F17" s="29">
        <v>5</v>
      </c>
    </row>
    <row r="18" spans="4:6">
      <c r="D18" s="51" t="s">
        <v>136</v>
      </c>
      <c r="E18" s="52">
        <v>0.2</v>
      </c>
      <c r="F18" s="29">
        <v>7</v>
      </c>
    </row>
    <row r="19" spans="4:6">
      <c r="D19" s="51" t="s">
        <v>137</v>
      </c>
      <c r="E19" s="52">
        <v>0.1</v>
      </c>
      <c r="F19" s="29">
        <v>4</v>
      </c>
    </row>
    <row r="20" spans="4:6">
      <c r="D20" s="51" t="s">
        <v>138</v>
      </c>
      <c r="E20" s="52">
        <v>0.1</v>
      </c>
      <c r="F20" s="29">
        <v>2</v>
      </c>
    </row>
    <row r="21" spans="4:6">
      <c r="D21" s="100" t="s">
        <v>139</v>
      </c>
      <c r="E21" s="101">
        <v>0.1</v>
      </c>
      <c r="F21" s="102">
        <v>6</v>
      </c>
    </row>
    <row r="22" spans="4:6">
      <c r="D22" s="100" t="s">
        <v>140</v>
      </c>
      <c r="E22" s="101">
        <v>0.1</v>
      </c>
      <c r="F22" s="102">
        <v>3</v>
      </c>
    </row>
    <row r="23" spans="4:6">
      <c r="D23" s="100" t="s">
        <v>141</v>
      </c>
      <c r="E23" s="101">
        <v>0.1</v>
      </c>
      <c r="F23" s="102">
        <v>24</v>
      </c>
    </row>
    <row r="24" spans="4:6">
      <c r="D24" s="100" t="s">
        <v>142</v>
      </c>
      <c r="E24" s="101">
        <v>0.1</v>
      </c>
      <c r="F24" s="102">
        <v>8</v>
      </c>
    </row>
    <row r="26" spans="4:6">
      <c r="D26" s="69" t="s">
        <v>143</v>
      </c>
      <c r="E26" s="70" t="s">
        <v>17</v>
      </c>
      <c r="F26" s="70" t="s">
        <v>133</v>
      </c>
    </row>
    <row r="27" spans="4:6">
      <c r="D27" s="51" t="s">
        <v>144</v>
      </c>
      <c r="E27" s="52">
        <v>0.2</v>
      </c>
      <c r="F27" s="29">
        <v>4</v>
      </c>
    </row>
    <row r="28" spans="4:6">
      <c r="D28" s="51" t="s">
        <v>145</v>
      </c>
      <c r="E28" s="52">
        <v>0.2</v>
      </c>
      <c r="F28" s="29">
        <v>4</v>
      </c>
    </row>
    <row r="29" spans="4:6">
      <c r="D29" s="51" t="s">
        <v>146</v>
      </c>
      <c r="E29" s="52">
        <v>0.2</v>
      </c>
      <c r="F29" s="29">
        <v>4</v>
      </c>
    </row>
    <row r="30" spans="4:6">
      <c r="D30" s="51" t="s">
        <v>147</v>
      </c>
      <c r="E30" s="52">
        <v>0.2</v>
      </c>
      <c r="F30" s="29">
        <v>4</v>
      </c>
    </row>
    <row r="31" spans="4:6">
      <c r="D31" s="51" t="s">
        <v>148</v>
      </c>
      <c r="E31" s="52">
        <v>0.2</v>
      </c>
      <c r="F31" s="29">
        <v>4</v>
      </c>
    </row>
    <row r="33" spans="4:6">
      <c r="D33" s="71" t="s">
        <v>105</v>
      </c>
      <c r="E33" s="72" t="s">
        <v>17</v>
      </c>
      <c r="F33" s="72" t="s">
        <v>133</v>
      </c>
    </row>
    <row r="34" spans="4:6">
      <c r="D34" s="51" t="s">
        <v>149</v>
      </c>
      <c r="E34" s="52">
        <v>0.4</v>
      </c>
      <c r="F34" s="29">
        <v>2</v>
      </c>
    </row>
    <row r="35" spans="4:6">
      <c r="D35" s="51" t="s">
        <v>150</v>
      </c>
      <c r="E35" s="52">
        <v>0.3</v>
      </c>
      <c r="F35" s="29">
        <v>3</v>
      </c>
    </row>
    <row r="36" spans="4:6">
      <c r="D36" s="51" t="s">
        <v>151</v>
      </c>
      <c r="E36" s="52">
        <v>0.3</v>
      </c>
      <c r="F36" s="29">
        <v>3</v>
      </c>
    </row>
    <row r="38" spans="4:6">
      <c r="D38" s="73" t="s">
        <v>152</v>
      </c>
      <c r="E38" s="74" t="s">
        <v>17</v>
      </c>
      <c r="F38" s="74" t="s">
        <v>133</v>
      </c>
    </row>
    <row r="39" spans="4:6">
      <c r="D39" s="51" t="s">
        <v>153</v>
      </c>
      <c r="E39" s="52">
        <v>1</v>
      </c>
      <c r="F39" s="29">
        <v>2</v>
      </c>
    </row>
    <row r="40" spans="4:6">
      <c r="D40" s="51" t="s">
        <v>154</v>
      </c>
      <c r="E40" s="52">
        <v>0</v>
      </c>
      <c r="F40" s="29">
        <v>0</v>
      </c>
    </row>
    <row r="41" spans="4:6">
      <c r="D41" s="51" t="s">
        <v>155</v>
      </c>
      <c r="E41" s="52">
        <v>0</v>
      </c>
      <c r="F41" s="29">
        <v>0</v>
      </c>
    </row>
    <row r="42" spans="4:6">
      <c r="D42" s="51" t="s">
        <v>156</v>
      </c>
      <c r="E42" s="52">
        <v>0</v>
      </c>
      <c r="F42" s="29">
        <v>0</v>
      </c>
    </row>
  </sheetData>
  <mergeCells count="6">
    <mergeCell ref="S6:T6"/>
    <mergeCell ref="I6:J6"/>
    <mergeCell ref="K6:L6"/>
    <mergeCell ref="M6:N6"/>
    <mergeCell ref="O6:P6"/>
    <mergeCell ref="Q6:R6"/>
  </mergeCells>
  <phoneticPr fontId="2" type="noConversion"/>
  <conditionalFormatting sqref="E13">
    <cfRule type="cellIs" dxfId="0" priority="1" operator="notEqual">
      <formula>1</formula>
    </cfRule>
  </conditionalFormatting>
  <pageMargins left="0.75" right="0.75" top="1" bottom="1" header="0.5" footer="0.5"/>
  <pageSetup orientation="portrait" horizontalDpi="300" verticalDpi="300"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6703f52-e0b4-4be3-9de9-712bf7f64f8e">
      <Terms xmlns="http://schemas.microsoft.com/office/infopath/2007/PartnerControls"/>
    </lcf76f155ced4ddcb4097134ff3c332f>
    <PublishingExpirationDate xmlns="b6703f52-e0b4-4be3-9de9-712bf7f64f8e" xsi:nil="true"/>
    <PublishingStartDate xmlns="b6703f52-e0b4-4be3-9de9-712bf7f64f8e" xsi:nil="true"/>
    <TaxCatchAll xmlns="4b7e938c-c197-4822-ad8f-9066e64886e1" xsi:nil="true"/>
  </documentManagement>
</p:properties>
</file>

<file path=customXml/item2.xml><?xml version="1.0" encoding="utf-8"?>
<?mso-contentType ?>
<FormTemplates xmlns="http://schemas.microsoft.com/sharepoint/v3/contenttype/forms"/>
</file>

<file path=customXml/item3.xml><?xml version="1.0" encoding="utf-8"?>
<ct:contentTypeSchema xmlns:ct="http://schemas.microsoft.com/office/2006/metadata/contentType" xmlns:ma="http://schemas.microsoft.com/office/2006/metadata/properties/metaAttributes" ct:_="" ma:_="" ma:contentTypeName="Document" ma:contentTypeID="0x0101008C0ACD34E1C07F4E8845A5E711B310F7" ma:contentTypeVersion="18" ma:contentTypeDescription="Create a new document." ma:contentTypeScope="" ma:versionID="73c6d85e79ed8a031a58769f91cc4367">
  <xsd:schema xmlns:xsd="http://www.w3.org/2001/XMLSchema" xmlns:xs="http://www.w3.org/2001/XMLSchema" xmlns:p="http://schemas.microsoft.com/office/2006/metadata/properties" xmlns:ns2="b6703f52-e0b4-4be3-9de9-712bf7f64f8e" xmlns:ns3="4b7e938c-c197-4822-ad8f-9066e64886e1" targetNamespace="http://schemas.microsoft.com/office/2006/metadata/properties" ma:root="true" ma:fieldsID="abf6a11dd8c4d243197f002aeb25d174" ns2:_="" ns3:_="">
    <xsd:import namespace="b6703f52-e0b4-4be3-9de9-712bf7f64f8e"/>
    <xsd:import namespace="4b7e938c-c197-4822-ad8f-9066e64886e1"/>
    <xsd:element name="properties">
      <xsd:complexType>
        <xsd:sequence>
          <xsd:element name="documentManagement">
            <xsd:complexType>
              <xsd:all>
                <xsd:element ref="ns2:PublishingStartDate" minOccurs="0"/>
                <xsd:element ref="ns2:PublishingExpirationDate" minOccurs="0"/>
                <xsd:element ref="ns3:SharedWithUsers" minOccurs="0"/>
                <xsd:element ref="ns3:SharedWithDetails" minOccurs="0"/>
                <xsd:element ref="ns2:MediaServiceMetadata" minOccurs="0"/>
                <xsd:element ref="ns2:MediaServiceFastMetadata"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LengthInSeconds" minOccurs="0"/>
                <xsd:element ref="ns2:MediaServiceOCR" minOccurs="0"/>
                <xsd:element ref="ns2:MediaServiceLocation"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703f52-e0b4-4be3-9de9-712bf7f64f8e" elementFormDefault="qualified">
    <xsd:import namespace="http://schemas.microsoft.com/office/2006/documentManagement/types"/>
    <xsd:import namespace="http://schemas.microsoft.com/office/infopath/2007/PartnerControls"/>
    <xsd:element name="PublishingStartDate" ma:index="4" nillable="true" ma:displayName="Scheduling Start Date" ma:description="Scheduling Start Date is a site column created by the Publishing feature. It is used to specify the date and time on which this page will first appear to site visitors." ma:format="DateTime" ma:internalName="PublishingStartDate" ma:readOnly="false">
      <xsd:simpleType>
        <xsd:restriction base="dms:Unknown"/>
      </xsd:simpleType>
    </xsd:element>
    <xsd:element name="PublishingExpirationDate" ma:index="5" nillable="true" ma:displayName="Scheduling End Date" ma:description="Scheduling End Date is a site column created by the Publishing feature. It is used to specify the date and time on which this page will no longer appear to site visitors." ma:format="DateTime" ma:internalName="PublishingExpirationDate" ma:readOnly="false">
      <xsd:simpleType>
        <xsd:restriction base="dms:Unknown"/>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f17d4224-802a-4f39-af5d-1b2d989a72c6"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ternalName="MediaServiceLocation"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b7e938c-c197-4822-ad8f-9066e64886e1" elementFormDefault="qualified">
    <xsd:import namespace="http://schemas.microsoft.com/office/2006/documentManagement/types"/>
    <xsd:import namespace="http://schemas.microsoft.com/office/infopath/2007/PartnerControls"/>
    <xsd:element name="SharedWithUsers" ma:index="10"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ac42d764-eafa-41d8-8fb6-afcd129b9cac}" ma:internalName="TaxCatchAll" ma:showField="CatchAllData" ma:web="4b7e938c-c197-4822-ad8f-9066e64886e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6"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35A6D1B-437A-4A0E-A79D-DA7729DECE8D}"/>
</file>

<file path=customXml/itemProps2.xml><?xml version="1.0" encoding="utf-8"?>
<ds:datastoreItem xmlns:ds="http://schemas.openxmlformats.org/officeDocument/2006/customXml" ds:itemID="{E10EECF7-C2BE-4392-90E7-EC0C50CA64F1}"/>
</file>

<file path=customXml/itemProps3.xml><?xml version="1.0" encoding="utf-8"?>
<ds:datastoreItem xmlns:ds="http://schemas.openxmlformats.org/officeDocument/2006/customXml" ds:itemID="{201FC5E6-669C-4797-A2B3-C35FFFE1B4BA}"/>
</file>

<file path=docProps/app.xml><?xml version="1.0" encoding="utf-8"?>
<Properties xmlns="http://schemas.openxmlformats.org/officeDocument/2006/extended-properties" xmlns:vt="http://schemas.openxmlformats.org/officeDocument/2006/docPropsVTypes">
  <Application>Microsoft Excel Online</Application>
  <Manager/>
  <Company>Intel Corporation</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Amit Verma</dc:creator>
  <cp:keywords/>
  <dc:description/>
  <cp:lastModifiedBy>Bayeh, Michael</cp:lastModifiedBy>
  <cp:revision/>
  <dcterms:created xsi:type="dcterms:W3CDTF">2005-08-15T15:40:37Z</dcterms:created>
  <dcterms:modified xsi:type="dcterms:W3CDTF">2025-10-17T16:57:42Z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umentCategory">
    <vt:lpwstr>Unspecified</vt:lpwstr>
  </property>
  <property fmtid="{D5CDD505-2E9C-101B-9397-08002B2CF9AE}" pid="3" name="ContentTypeId">
    <vt:lpwstr>0x0101008C0ACD34E1C07F4E8845A5E711B310F7</vt:lpwstr>
  </property>
  <property fmtid="{D5CDD505-2E9C-101B-9397-08002B2CF9AE}" pid="4" name="MSIP_Label_cce6c6c3-7989-4dfe-877e-1e5d29353dd0_Enabled">
    <vt:lpwstr>true</vt:lpwstr>
  </property>
  <property fmtid="{D5CDD505-2E9C-101B-9397-08002B2CF9AE}" pid="5" name="MSIP_Label_cce6c6c3-7989-4dfe-877e-1e5d29353dd0_SetDate">
    <vt:lpwstr>2025-08-28T17:28:00Z</vt:lpwstr>
  </property>
  <property fmtid="{D5CDD505-2E9C-101B-9397-08002B2CF9AE}" pid="6" name="MSIP_Label_cce6c6c3-7989-4dfe-877e-1e5d29353dd0_Method">
    <vt:lpwstr>Standard</vt:lpwstr>
  </property>
  <property fmtid="{D5CDD505-2E9C-101B-9397-08002B2CF9AE}" pid="7" name="MSIP_Label_cce6c6c3-7989-4dfe-877e-1e5d29353dd0_Name">
    <vt:lpwstr>Company Internal Use</vt:lpwstr>
  </property>
  <property fmtid="{D5CDD505-2E9C-101B-9397-08002B2CF9AE}" pid="8" name="MSIP_Label_cce6c6c3-7989-4dfe-877e-1e5d29353dd0_SiteId">
    <vt:lpwstr>1ccc79e9-1dda-45b4-8335-a298cbe52241</vt:lpwstr>
  </property>
  <property fmtid="{D5CDD505-2E9C-101B-9397-08002B2CF9AE}" pid="9" name="MSIP_Label_cce6c6c3-7989-4dfe-877e-1e5d29353dd0_ActionId">
    <vt:lpwstr>c2e933d1-14a0-44bc-bc33-26a4f59133f1</vt:lpwstr>
  </property>
  <property fmtid="{D5CDD505-2E9C-101B-9397-08002B2CF9AE}" pid="10" name="MSIP_Label_cce6c6c3-7989-4dfe-877e-1e5d29353dd0_ContentBits">
    <vt:lpwstr>0</vt:lpwstr>
  </property>
  <property fmtid="{D5CDD505-2E9C-101B-9397-08002B2CF9AE}" pid="11" name="MSIP_Label_cce6c6c3-7989-4dfe-877e-1e5d29353dd0_Tag">
    <vt:lpwstr>10, 3, 0, 2</vt:lpwstr>
  </property>
  <property fmtid="{D5CDD505-2E9C-101B-9397-08002B2CF9AE}" pid="12" name="MediaServiceImageTags">
    <vt:lpwstr/>
  </property>
</Properties>
</file>