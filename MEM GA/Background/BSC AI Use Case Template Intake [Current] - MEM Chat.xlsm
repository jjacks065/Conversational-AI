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9" codeName="{00000000-0000-0000-0000-000000000000}"/>
  <workbookPr showInkAnnotation="0" codeName="ThisWorkbook"/>
  <mc:AlternateContent xmlns:mc="http://schemas.openxmlformats.org/markup-compatibility/2006">
    <mc:Choice Requires="x15">
      <x15ac:absPath xmlns:x15ac="http://schemas.microsoft.com/office/spreadsheetml/2010/11/ac" url="https://blueshieldca-my.sharepoint.com/personal/jhughe03_blueshieldca_com/Documents/Documents/Sierra/MEM Chat/"/>
    </mc:Choice>
  </mc:AlternateContent>
  <xr:revisionPtr revIDLastSave="159" documentId="8_{AA6CD22D-5E63-4AA3-A4EF-340F1436B286}" xr6:coauthVersionLast="47" xr6:coauthVersionMax="47" xr10:uidLastSave="{96C4BB78-0DBC-4DC9-A582-C590100747C9}"/>
  <bookViews>
    <workbookView xWindow="29340" yWindow="915" windowWidth="26355" windowHeight="11295" firstSheet="1" activeTab="1" xr2:uid="{2A55836C-F46E-4AA3-9859-EE2537DF36C4}"/>
  </bookViews>
  <sheets>
    <sheet name="INSTRUCTIONS" sheetId="16" r:id="rId1"/>
    <sheet name="Intake" sheetId="14" r:id="rId2"/>
    <sheet name="Principles &amp; Standards" sheetId="2" r:id="rId3"/>
    <sheet name="Risk Assessment" sheetId="3" r:id="rId4"/>
    <sheet name="Cells" sheetId="4" state="hidden" r:id="rId5"/>
  </sheets>
  <definedNames>
    <definedName name="_xleta.SWITCH" hidden="1" xlm="1">#NAME?</definedName>
    <definedName name="_xlnm.Print_Area" localSheetId="1">Intake!$A$1:$C$74</definedName>
    <definedName name="_xlnm.Print_Titles" localSheetId="1">Intake!$3:$9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0" i="14" l="1" a="1"/>
  <c r="B60" i="14" s="1"/>
  <c r="B61" i="14" s="1" a="1"/>
  <c r="B61" i="14" s="1"/>
  <c r="B62" i="14" a="1"/>
  <c r="B62" i="14" s="1"/>
  <c r="B6" i="14" l="1" a="1"/>
  <c r="B6" i="1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<sst xmlns="http://schemas.openxmlformats.org/spreadsheetml/2006/main" count="221" uniqueCount="198">
  <si>
    <t>BSC Artificial Intelligence Use Case Assessment Instructions</t>
  </si>
  <si>
    <t xml:space="preserve">This document uses VBA to allow multi-select options, enable macros to utilize the full functionality. </t>
  </si>
  <si>
    <t>Directions to Enable Macros</t>
  </si>
  <si>
    <t>OPTION 1:</t>
  </si>
  <si>
    <t>Press "Enable Content" if you see the banner across the Microsoft Excel Workbook and the drop down options should work for you.</t>
  </si>
  <si>
    <t>OPTION 2:</t>
  </si>
  <si>
    <t>If you do not see the banner, please follow the prompts below to enable before completing the excel.</t>
  </si>
  <si>
    <t>1. Click 'File'.</t>
  </si>
  <si>
    <t>a. Select 'Options'.</t>
  </si>
  <si>
    <t>2. Click 'Trust Center'.</t>
  </si>
  <si>
    <t>a. Click 'Trust Center Settings.'</t>
  </si>
  <si>
    <t>3. Click ' Macro Settings.'</t>
  </si>
  <si>
    <t>a. Click ' Enable VBA macros'.</t>
  </si>
  <si>
    <t>b. Click 'OK'.</t>
  </si>
  <si>
    <t>c. Click 'OK'</t>
  </si>
  <si>
    <t>4. Close / re-open excel to enable macros and complete the intake form.</t>
  </si>
  <si>
    <t>BSC Artificial Intelligence Use Case Assessment</t>
  </si>
  <si>
    <t>** See INSTRUCTIONS tab to enable macros before completing the form**</t>
  </si>
  <si>
    <t>BSC AI Submission Date</t>
  </si>
  <si>
    <t>Committee Presentation Date</t>
  </si>
  <si>
    <t>Target Go-Live Date</t>
  </si>
  <si>
    <t>[BSC AI Governance Intake Team]</t>
  </si>
  <si>
    <t>End of Q2</t>
  </si>
  <si>
    <t>Information</t>
  </si>
  <si>
    <t>Risk Score</t>
  </si>
  <si>
    <t>Stellarus AI Use Case Jira ticket #</t>
  </si>
  <si>
    <t>[Required Response]</t>
  </si>
  <si>
    <t xml:space="preserve">This form is required to submit the form to Jira and create a ticket, so I don't have this yet. </t>
  </si>
  <si>
    <t xml:space="preserve">Stellarus AI Use Case Status
</t>
  </si>
  <si>
    <t>Awaiting BSC AI Governance</t>
  </si>
  <si>
    <t>Title</t>
  </si>
  <si>
    <t>Member (MEM) AI Chat</t>
  </si>
  <si>
    <r>
      <t xml:space="preserve">Problem Statement 
</t>
    </r>
    <r>
      <rPr>
        <sz val="11"/>
        <color theme="1"/>
        <rFont val="Aptos Narrow"/>
        <family val="2"/>
        <scheme val="minor"/>
      </rPr>
      <t xml:space="preserve">Provide a brief summary of the business need/issue/challenge/gap
</t>
    </r>
    <r>
      <rPr>
        <u/>
        <sz val="11"/>
        <color theme="1"/>
        <rFont val="Aptos Narrow"/>
        <family val="2"/>
        <scheme val="minor"/>
      </rPr>
      <t>(Do not use technical language or terms)</t>
    </r>
  </si>
  <si>
    <t>BSC members struggle to get timely, accurate answers to benefits questions, leading to frustration, multiple touchpoints, and increased support costs. Current member portal interactions lack personalized guidance, forcing members to navigate complex benefits documentation or call into customer service to answer these basic benefits questions.</t>
  </si>
  <si>
    <r>
      <t>Description</t>
    </r>
    <r>
      <rPr>
        <sz val="11"/>
        <color theme="1"/>
        <rFont val="Aptos Narrow"/>
        <family val="2"/>
        <scheme val="minor"/>
      </rPr>
      <t xml:space="preserve">
Based on the Problem Statement provide a brief summary of what implementing the AI solution will solve.
</t>
    </r>
    <r>
      <rPr>
        <u/>
        <sz val="11"/>
        <color theme="1"/>
        <rFont val="Aptos Narrow"/>
        <family val="2"/>
        <scheme val="minor"/>
      </rPr>
      <t>(Do not use technical language or terms</t>
    </r>
    <r>
      <rPr>
        <b/>
        <sz val="11"/>
        <color theme="1"/>
        <rFont val="Aptos Narrow"/>
        <family val="2"/>
        <scheme val="minor"/>
      </rPr>
      <t>)</t>
    </r>
  </si>
  <si>
    <t>Deploy an AI-powered Generative Agent chat integrated with the member portal that provides instant, always-available benefits support directly within members' existing digital experience.</t>
  </si>
  <si>
    <r>
      <t xml:space="preserve">Return on Investment (ROI)
</t>
    </r>
    <r>
      <rPr>
        <sz val="11"/>
        <color theme="1"/>
        <rFont val="Aptos Narrow"/>
        <family val="2"/>
        <scheme val="minor"/>
      </rPr>
      <t>Provide the efficiency, productivity, or financial benefits from the expected use of AI solution proposed</t>
    </r>
  </si>
  <si>
    <t xml:space="preserve">Decrease calls to customer support by enabling more self-serve options, and therefore, decreaes call center costs. </t>
  </si>
  <si>
    <t>Line of Business Information</t>
  </si>
  <si>
    <r>
      <rPr>
        <b/>
        <sz val="11"/>
        <color theme="1"/>
        <rFont val="Aptos Narrow"/>
        <family val="2"/>
        <scheme val="minor"/>
      </rPr>
      <t xml:space="preserve">Commercial &amp; Government Markets
</t>
    </r>
    <r>
      <rPr>
        <u/>
        <sz val="11"/>
        <color theme="1"/>
        <rFont val="Aptos Narrow"/>
        <family val="2"/>
        <scheme val="minor"/>
      </rPr>
      <t xml:space="preserve">(Click options to add/remove)
</t>
    </r>
    <r>
      <rPr>
        <sz val="9"/>
        <color theme="1"/>
        <rFont val="Aptos Narrow"/>
        <family val="2"/>
        <scheme val="minor"/>
      </rPr>
      <t xml:space="preserve">• All - </t>
    </r>
    <r>
      <rPr>
        <i/>
        <sz val="9"/>
        <color theme="1"/>
        <rFont val="Aptos Narrow"/>
        <family val="2"/>
        <scheme val="minor"/>
      </rPr>
      <t>Select this only if all options below are impacted</t>
    </r>
    <r>
      <rPr>
        <sz val="9"/>
        <color theme="1"/>
        <rFont val="Aptos Narrow"/>
        <family val="2"/>
        <scheme val="minor"/>
      </rPr>
      <t xml:space="preserve">
• Individual &amp; Family Plans
• Medicare
• Medi-Cal 
• Middle Market
• Premier
• Select Markets
• Small Business
• Specialty
• N/A - Internal Technology / Development
Regulator: DMHC and/or Covered CA</t>
    </r>
  </si>
  <si>
    <t>N/A - Internal Technology / Development</t>
  </si>
  <si>
    <t>BSC Employees, which is not an option in the drop down.</t>
  </si>
  <si>
    <r>
      <rPr>
        <b/>
        <sz val="11"/>
        <color theme="1"/>
        <rFont val="Aptos Narrow"/>
        <family val="2"/>
        <scheme val="minor"/>
      </rPr>
      <t xml:space="preserve">Impact to Medicare? </t>
    </r>
    <r>
      <rPr>
        <sz val="11"/>
        <color theme="1"/>
        <rFont val="Aptos Narrow"/>
        <family val="2"/>
        <scheme val="minor"/>
      </rPr>
      <t xml:space="preserve">
</t>
    </r>
    <r>
      <rPr>
        <sz val="9"/>
        <color theme="1"/>
        <rFont val="Aptos Narrow"/>
        <family val="2"/>
        <scheme val="minor"/>
      </rPr>
      <t>Regulator: CMS</t>
    </r>
  </si>
  <si>
    <t>Yes</t>
  </si>
  <si>
    <r>
      <rPr>
        <b/>
        <sz val="11"/>
        <color theme="1"/>
        <rFont val="Aptos Narrow"/>
        <family val="2"/>
        <scheme val="minor"/>
      </rPr>
      <t xml:space="preserve">Impact to Medi-Cal (Promise Health Plan)?
</t>
    </r>
    <r>
      <rPr>
        <b/>
        <sz val="9"/>
        <color theme="1"/>
        <rFont val="Aptos Narrow"/>
        <family val="2"/>
        <scheme val="minor"/>
      </rPr>
      <t>NOTE:</t>
    </r>
    <r>
      <rPr>
        <sz val="9"/>
        <color theme="1"/>
        <rFont val="Aptos Narrow"/>
        <family val="2"/>
        <scheme val="minor"/>
      </rPr>
      <t xml:space="preserve"> 'Yes' responses require Promise AI Gov approval after BSC AI Gov approval</t>
    </r>
    <r>
      <rPr>
        <sz val="11"/>
        <color theme="1"/>
        <rFont val="Aptos Narrow"/>
        <family val="2"/>
        <scheme val="minor"/>
      </rPr>
      <t xml:space="preserve">
</t>
    </r>
    <r>
      <rPr>
        <sz val="9"/>
        <color theme="1"/>
        <rFont val="Aptos Narrow"/>
        <family val="2"/>
        <scheme val="minor"/>
      </rPr>
      <t>Regulator: DHCS and/or DMHC</t>
    </r>
  </si>
  <si>
    <t>No</t>
  </si>
  <si>
    <r>
      <rPr>
        <b/>
        <sz val="11"/>
        <color theme="1"/>
        <rFont val="Aptos Narrow"/>
        <family val="2"/>
        <scheme val="minor"/>
      </rPr>
      <t>Impact to Covered California?</t>
    </r>
    <r>
      <rPr>
        <sz val="11"/>
        <color theme="1"/>
        <rFont val="Aptos Narrow"/>
        <family val="2"/>
        <scheme val="minor"/>
      </rPr>
      <t xml:space="preserve">
</t>
    </r>
    <r>
      <rPr>
        <sz val="9"/>
        <color theme="1"/>
        <rFont val="Aptos Narrow"/>
        <family val="2"/>
        <scheme val="minor"/>
      </rPr>
      <t>Regulator: DMHC and/or DHCS</t>
    </r>
  </si>
  <si>
    <r>
      <rPr>
        <b/>
        <sz val="11"/>
        <color theme="1"/>
        <rFont val="Aptos Narrow"/>
        <family val="2"/>
        <scheme val="minor"/>
      </rPr>
      <t xml:space="preserve">Impacted Company
</t>
    </r>
    <r>
      <rPr>
        <u/>
        <sz val="11"/>
        <color theme="1"/>
        <rFont val="Aptos Narrow"/>
        <family val="2"/>
        <scheme val="minor"/>
      </rPr>
      <t>(Click options to add/remove)</t>
    </r>
    <r>
      <rPr>
        <sz val="11"/>
        <color theme="1"/>
        <rFont val="Aptos Narrow"/>
        <family val="2"/>
        <scheme val="minor"/>
      </rPr>
      <t xml:space="preserve">
</t>
    </r>
    <r>
      <rPr>
        <sz val="9"/>
        <color theme="1"/>
        <rFont val="Aptos Narrow"/>
        <family val="2"/>
        <scheme val="minor"/>
      </rPr>
      <t>• Blue Shield of California (Health Plan)
• Stellarus (Vendor) - if applicable
• Altais (Vendor) - if applicable
• Ascendiun (Parent) - if applicable</t>
    </r>
  </si>
  <si>
    <t>Blue Shield of California</t>
  </si>
  <si>
    <t xml:space="preserve">I'm not allowed to do multi-select, but it should be BSC and Stellarus. </t>
  </si>
  <si>
    <t>AI Solution Details</t>
  </si>
  <si>
    <r>
      <rPr>
        <b/>
        <sz val="11"/>
        <color theme="1"/>
        <rFont val="Aptos Narrow"/>
        <family val="2"/>
        <scheme val="minor"/>
      </rPr>
      <t>Implementation Scale of the AI solution?</t>
    </r>
    <r>
      <rPr>
        <sz val="11"/>
        <color theme="1"/>
        <rFont val="Aptos Narrow"/>
        <family val="2"/>
        <scheme val="minor"/>
      </rPr>
      <t xml:space="preserve">
</t>
    </r>
    <r>
      <rPr>
        <sz val="9"/>
        <color theme="1"/>
        <rFont val="Aptos Narrow"/>
        <family val="2"/>
        <scheme val="minor"/>
      </rPr>
      <t xml:space="preserve">• </t>
    </r>
    <r>
      <rPr>
        <b/>
        <sz val="9"/>
        <color theme="1"/>
        <rFont val="Aptos Narrow"/>
        <family val="2"/>
        <scheme val="minor"/>
      </rPr>
      <t>Proof of Concept (PoC)</t>
    </r>
    <r>
      <rPr>
        <sz val="9"/>
        <color theme="1"/>
        <rFont val="Aptos Narrow"/>
        <family val="2"/>
        <scheme val="minor"/>
      </rPr>
      <t xml:space="preserve">: Small-scale exercise to test whether a specific idea/concept can function in practice. PoCs are NOT LIVE, but managed through controlled conditions, CANNOT impact members, and may typically include a reporting output.
     • Purpose: Demonstrate feasibility and potential value of a proposed solution/ technology without full development. 
 • </t>
    </r>
    <r>
      <rPr>
        <b/>
        <sz val="9"/>
        <color theme="1"/>
        <rFont val="Aptos Narrow"/>
        <family val="2"/>
        <scheme val="minor"/>
      </rPr>
      <t>Pilot</t>
    </r>
    <r>
      <rPr>
        <sz val="9"/>
        <color theme="1"/>
        <rFont val="Aptos Narrow"/>
        <family val="2"/>
        <scheme val="minor"/>
      </rPr>
      <t xml:space="preserve">: Small or large-scale implementation of a proposed solution or technology in a real-world environment. Pilots ARE LIVE, CAN impact members but often involve a limited number of users and aim to assess the product's performance in practical conditions or workflows. It may include model demonstration.    
     • Purpose: Demonstrate usability, gather user feedback, and identify any issues before a broader rollout. 
</t>
    </r>
  </si>
  <si>
    <t>Pilot</t>
  </si>
  <si>
    <r>
      <t xml:space="preserve">Primary purpose of the AI solution
</t>
    </r>
    <r>
      <rPr>
        <u/>
        <sz val="11"/>
        <color theme="1"/>
        <rFont val="Aptos Narrow"/>
        <family val="2"/>
        <scheme val="minor"/>
      </rPr>
      <t>(Click options to add/remove)</t>
    </r>
    <r>
      <rPr>
        <b/>
        <sz val="11"/>
        <color theme="1"/>
        <rFont val="Aptos Narrow"/>
        <family val="2"/>
        <scheme val="minor"/>
      </rPr>
      <t xml:space="preserve">
</t>
    </r>
    <r>
      <rPr>
        <sz val="9"/>
        <rFont val="Aptos Narrow"/>
        <family val="2"/>
        <scheme val="minor"/>
      </rPr>
      <t xml:space="preserve">• </t>
    </r>
    <r>
      <rPr>
        <b/>
        <sz val="9"/>
        <rFont val="Aptos Narrow"/>
        <family val="2"/>
        <scheme val="minor"/>
      </rPr>
      <t>Agentic AI:</t>
    </r>
    <r>
      <rPr>
        <sz val="9"/>
        <rFont val="Aptos Narrow"/>
        <family val="2"/>
        <scheme val="minor"/>
      </rPr>
      <t xml:space="preserve"> Task oriented agents that are designed to take actions, make rule-based decisions, and execute tasks independently.
          (e.g., data entry, detection alerts)
</t>
    </r>
    <r>
      <rPr>
        <sz val="9"/>
        <color theme="1"/>
        <rFont val="Aptos Narrow"/>
        <family val="2"/>
        <scheme val="minor"/>
      </rPr>
      <t xml:space="preserve">• </t>
    </r>
    <r>
      <rPr>
        <b/>
        <sz val="9"/>
        <color theme="1"/>
        <rFont val="Aptos Narrow"/>
        <family val="2"/>
        <scheme val="minor"/>
      </rPr>
      <t>Generative AI:</t>
    </r>
    <r>
      <rPr>
        <sz val="9"/>
        <color theme="1"/>
        <rFont val="Aptos Narrow"/>
        <family val="2"/>
        <scheme val="minor"/>
      </rPr>
      <t xml:space="preserve"> Content Generation/Decision-Making through data classification, decision trees, or image/sound/text synthesis based on past or historical data 
          (e.g., customized treatment plans, advertising/marketing product descriptions)
• </t>
    </r>
    <r>
      <rPr>
        <b/>
        <sz val="9"/>
        <color theme="1"/>
        <rFont val="Aptos Narrow"/>
        <family val="2"/>
        <scheme val="minor"/>
      </rPr>
      <t>Large Language Model:</t>
    </r>
    <r>
      <rPr>
        <sz val="9"/>
        <color theme="1"/>
        <rFont val="Aptos Narrow"/>
        <family val="2"/>
        <scheme val="minor"/>
      </rPr>
      <t xml:space="preserve"> Informational/Search/Summarization tasks through natural language processing
          (e.g., answer questions, write or summarize articles, create conversational agents/chatbots)
• </t>
    </r>
    <r>
      <rPr>
        <b/>
        <sz val="9"/>
        <color theme="1"/>
        <rFont val="Aptos Narrow"/>
        <family val="2"/>
        <scheme val="minor"/>
      </rPr>
      <t>Machine Learning:</t>
    </r>
    <r>
      <rPr>
        <sz val="9"/>
        <color theme="1"/>
        <rFont val="Aptos Narrow"/>
        <family val="2"/>
        <scheme val="minor"/>
      </rPr>
      <t xml:space="preserve"> Algorithm Training, Prediction/Decision on new, unforeseen data by continuously feeding data to model 
          (e.g., fraud detection, streaming recommendations, traffic prediction, social media feed)</t>
    </r>
  </si>
  <si>
    <t>Generative AI</t>
  </si>
  <si>
    <t>Third-Party Information</t>
  </si>
  <si>
    <r>
      <rPr>
        <b/>
        <sz val="11"/>
        <color theme="1"/>
        <rFont val="Aptos Narrow"/>
        <family val="2"/>
        <scheme val="minor"/>
      </rPr>
      <t>External Vendor/Third-Party</t>
    </r>
    <r>
      <rPr>
        <sz val="11"/>
        <color theme="1"/>
        <rFont val="Aptos Narrow"/>
        <family val="2"/>
        <scheme val="minor"/>
      </rPr>
      <t xml:space="preserve"> </t>
    </r>
    <r>
      <rPr>
        <b/>
        <sz val="11"/>
        <color theme="1"/>
        <rFont val="Aptos Narrow"/>
        <family val="2"/>
        <scheme val="minor"/>
      </rPr>
      <t>Name</t>
    </r>
  </si>
  <si>
    <t>Current Vendor: New/Expanded AI SOW</t>
  </si>
  <si>
    <t>Sierra and Genesys</t>
  </si>
  <si>
    <t>Impacted Application/System/Database Name(s)</t>
  </si>
  <si>
    <t>Blue Shield Member Portal (Web)
Genesys Cloud CX
Sierra AI Conversational Platform
Stellarus Agentic AI Platform
Databricks (Vector Database)
Nexus
Enterprise Benefits Knowledge Documents (PDFs)
Salesforce Data Cloud (future phase)</t>
  </si>
  <si>
    <t>Vendor Contract Status</t>
  </si>
  <si>
    <t>Executed</t>
  </si>
  <si>
    <t>Business Area Information</t>
  </si>
  <si>
    <r>
      <t xml:space="preserve">Accountable Executive Leader </t>
    </r>
    <r>
      <rPr>
        <sz val="11"/>
        <color theme="1"/>
        <rFont val="Aptos Narrow"/>
        <family val="2"/>
        <scheme val="minor"/>
      </rPr>
      <t>(Business Area EVP, potentially the direct manager of the Business Owner)</t>
    </r>
  </si>
  <si>
    <t>Ellen Sexton</t>
  </si>
  <si>
    <r>
      <rPr>
        <b/>
        <sz val="11"/>
        <rFont val="Aptos Narrow"/>
        <family val="2"/>
        <scheme val="minor"/>
      </rPr>
      <t>Responsible Leader</t>
    </r>
    <r>
      <rPr>
        <sz val="11"/>
        <rFont val="Aptos Narrow"/>
        <family val="2"/>
        <scheme val="minor"/>
      </rPr>
      <t xml:space="preserve"> </t>
    </r>
    <r>
      <rPr>
        <sz val="11"/>
        <color theme="1"/>
        <rFont val="Aptos Narrow"/>
        <family val="2"/>
        <scheme val="minor"/>
      </rPr>
      <t>(Business Area VP/SVP whose Business Area will use the AI solution)</t>
    </r>
  </si>
  <si>
    <t xml:space="preserve">Christine McKinney </t>
  </si>
  <si>
    <r>
      <rPr>
        <b/>
        <sz val="11"/>
        <color theme="1"/>
        <rFont val="Aptos Narrow"/>
        <family val="2"/>
        <scheme val="minor"/>
      </rPr>
      <t xml:space="preserve">Point of Contact </t>
    </r>
    <r>
      <rPr>
        <sz val="11"/>
        <color theme="1"/>
        <rFont val="Aptos Narrow"/>
        <family val="2"/>
        <scheme val="minor"/>
      </rPr>
      <t>(Reports to the Responsible Leader)</t>
    </r>
  </si>
  <si>
    <t xml:space="preserve">Kathleen Licas </t>
  </si>
  <si>
    <r>
      <rPr>
        <b/>
        <sz val="11"/>
        <rFont val="Aptos Narrow"/>
        <family val="2"/>
        <scheme val="minor"/>
      </rPr>
      <t>IT Project Leader</t>
    </r>
    <r>
      <rPr>
        <b/>
        <sz val="11"/>
        <color rgb="FF000000"/>
        <rFont val="Aptos Narrow"/>
        <family val="2"/>
        <scheme val="minor"/>
      </rPr>
      <t xml:space="preserve"> </t>
    </r>
    <r>
      <rPr>
        <sz val="11"/>
        <color rgb="FF000000"/>
        <rFont val="Aptos Narrow"/>
        <family val="2"/>
        <scheme val="minor"/>
      </rPr>
      <t>(Employee managing the AI solution from development to go-live)</t>
    </r>
  </si>
  <si>
    <t>Julie Hughes</t>
  </si>
  <si>
    <t>All General Managers impacted have approved?</t>
  </si>
  <si>
    <r>
      <rPr>
        <b/>
        <sz val="11"/>
        <color theme="1"/>
        <rFont val="Aptos Narrow"/>
        <family val="2"/>
        <scheme val="minor"/>
      </rPr>
      <t>Business Area</t>
    </r>
    <r>
      <rPr>
        <sz val="11"/>
        <color theme="1"/>
        <rFont val="Aptos Narrow"/>
        <family val="2"/>
        <scheme val="minor"/>
      </rPr>
      <t xml:space="preserve"> (</t>
    </r>
    <r>
      <rPr>
        <sz val="11"/>
        <rFont val="Aptos Narrow"/>
        <family val="2"/>
        <scheme val="minor"/>
      </rPr>
      <t>Select Primary Business Area most impacted</t>
    </r>
    <r>
      <rPr>
        <sz val="11"/>
        <color theme="1"/>
        <rFont val="Aptos Narrow"/>
        <family val="2"/>
        <scheme val="minor"/>
      </rPr>
      <t xml:space="preserve">): 
</t>
    </r>
  </si>
  <si>
    <t xml:space="preserve"> Information Security/Technology</t>
  </si>
  <si>
    <r>
      <rPr>
        <b/>
        <sz val="11"/>
        <color theme="1"/>
        <rFont val="Aptos Narrow"/>
        <family val="2"/>
        <scheme val="minor"/>
      </rPr>
      <t xml:space="preserve">All Other Impacted Business Area(s) 
</t>
    </r>
    <r>
      <rPr>
        <u/>
        <sz val="11"/>
        <color theme="1"/>
        <rFont val="Aptos Narrow"/>
        <family val="2"/>
        <scheme val="minor"/>
      </rPr>
      <t>(Click options to add/remove)</t>
    </r>
    <r>
      <rPr>
        <sz val="11"/>
        <color theme="1"/>
        <rFont val="Aptos Narrow"/>
        <family val="2"/>
        <scheme val="minor"/>
      </rPr>
      <t xml:space="preserve">
Behavioral Health, Benefit Configuration, Case Management, Claims, Compliance &amp; Ethics, Corporate Safety &amp; Security, Delegation Oversight, Finance, Fraud/Waste/Abuse,  Global Business Services/Vendor Management, Information Security/Technology, Installation/Billing/Enrollment, Legal,   
Marketing, Sales Account Management, People &amp; Engagement, Pharmacy, Product Management, Provider Network, Privacy, Quality Management, Utilization Management, Workplace Experience</t>
    </r>
  </si>
  <si>
    <t xml:space="preserve"> Finance</t>
  </si>
  <si>
    <t>I am not able to select more than one.</t>
  </si>
  <si>
    <t>Legal Information</t>
  </si>
  <si>
    <t>Compliance / ERM / Legal Contacts</t>
  </si>
  <si>
    <t>Adi Dabholkar</t>
  </si>
  <si>
    <r>
      <rPr>
        <b/>
        <sz val="11"/>
        <color theme="1"/>
        <rFont val="Aptos Narrow"/>
        <family val="2"/>
        <scheme val="minor"/>
      </rPr>
      <t xml:space="preserve">Attorney Client Privilege </t>
    </r>
    <r>
      <rPr>
        <sz val="11"/>
        <color theme="1"/>
        <rFont val="Aptos Narrow"/>
        <family val="2"/>
        <scheme val="minor"/>
      </rPr>
      <t>(If 'Yes' provide name of attorney)</t>
    </r>
  </si>
  <si>
    <t>[Enter response]</t>
  </si>
  <si>
    <t>[Enter name(s) if applicable]</t>
  </si>
  <si>
    <t>Principles &amp; Standards
Provide description of how the AI solution will ensure adherence.</t>
  </si>
  <si>
    <r>
      <rPr>
        <b/>
        <sz val="11"/>
        <color theme="1"/>
        <rFont val="Aptos Narrow"/>
        <family val="2"/>
        <scheme val="minor"/>
      </rPr>
      <t>FAIR, INCLUSIVE &amp; ETHICAL</t>
    </r>
    <r>
      <rPr>
        <sz val="11"/>
        <color theme="1"/>
        <rFont val="Aptos Narrow"/>
        <family val="2"/>
        <scheme val="minor"/>
      </rPr>
      <t xml:space="preserve"> 
We will strive to maintain fairness &amp; equity especially among </t>
    </r>
    <r>
      <rPr>
        <sz val="11"/>
        <rFont val="Aptos Narrow"/>
        <family val="2"/>
        <scheme val="minor"/>
      </rPr>
      <t>vulnerable populations,</t>
    </r>
    <r>
      <rPr>
        <sz val="11"/>
        <color theme="1"/>
        <rFont val="Aptos Narrow"/>
        <family val="2"/>
        <scheme val="minor"/>
      </rPr>
      <t xml:space="preserve"> so individuals have inclusive opportunities to be healthy by identifying and mitigating undesired and unethical outcomes.</t>
    </r>
  </si>
  <si>
    <t>The Member AI Chat ensures fairness through:
• Accessible Design: WCAG-compliant interface for all members, including those with disabilities
• Vulnerable Population Safeguards: Specific guardrails for Medicare members to ensure clear, accurate benefits information
• Bias Monitoring: Regular audits to detect and correct response disparities across demographics
• Human Escalation: Pathways to live agents for complex or sensitive inquiries
• Content Constraints: AI limited to enterprise knowledge documents only, preventing hallucinations</t>
  </si>
  <si>
    <r>
      <rPr>
        <b/>
        <sz val="11"/>
        <color theme="1"/>
        <rFont val="Aptos Narrow"/>
        <family val="2"/>
        <scheme val="minor"/>
      </rPr>
      <t>EXPLAINABLE &amp; TRANSPARENT</t>
    </r>
    <r>
      <rPr>
        <sz val="11"/>
        <color theme="1"/>
        <rFont val="Aptos Narrow"/>
        <family val="2"/>
        <scheme val="minor"/>
      </rPr>
      <t xml:space="preserve"> 
We will maintain documentation that explains how models were created, what data was used, what influenced the outcome or recommendation, how decisions were made, how accuracy levels were achieved, and where it is integrated into a process or user experience.</t>
    </r>
  </si>
  <si>
    <t>The Member AI Chat ensures explainability and transparency through:
• Model Documentation: Comprehensive records of AI architecture, training methodology, and version history maintained in Stellarus platform
• Data Lineage: Clear tracking of enterprise knowledge documents used to generate responses
• Response Attribution: Citations linking AI answers to specific source documents so members understand the basis for information provided
• Decision Logging: Audit trails capturing user queries, AI responses, and escalation triggers for review
• Accuracy Metrics: Ongoing monitoring of response quality, hallucination rates, and user satisfaction scores</t>
  </si>
  <si>
    <r>
      <rPr>
        <b/>
        <sz val="11"/>
        <color theme="1"/>
        <rFont val="Aptos Narrow"/>
        <family val="2"/>
        <scheme val="minor"/>
      </rPr>
      <t>PRIVATE &amp; SECURE</t>
    </r>
    <r>
      <rPr>
        <sz val="11"/>
        <color theme="1"/>
        <rFont val="Aptos Narrow"/>
        <family val="2"/>
        <scheme val="minor"/>
      </rPr>
      <t xml:space="preserve">
We will diligently protect and secure data of our members and/or clients to maintain high levels of trust, protect our brand and reputation, mitigate legal risks, and effectively comply with Federal and State regulations.</t>
    </r>
  </si>
  <si>
    <t>The Member AI Chat ensures privacy and security through:
• Data Minimization: Collects only information necessary to respond to member inquiries
• Encryption: All data encrypted in transit and at rest using enterprise-grade standards
• Access Controls: Role-based permissions limiting data access to authorized personnel only
• PHI/PII Safeguards: Strict handling protocols for protected health and personal information per HIPAA requirements
• Regulatory Compliance: Adherence to CMS, DMHC, and applicable Federal/State privacy regulations</t>
  </si>
  <si>
    <r>
      <rPr>
        <b/>
        <sz val="11"/>
        <color theme="1"/>
        <rFont val="Aptos Narrow"/>
        <family val="2"/>
        <scheme val="minor"/>
      </rPr>
      <t xml:space="preserve">ACCOUNTABLE &amp; RELIABLE
</t>
    </r>
    <r>
      <rPr>
        <sz val="11"/>
        <color theme="1"/>
        <rFont val="Aptos Narrow"/>
        <family val="2"/>
        <scheme val="minor"/>
      </rPr>
      <t>We will responsibly develop, deploy, and manage products and/or solutions throughout its lifecycle and apply industry best practices and scientific methods of reliability and excellence.</t>
    </r>
  </si>
  <si>
    <t>The Member AI Chat ensures accountability and reliability through:
• Lifecycle Governance: Defined ownership and oversight from development through deployment, monitoring, and retirement
• Version Control: Systematic tracking of model updates, configuration changes, and knowledge document revisions
• Performance Monitoring: Continuous tracking of uptime, response accuracy, and system health metrics
• Incident Management: Established protocols for identifying, escalating, and resolving issues promptly
• Continuous Improvement: Regular review cycles incorporating user feedback and performance data to enhance reliability</t>
  </si>
  <si>
    <r>
      <rPr>
        <b/>
        <sz val="11"/>
        <color theme="1"/>
        <rFont val="Aptos Narrow"/>
        <family val="2"/>
        <scheme val="minor"/>
      </rPr>
      <t xml:space="preserve">COMPLIANT &amp; RISK-BASED
</t>
    </r>
    <r>
      <rPr>
        <sz val="11"/>
        <color theme="1"/>
        <rFont val="Aptos Narrow"/>
        <family val="2"/>
        <scheme val="minor"/>
      </rPr>
      <t>We will rigorously assess, monitor, and validate compliance prior to and after deployment to ensure ongoing operations are within our risk appetite and to detect, prevent, and correct potential issues of non-compliance.</t>
    </r>
  </si>
  <si>
    <t>The Member AI Chat ensures compliance and risk management through:
• Pre-Deployment Validation: Rigorous testing and review against CMS, DMHC, and HIPAA requirements before launch
• Risk Assessment: Formal evaluation of AI-related risks aligned with enterprise risk appetite and governance frameworks
• Ongoing Monitoring: Continuous surveillance of AI outputs to detect anomalies, errors, or compliance drift
• Audit Readiness: Maintained documentation and logs to support regulatory audits and internal reviews
• Issue Remediation: Defined escalation and correction protocols to promptly address non-compliance findings</t>
  </si>
  <si>
    <r>
      <rPr>
        <b/>
        <sz val="11"/>
        <color theme="1"/>
        <rFont val="Aptos Narrow"/>
        <family val="2"/>
        <scheme val="minor"/>
      </rPr>
      <t>TRAINING &amp; EDUCATION</t>
    </r>
    <r>
      <rPr>
        <sz val="11"/>
        <color theme="1"/>
        <rFont val="Aptos Narrow"/>
        <family val="2"/>
        <scheme val="minor"/>
      </rPr>
      <t xml:space="preserve">
• How employees/users will be trained or educated on the use of the AI solution?
• What resources will be available and how they can be accessed?
•  How will user error will be tracked and/or reported?
</t>
    </r>
  </si>
  <si>
    <t>The Member AI Chat ensures effective training and education through:
• Training: Role-based training  covering AI capabilities, escalation protocols, and compliance.
• Resources: Self-service knowledge base and user guides
• Error Tracking: Monitored via Genesys Cloud CX analytics and Sierra AI platform monitoring; quality reviews identify gaps and inform ongoing training.</t>
  </si>
  <si>
    <t>Risk Score &amp; Rating 
Refer to the tables to the right to complete this section.</t>
  </si>
  <si>
    <t>Enterprise Top Risk Category</t>
  </si>
  <si>
    <t>Artificial Intelligence</t>
  </si>
  <si>
    <t>What is the highest classification of data involved?</t>
  </si>
  <si>
    <t>Highly Sensitive</t>
  </si>
  <si>
    <t>Type of Highly Sensitive Data?</t>
  </si>
  <si>
    <t>PHI</t>
  </si>
  <si>
    <r>
      <t xml:space="preserve">Evaluate the impact of the risk </t>
    </r>
    <r>
      <rPr>
        <b/>
        <i/>
        <u/>
        <sz val="12"/>
        <color rgb="FFFFC000"/>
        <rFont val="Aptos Narrow"/>
        <family val="2"/>
        <scheme val="minor"/>
      </rPr>
      <t>before</t>
    </r>
    <r>
      <rPr>
        <b/>
        <sz val="12"/>
        <color theme="0"/>
        <rFont val="Aptos Narrow"/>
        <family val="2"/>
        <scheme val="minor"/>
      </rPr>
      <t xml:space="preserve"> any controls are put into place 
</t>
    </r>
  </si>
  <si>
    <t>Customer (Member/Provider/Employee) Impact</t>
  </si>
  <si>
    <t>Major</t>
  </si>
  <si>
    <t>[Please explain your selection (if necessary).]</t>
  </si>
  <si>
    <t>Reputational Impact</t>
  </si>
  <si>
    <t>Moderate</t>
  </si>
  <si>
    <t>Regulatory/Compliance/Legal Impact</t>
  </si>
  <si>
    <t>Operational Impact</t>
  </si>
  <si>
    <t>Financial Impact</t>
  </si>
  <si>
    <r>
      <t xml:space="preserve">Probability/Likelihood of occurrence </t>
    </r>
    <r>
      <rPr>
        <b/>
        <i/>
        <u/>
        <sz val="12"/>
        <color rgb="FFFFC000"/>
        <rFont val="Aptos Narrow"/>
        <family val="2"/>
        <scheme val="minor"/>
      </rPr>
      <t>before</t>
    </r>
    <r>
      <rPr>
        <b/>
        <sz val="12"/>
        <color theme="0"/>
        <rFont val="Aptos Narrow"/>
        <family val="2"/>
        <scheme val="minor"/>
      </rPr>
      <t xml:space="preserve"> any controls are put into place.</t>
    </r>
  </si>
  <si>
    <t>Probability (Likelihood)</t>
  </si>
  <si>
    <t>Unlikely</t>
  </si>
  <si>
    <r>
      <t xml:space="preserve">Evaluate impact </t>
    </r>
    <r>
      <rPr>
        <b/>
        <i/>
        <u/>
        <sz val="12"/>
        <color rgb="FFFFC000"/>
        <rFont val="Aptos Narrow"/>
        <family val="2"/>
        <scheme val="minor"/>
      </rPr>
      <t>after</t>
    </r>
    <r>
      <rPr>
        <b/>
        <sz val="12"/>
        <color theme="0"/>
        <rFont val="Aptos Narrow"/>
        <family val="2"/>
        <scheme val="minor"/>
      </rPr>
      <t xml:space="preserve"> controls are put in place | Select the option most aligned to your current status.</t>
    </r>
  </si>
  <si>
    <t xml:space="preserve">Mitigation Effectiveness (Controls in Place)
</t>
  </si>
  <si>
    <t>Highly</t>
  </si>
  <si>
    <t>Risk Results</t>
  </si>
  <si>
    <t>Total Risk Score</t>
  </si>
  <si>
    <t>Risk Rating</t>
  </si>
  <si>
    <r>
      <rPr>
        <b/>
        <sz val="11"/>
        <color theme="1"/>
        <rFont val="Aptos Narrow"/>
        <family val="2"/>
        <scheme val="minor"/>
      </rPr>
      <t>Overall Status to Mitigation Plan</t>
    </r>
    <r>
      <rPr>
        <sz val="11"/>
        <color theme="1"/>
        <rFont val="Aptos Narrow"/>
        <family val="2"/>
        <scheme val="minor"/>
      </rPr>
      <t xml:space="preserve">
</t>
    </r>
  </si>
  <si>
    <t>For Committee Use Only</t>
  </si>
  <si>
    <t>Committee Decision</t>
  </si>
  <si>
    <t>[Completed by BSC AI Governance Team]</t>
  </si>
  <si>
    <t>Committee Decision Date</t>
  </si>
  <si>
    <t xml:space="preserve">AI Governance Committee Approved with Conditions Details </t>
  </si>
  <si>
    <r>
      <t>Actions to be taken to address concerns/feedback. Examples include but are not limited to:</t>
    </r>
    <r>
      <rPr>
        <sz val="11"/>
        <rFont val="Aptos Narrow"/>
        <family val="2"/>
        <scheme val="minor"/>
      </rPr>
      <t xml:space="preserve">
• Policy &amp; Procedures must be current and compliant with applicable regulations/requirements/rules.
• Employee training or re-education must be conducted to demonstrate staff knowledge and reduce human error
• Monitoring &amp; oversight processes are required to demonstrate ongoing effectiveness of mitigation
• Applicable technology or system challenges/fixes must be identified to demonstrate end-to-end mitigation
• If applicable, outreach to members or providers must be performed to prevent abrasion and other complaints</t>
    </r>
  </si>
  <si>
    <t>Requirement</t>
  </si>
  <si>
    <t>Start Date</t>
  </si>
  <si>
    <t>End Date</t>
  </si>
  <si>
    <t>Task #1:</t>
  </si>
  <si>
    <t>Task #2:</t>
  </si>
  <si>
    <t xml:space="preserve">Task #3: </t>
  </si>
  <si>
    <t>Task #4:</t>
  </si>
  <si>
    <t>Stellarus Status</t>
  </si>
  <si>
    <t>Line of Business</t>
  </si>
  <si>
    <t>Type of HS Data</t>
  </si>
  <si>
    <t>Primary Business Area</t>
  </si>
  <si>
    <t>[Required response]</t>
  </si>
  <si>
    <t>All</t>
  </si>
  <si>
    <t>PCI</t>
  </si>
  <si>
    <t>Brand &amp; Reputation</t>
  </si>
  <si>
    <t xml:space="preserve"> Behavioral Health</t>
  </si>
  <si>
    <t>Awaiting EA</t>
  </si>
  <si>
    <t>Individual &amp; Family Plans</t>
  </si>
  <si>
    <t>PCI, PII</t>
  </si>
  <si>
    <t>Clinical Quality</t>
  </si>
  <si>
    <t xml:space="preserve"> Benefit Configuration</t>
  </si>
  <si>
    <t>Awaiting ISRO</t>
  </si>
  <si>
    <t>Medicare</t>
  </si>
  <si>
    <t>PCI, PHI</t>
  </si>
  <si>
    <t>Financial</t>
  </si>
  <si>
    <t xml:space="preserve"> Case Management</t>
  </si>
  <si>
    <t>Awaiting SteerCo Committee Approval</t>
  </si>
  <si>
    <t>Medi-Cal</t>
  </si>
  <si>
    <t>PCI, PHI, PII</t>
  </si>
  <si>
    <t>Information Security (Internal and External)</t>
  </si>
  <si>
    <t xml:space="preserve"> Compliance &amp; Ethics</t>
  </si>
  <si>
    <t>Ideation or Paused</t>
  </si>
  <si>
    <t>Middle Market</t>
  </si>
  <si>
    <t>Membership Growth, Retention &amp; Competitive Advantage</t>
  </si>
  <si>
    <t xml:space="preserve"> Corporate Safety &amp; Security</t>
  </si>
  <si>
    <t>Stellarus AIG Not Required</t>
  </si>
  <si>
    <t>Premier</t>
  </si>
  <si>
    <t>PHI, PII</t>
  </si>
  <si>
    <t>Operational Compliance</t>
  </si>
  <si>
    <t xml:space="preserve"> Delegation Oversight</t>
  </si>
  <si>
    <t>In Pilot</t>
  </si>
  <si>
    <t>Select Markets</t>
  </si>
  <si>
    <t>PII</t>
  </si>
  <si>
    <t>Operational Execution</t>
  </si>
  <si>
    <t>In Production</t>
  </si>
  <si>
    <t>Small Business</t>
  </si>
  <si>
    <t>N/A</t>
  </si>
  <si>
    <t>People</t>
  </si>
  <si>
    <t xml:space="preserve"> Fraud/Waste/Abuse</t>
  </si>
  <si>
    <t>Rejected</t>
  </si>
  <si>
    <t>Specialty</t>
  </si>
  <si>
    <t>Provider Partnerships/Performance Management</t>
  </si>
  <si>
    <t xml:space="preserve"> Global Business Services/Vendor Management</t>
  </si>
  <si>
    <t>Cancelled</t>
  </si>
  <si>
    <t>Socio-Economic, Political, Competitive, Catastrophic, Climate</t>
  </si>
  <si>
    <t>Strategy - Value Realization</t>
  </si>
  <si>
    <t xml:space="preserve"> Installation/Billing/Enrollment</t>
  </si>
  <si>
    <t>Vendor Management and Oversight</t>
  </si>
  <si>
    <t xml:space="preserve"> Legal</t>
  </si>
  <si>
    <t xml:space="preserve"> Marketing</t>
  </si>
  <si>
    <t xml:space="preserve"> People &amp; Engagement</t>
  </si>
  <si>
    <t xml:space="preserve"> Pharmacy</t>
  </si>
  <si>
    <t xml:space="preserve"> Privacy</t>
  </si>
  <si>
    <t xml:space="preserve"> Product Management</t>
  </si>
  <si>
    <t xml:space="preserve"> Provider Network</t>
  </si>
  <si>
    <t xml:space="preserve"> Quality Management</t>
  </si>
  <si>
    <t xml:space="preserve"> Sales Account Management</t>
  </si>
  <si>
    <t xml:space="preserve"> Utilization Management</t>
  </si>
  <si>
    <t xml:space="preserve"> Workplace Experience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</si>
</sst>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
  </numFmts>
  <fonts count="28">
    <font>
      <sz val="11"/>
      <color theme="1"/>
      <name val="Aptos Narrow"/>
      <family val="2"/>
      <scheme val="minor"/>
    </font>
    <font>
      <b/>
      <sz val="11"/>
      <color theme="0"/>
      <name val="Aptos Narrow"/>
      <family val="2"/>
      <scheme val="minor"/>
    </font>
    <font>
      <sz val="11"/>
      <color rgb="FFFF0000"/>
      <name val="Aptos Narrow"/>
      <family val="2"/>
      <scheme val="minor"/>
    </font>
    <font>
      <b/>
      <sz val="11"/>
      <color theme="1"/>
      <name val="Aptos Narrow"/>
      <family val="2"/>
      <scheme val="minor"/>
    </font>
    <font>
      <b/>
      <sz val="14"/>
      <color theme="1"/>
      <name val="Aptos Narrow"/>
      <family val="2"/>
      <scheme val="minor"/>
    </font>
    <font>
      <u/>
      <sz val="11"/>
      <color theme="1"/>
      <name val="Aptos Narrow"/>
      <family val="2"/>
      <scheme val="minor"/>
    </font>
    <font>
      <b/>
      <sz val="11"/>
      <name val="Aptos Narrow"/>
      <family val="2"/>
      <scheme val="minor"/>
    </font>
    <font>
      <sz val="11"/>
      <name val="Aptos Narrow"/>
      <family val="2"/>
      <scheme val="minor"/>
    </font>
    <font>
      <b/>
      <sz val="12"/>
      <color theme="0"/>
      <name val="Aptos Narrow"/>
      <family val="2"/>
      <scheme val="minor"/>
    </font>
    <font>
      <b/>
      <sz val="11"/>
      <color rgb="FF000000"/>
      <name val="Aptos Narrow"/>
      <family val="2"/>
      <scheme val="minor"/>
    </font>
    <font>
      <sz val="11"/>
      <color rgb="FF000000"/>
      <name val="Aptos Narrow"/>
      <family val="2"/>
      <scheme val="minor"/>
    </font>
    <font>
      <sz val="11"/>
      <color rgb="FF0070C0"/>
      <name val="Aptos Narrow"/>
      <family val="2"/>
      <scheme val="minor"/>
    </font>
    <font>
      <b/>
      <sz val="14"/>
      <color theme="0"/>
      <name val="Aptos Narrow"/>
      <family val="2"/>
      <scheme val="minor"/>
    </font>
    <font>
      <strike/>
      <sz val="11"/>
      <color theme="1"/>
      <name val="Aptos Narrow"/>
      <family val="2"/>
      <scheme val="minor"/>
    </font>
    <font>
      <b/>
      <i/>
      <u/>
      <sz val="12"/>
      <color rgb="FFFFC000"/>
      <name val="Aptos Narrow"/>
      <family val="2"/>
      <scheme val="minor"/>
    </font>
    <font>
      <sz val="11"/>
      <color theme="1"/>
      <name val="Aptos Narrow"/>
      <family val="2"/>
      <scheme val="minor"/>
    </font>
    <font>
      <sz val="9"/>
      <color theme="1"/>
      <name val="Aptos Narrow"/>
      <family val="2"/>
      <scheme val="minor"/>
    </font>
    <font>
      <i/>
      <sz val="9"/>
      <color theme="1"/>
      <name val="Aptos Narrow"/>
      <family val="2"/>
      <scheme val="minor"/>
    </font>
    <font>
      <sz val="11"/>
      <color theme="0"/>
      <name val="Aptos Narrow"/>
      <family val="2"/>
      <scheme val="minor"/>
    </font>
    <font>
      <b/>
      <sz val="9"/>
      <color theme="1"/>
      <name val="Aptos Narrow"/>
      <family val="2"/>
      <scheme val="minor"/>
    </font>
    <font>
      <sz val="9"/>
      <name val="Aptos Narrow"/>
      <family val="2"/>
      <scheme val="minor"/>
    </font>
    <font>
      <b/>
      <sz val="9"/>
      <name val="Aptos Narrow"/>
      <family val="2"/>
      <scheme val="minor"/>
    </font>
    <font>
      <b/>
      <sz val="11"/>
      <color rgb="FF0070C0"/>
      <name val="Aptos Narrow"/>
      <family val="2"/>
      <scheme val="minor"/>
    </font>
    <font>
      <b/>
      <sz val="14"/>
      <color rgb="FF0070C0"/>
      <name val="Aptos Narrow"/>
      <family val="2"/>
      <scheme val="minor"/>
    </font>
    <font>
      <sz val="12"/>
      <color rgb="FFFF0000"/>
      <name val="Aptos Narrow"/>
      <family val="2"/>
      <scheme val="minor"/>
    </font>
    <font>
      <b/>
      <sz val="12"/>
      <name val="Aptos Narrow"/>
      <family val="2"/>
      <scheme val="minor"/>
    </font>
    <font>
      <u/>
      <sz val="11"/>
      <color theme="10"/>
      <name val="Aptos Narrow"/>
      <family val="2"/>
      <scheme val="minor"/>
    </font>
    <font>
      <b/>
      <u/>
      <sz val="11"/>
      <color theme="5"/>
      <name val="Aptos Narrow"/>
      <family val="2"/>
      <scheme val="minor"/>
    </font>
  </fonts>
  <fills count="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theme="3"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s>
  <cellStyleXfs count="3">
    <xf numFmtId="0" fontId="0" fillId="0" borderId="0"/>
    <xf numFmtId="9" fontId="15" fillId="0" borderId="0" applyFont="0" applyFill="0" applyBorder="0" applyAlignment="0" applyProtection="0"/>
    <xf numFmtId="0" fontId="26" fillId="0" borderId="0" applyNumberFormat="0" applyFill="0" applyBorder="0" applyAlignment="0" applyProtection="0"/>
  </cellStyleXfs>
  <cellXfs count="95">
    <xf numFmtId="0" fontId="0" fillId="0" borderId="0" xfId="0"/>
    <xf numFmtId="0" fontId="0" fillId="2" borderId="0" xfId="0" applyFill="1"/>
    <xf numFmtId="0" fontId="1" fillId="3" borderId="1" xfId="0" applyFont="1" applyFill="1" applyBorder="1" applyAlignment="1">
      <alignment horizontal="center"/>
    </xf>
    <xf numFmtId="0" fontId="0" fillId="2" borderId="1" xfId="0" applyFill="1" applyBorder="1" applyAlignment="1">
      <alignment vertical="top" wrapText="1"/>
    </xf>
    <xf numFmtId="0" fontId="3" fillId="2" borderId="1" xfId="0" applyFont="1" applyFill="1" applyBorder="1" applyAlignment="1">
      <alignment vertical="top" wrapText="1"/>
    </xf>
    <xf numFmtId="0" fontId="0" fillId="2" borderId="1" xfId="0" applyFill="1" applyBorder="1" applyAlignment="1">
      <alignment vertical="top"/>
    </xf>
    <xf numFmtId="0" fontId="0" fillId="2" borderId="0" xfId="0" applyFill="1" applyAlignment="1">
      <alignment vertical="top" wrapText="1"/>
    </xf>
    <xf numFmtId="0" fontId="2" fillId="2" borderId="0" xfId="0" applyFont="1" applyFill="1" applyAlignment="1">
      <alignment horizontal="left" vertical="top"/>
    </xf>
    <xf numFmtId="0" fontId="0" fillId="2" borderId="0" xfId="0" quotePrefix="1" applyFill="1"/>
    <xf numFmtId="0" fontId="2" fillId="2" borderId="1" xfId="0" applyFont="1" applyFill="1" applyBorder="1" applyAlignment="1">
      <alignment vertical="top" wrapText="1"/>
    </xf>
    <xf numFmtId="0" fontId="0" fillId="2" borderId="0" xfId="0" applyFill="1" applyAlignment="1">
      <alignment vertical="top"/>
    </xf>
    <xf numFmtId="0" fontId="0" fillId="2" borderId="1" xfId="0" applyFill="1" applyBorder="1" applyAlignment="1">
      <alignment horizontal="center" vertical="top" wrapText="1"/>
    </xf>
    <xf numFmtId="0" fontId="0" fillId="2" borderId="1" xfId="0" applyFill="1" applyBorder="1" applyAlignment="1">
      <alignment horizontal="left" vertical="top" wrapText="1"/>
    </xf>
    <xf numFmtId="14" fontId="0" fillId="2" borderId="1" xfId="0" applyNumberFormat="1" applyFill="1" applyBorder="1" applyAlignment="1">
      <alignment vertical="top"/>
    </xf>
    <xf numFmtId="49" fontId="0" fillId="0" borderId="0" xfId="0" applyNumberFormat="1"/>
    <xf numFmtId="0" fontId="0" fillId="2" borderId="0" xfId="0" applyFill="1" applyAlignment="1">
      <alignment wrapText="1"/>
    </xf>
    <xf numFmtId="0" fontId="0" fillId="0" borderId="1" xfId="0" applyBorder="1" applyAlignment="1">
      <alignment vertical="top" wrapText="1"/>
    </xf>
    <xf numFmtId="0" fontId="3" fillId="2" borderId="5" xfId="0" applyFont="1" applyFill="1" applyBorder="1" applyAlignment="1">
      <alignment vertical="top" wrapText="1"/>
    </xf>
    <xf numFmtId="0" fontId="3" fillId="0" borderId="2" xfId="0" applyFont="1" applyBorder="1" applyAlignment="1">
      <alignment vertical="top" wrapText="1"/>
    </xf>
    <xf numFmtId="0" fontId="6" fillId="2" borderId="2" xfId="0" applyFont="1" applyFill="1" applyBorder="1" applyAlignment="1">
      <alignment vertical="top" wrapText="1"/>
    </xf>
    <xf numFmtId="0" fontId="3" fillId="0" borderId="1" xfId="0" applyFont="1" applyBorder="1" applyAlignment="1">
      <alignment vertical="top" wrapText="1"/>
    </xf>
    <xf numFmtId="164" fontId="0" fillId="2" borderId="0" xfId="1" applyNumberFormat="1" applyFont="1" applyFill="1"/>
    <xf numFmtId="0" fontId="0" fillId="2" borderId="0" xfId="1" applyNumberFormat="1" applyFont="1" applyFill="1"/>
    <xf numFmtId="0" fontId="7" fillId="2" borderId="0" xfId="0" applyFont="1" applyFill="1" applyAlignment="1">
      <alignment horizontal="right"/>
    </xf>
    <xf numFmtId="0" fontId="0" fillId="2" borderId="2" xfId="0" applyFill="1" applyBorder="1" applyAlignment="1">
      <alignment horizontal="left" vertical="top" wrapText="1"/>
    </xf>
    <xf numFmtId="0" fontId="13" fillId="2" borderId="1" xfId="0" applyFont="1" applyFill="1" applyBorder="1" applyAlignment="1">
      <alignment horizontal="left" vertical="top" wrapText="1"/>
    </xf>
    <xf numFmtId="0" fontId="7" fillId="0" borderId="1" xfId="0" applyFont="1" applyBorder="1" applyAlignment="1">
      <alignment vertical="top" wrapText="1"/>
    </xf>
    <xf numFmtId="0" fontId="0" fillId="0" borderId="0" xfId="0" applyAlignment="1">
      <alignment vertical="top"/>
    </xf>
    <xf numFmtId="0" fontId="2" fillId="2" borderId="1" xfId="0" applyFont="1" applyFill="1" applyBorder="1" applyAlignment="1">
      <alignment horizontal="left" vertical="top"/>
    </xf>
    <xf numFmtId="0" fontId="0" fillId="2" borderId="0" xfId="0" applyFill="1" applyAlignment="1">
      <alignment horizontal="center" vertical="top"/>
    </xf>
    <xf numFmtId="0" fontId="3" fillId="2" borderId="1" xfId="0" applyFont="1" applyFill="1" applyBorder="1"/>
    <xf numFmtId="0" fontId="8" fillId="4" borderId="1" xfId="0" applyFont="1" applyFill="1" applyBorder="1" applyAlignment="1">
      <alignment horizontal="center" wrapText="1"/>
    </xf>
    <xf numFmtId="0" fontId="0" fillId="2" borderId="1" xfId="0" applyFill="1" applyBorder="1"/>
    <xf numFmtId="0" fontId="3" fillId="2" borderId="1" xfId="0" applyFont="1" applyFill="1" applyBorder="1" applyAlignment="1">
      <alignment horizontal="center" vertical="center"/>
    </xf>
    <xf numFmtId="0" fontId="6" fillId="2" borderId="1" xfId="0" applyFont="1" applyFill="1" applyBorder="1" applyAlignment="1">
      <alignment horizontal="center" vertical="top"/>
    </xf>
    <xf numFmtId="0" fontId="18" fillId="3" borderId="0" xfId="0" applyFont="1" applyFill="1"/>
    <xf numFmtId="0" fontId="11" fillId="2" borderId="1" xfId="0" applyFont="1" applyFill="1" applyBorder="1" applyAlignment="1">
      <alignment horizontal="center" vertical="top" wrapText="1"/>
    </xf>
    <xf numFmtId="14" fontId="11" fillId="2" borderId="1" xfId="0" applyNumberFormat="1" applyFont="1" applyFill="1" applyBorder="1" applyAlignment="1">
      <alignment horizontal="center" wrapText="1"/>
    </xf>
    <xf numFmtId="0" fontId="3" fillId="0" borderId="0" xfId="0" applyFont="1" applyAlignment="1">
      <alignment vertical="top"/>
    </xf>
    <xf numFmtId="0" fontId="0" fillId="0" borderId="0" xfId="0" applyAlignment="1">
      <alignment horizontal="left" indent="2"/>
    </xf>
    <xf numFmtId="0" fontId="4" fillId="2" borderId="0" xfId="0" applyFont="1" applyFill="1" applyAlignment="1">
      <alignment horizontal="center"/>
    </xf>
    <xf numFmtId="0" fontId="24" fillId="2" borderId="1" xfId="0" applyFont="1" applyFill="1" applyBorder="1" applyAlignment="1">
      <alignment horizontal="center"/>
    </xf>
    <xf numFmtId="0" fontId="7" fillId="2" borderId="1" xfId="0" applyFont="1" applyFill="1" applyBorder="1" applyAlignment="1">
      <alignment vertical="top" wrapText="1"/>
    </xf>
    <xf numFmtId="0" fontId="7" fillId="2" borderId="1" xfId="0" applyFont="1" applyFill="1" applyBorder="1"/>
    <xf numFmtId="0" fontId="25" fillId="2" borderId="1" xfId="0" applyFont="1" applyFill="1" applyBorder="1" applyAlignment="1">
      <alignment horizontal="center" vertical="top" wrapText="1"/>
    </xf>
    <xf numFmtId="0" fontId="3" fillId="0" borderId="0" xfId="0" applyFont="1"/>
    <xf numFmtId="0" fontId="22" fillId="0" borderId="0" xfId="0" applyFont="1"/>
    <xf numFmtId="0" fontId="1" fillId="0" borderId="0" xfId="0" applyFont="1" applyAlignment="1">
      <alignment horizontal="center"/>
    </xf>
    <xf numFmtId="0" fontId="0" fillId="0" borderId="1" xfId="0" applyBorder="1" applyAlignment="1">
      <alignment horizontal="center" vertical="top" wrapText="1"/>
    </xf>
    <xf numFmtId="0" fontId="6" fillId="0" borderId="1" xfId="0" applyFont="1" applyBorder="1" applyAlignment="1">
      <alignment horizontal="center" vertical="center"/>
    </xf>
    <xf numFmtId="0" fontId="8" fillId="4" borderId="2" xfId="0" applyFont="1" applyFill="1" applyBorder="1" applyAlignment="1">
      <alignment horizontal="center" vertical="top" wrapText="1"/>
    </xf>
    <xf numFmtId="0" fontId="8" fillId="4" borderId="4" xfId="0" applyFont="1" applyFill="1" applyBorder="1" applyAlignment="1">
      <alignment horizontal="center" vertical="top" wrapText="1"/>
    </xf>
    <xf numFmtId="0" fontId="8" fillId="4" borderId="3" xfId="0" applyFont="1" applyFill="1" applyBorder="1" applyAlignment="1">
      <alignment horizontal="center" vertical="top" wrapText="1"/>
    </xf>
    <xf numFmtId="0" fontId="0" fillId="2" borderId="1" xfId="0" applyFill="1" applyBorder="1" applyAlignment="1">
      <alignment horizontal="center" vertical="top" wrapText="1"/>
    </xf>
    <xf numFmtId="0" fontId="2" fillId="2" borderId="1" xfId="0" applyFont="1" applyFill="1" applyBorder="1" applyAlignment="1">
      <alignment horizontal="center" vertical="top" wrapText="1"/>
    </xf>
    <xf numFmtId="0" fontId="4" fillId="2" borderId="0" xfId="0" applyFont="1" applyFill="1" applyAlignment="1">
      <alignment horizontal="center"/>
    </xf>
    <xf numFmtId="0" fontId="8" fillId="3" borderId="1" xfId="0" applyFont="1" applyFill="1" applyBorder="1" applyAlignment="1">
      <alignment horizontal="center"/>
    </xf>
    <xf numFmtId="0" fontId="0" fillId="2" borderId="1" xfId="0" applyFill="1" applyBorder="1" applyAlignment="1">
      <alignment horizontal="left" vertical="top" wrapText="1"/>
    </xf>
    <xf numFmtId="0" fontId="0" fillId="0" borderId="2" xfId="0" applyBorder="1" applyAlignment="1">
      <alignment vertical="top" wrapText="1"/>
    </xf>
    <xf numFmtId="0" fontId="0" fillId="0" borderId="3" xfId="0" applyBorder="1" applyAlignment="1">
      <alignment vertical="top" wrapText="1"/>
    </xf>
    <xf numFmtId="0" fontId="3" fillId="2" borderId="2" xfId="0" applyFont="1" applyFill="1" applyBorder="1" applyAlignment="1">
      <alignment vertical="top" wrapText="1"/>
    </xf>
    <xf numFmtId="0" fontId="3" fillId="2" borderId="3" xfId="0" applyFont="1" applyFill="1" applyBorder="1" applyAlignment="1">
      <alignment vertical="top" wrapText="1"/>
    </xf>
    <xf numFmtId="0" fontId="2" fillId="2" borderId="1" xfId="0" applyFont="1" applyFill="1" applyBorder="1" applyAlignment="1">
      <alignment horizontal="left" vertical="top" wrapText="1"/>
    </xf>
    <xf numFmtId="0" fontId="8" fillId="3" borderId="1" xfId="0" applyFont="1" applyFill="1" applyBorder="1" applyAlignment="1">
      <alignment horizontal="center" wrapText="1"/>
    </xf>
    <xf numFmtId="0" fontId="0" fillId="2" borderId="1" xfId="0" applyFill="1" applyBorder="1" applyAlignment="1">
      <alignment vertical="top" wrapText="1"/>
    </xf>
    <xf numFmtId="0" fontId="9" fillId="2" borderId="1" xfId="0" applyFont="1" applyFill="1" applyBorder="1" applyAlignment="1">
      <alignment horizontal="left" vertical="top" wrapText="1"/>
    </xf>
    <xf numFmtId="0" fontId="0" fillId="2" borderId="2" xfId="0" applyFill="1" applyBorder="1" applyAlignment="1">
      <alignment vertical="top" wrapText="1"/>
    </xf>
    <xf numFmtId="0" fontId="0" fillId="2" borderId="3" xfId="0" applyFill="1" applyBorder="1" applyAlignment="1">
      <alignment vertical="top" wrapText="1"/>
    </xf>
    <xf numFmtId="0" fontId="2" fillId="2" borderId="1" xfId="0" applyFont="1" applyFill="1" applyBorder="1" applyAlignment="1">
      <alignment vertical="top" wrapText="1"/>
    </xf>
    <xf numFmtId="0" fontId="8" fillId="3" borderId="1" xfId="0" applyFont="1" applyFill="1" applyBorder="1" applyAlignment="1">
      <alignment horizontal="center" vertical="top" wrapText="1"/>
    </xf>
    <xf numFmtId="0" fontId="8" fillId="3" borderId="1" xfId="0" applyFont="1" applyFill="1" applyBorder="1" applyAlignment="1">
      <alignment horizontal="center" vertical="top"/>
    </xf>
    <xf numFmtId="0" fontId="2" fillId="2" borderId="1" xfId="0" applyFont="1" applyFill="1" applyBorder="1" applyAlignment="1">
      <alignment horizontal="left" vertical="top"/>
    </xf>
    <xf numFmtId="0" fontId="12" fillId="4" borderId="2" xfId="0" applyFont="1" applyFill="1" applyBorder="1" applyAlignment="1">
      <alignment horizontal="center"/>
    </xf>
    <xf numFmtId="0" fontId="12" fillId="4" borderId="4" xfId="0" applyFont="1" applyFill="1" applyBorder="1" applyAlignment="1">
      <alignment horizontal="center"/>
    </xf>
    <xf numFmtId="0" fontId="12" fillId="4" borderId="3" xfId="0" applyFont="1" applyFill="1" applyBorder="1" applyAlignment="1">
      <alignment horizontal="center"/>
    </xf>
    <xf numFmtId="0" fontId="27" fillId="2" borderId="6" xfId="2" applyFont="1" applyFill="1" applyBorder="1" applyAlignment="1">
      <alignment horizontal="center"/>
    </xf>
    <xf numFmtId="0" fontId="11" fillId="2" borderId="1" xfId="0" applyFont="1" applyFill="1" applyBorder="1" applyAlignment="1">
      <alignment horizontal="left" vertical="top"/>
    </xf>
    <xf numFmtId="14" fontId="11" fillId="2" borderId="1" xfId="0" applyNumberFormat="1" applyFont="1" applyFill="1" applyBorder="1" applyAlignment="1">
      <alignment horizontal="left" vertical="top"/>
    </xf>
    <xf numFmtId="0" fontId="6" fillId="2" borderId="2" xfId="0" applyFont="1" applyFill="1" applyBorder="1" applyAlignment="1">
      <alignment horizontal="left" vertical="top" wrapText="1"/>
    </xf>
    <xf numFmtId="0" fontId="6" fillId="2" borderId="4" xfId="0" applyFont="1" applyFill="1" applyBorder="1" applyAlignment="1">
      <alignment horizontal="left" vertical="top" wrapText="1"/>
    </xf>
    <xf numFmtId="0" fontId="6" fillId="2" borderId="3" xfId="0" applyFont="1" applyFill="1" applyBorder="1" applyAlignment="1">
      <alignment horizontal="left" vertical="top" wrapText="1"/>
    </xf>
    <xf numFmtId="0" fontId="0" fillId="2" borderId="2" xfId="0" applyFill="1" applyBorder="1" applyAlignment="1">
      <alignment horizontal="center" vertical="top" wrapText="1"/>
    </xf>
    <xf numFmtId="0" fontId="0" fillId="2" borderId="3" xfId="0" applyFill="1" applyBorder="1" applyAlignment="1">
      <alignment horizontal="center" vertical="top" wrapText="1"/>
    </xf>
    <xf numFmtId="0" fontId="8" fillId="3" borderId="2" xfId="0" applyFont="1" applyFill="1" applyBorder="1" applyAlignment="1">
      <alignment horizontal="center" vertical="top" wrapText="1"/>
    </xf>
    <xf numFmtId="0" fontId="8" fillId="3" borderId="4" xfId="0" applyFont="1" applyFill="1" applyBorder="1" applyAlignment="1">
      <alignment horizontal="center" vertical="top" wrapText="1"/>
    </xf>
    <xf numFmtId="0" fontId="8" fillId="3" borderId="3" xfId="0" applyFont="1" applyFill="1" applyBorder="1" applyAlignment="1">
      <alignment horizontal="center" vertical="top" wrapText="1"/>
    </xf>
    <xf numFmtId="0" fontId="9" fillId="2" borderId="2" xfId="0" applyFont="1" applyFill="1" applyBorder="1" applyAlignment="1">
      <alignment horizontal="left" vertical="top" wrapText="1"/>
    </xf>
    <xf numFmtId="0" fontId="9" fillId="2" borderId="3" xfId="0" applyFont="1" applyFill="1" applyBorder="1" applyAlignment="1">
      <alignment horizontal="left" vertical="top" wrapText="1"/>
    </xf>
    <xf numFmtId="0" fontId="8" fillId="3" borderId="5" xfId="0" applyFont="1" applyFill="1" applyBorder="1" applyAlignment="1">
      <alignment horizontal="center" vertical="top" wrapText="1"/>
    </xf>
    <xf numFmtId="0" fontId="8" fillId="3" borderId="6" xfId="0" applyFont="1" applyFill="1" applyBorder="1" applyAlignment="1">
      <alignment horizontal="center" vertical="top" wrapText="1"/>
    </xf>
    <xf numFmtId="0" fontId="8" fillId="3" borderId="7" xfId="0" applyFont="1" applyFill="1" applyBorder="1" applyAlignment="1">
      <alignment horizontal="center" vertical="top" wrapText="1"/>
    </xf>
    <xf numFmtId="0" fontId="8" fillId="3" borderId="0" xfId="0" applyFont="1" applyFill="1" applyAlignment="1">
      <alignment horizontal="center" vertical="top" wrapText="1"/>
    </xf>
    <xf numFmtId="0" fontId="23" fillId="2" borderId="0" xfId="0" applyFont="1" applyFill="1" applyAlignment="1">
      <alignment horizontal="center"/>
    </xf>
    <xf numFmtId="0" fontId="1" fillId="3" borderId="0" xfId="0" applyFont="1" applyFill="1" applyAlignment="1">
      <alignment horizontal="center"/>
    </xf>
    <xf numFmtId="0" fontId="12" fillId="3" borderId="0" xfId="0" applyFont="1" applyFill="1" applyAlignment="1">
      <alignment horizontal="center" vertical="center" wrapText="1"/>
    </xf>
  </cellXfs>
  <cellStyles count="3">
    <cellStyle name="Hyperlink" xfId="2" builtinId="8"/>
    <cellStyle name="Normal" xfId="0" builtinId="0"/>
    <cellStyle name="Percent" xfId="1" builtinId="5"/>
  </cellStyles>
  <dxfs count="14">
    <dxf>
      <font>
        <b/>
        <i val="0"/>
        <color rgb="FFFFC000"/>
      </font>
    </dxf>
    <dxf>
      <font>
        <b/>
        <i val="0"/>
        <color rgb="FF9C0006"/>
      </font>
    </dxf>
    <dxf>
      <font>
        <b/>
        <i val="0"/>
        <color rgb="FF00B050"/>
      </font>
    </dxf>
    <dxf>
      <font>
        <strike val="0"/>
        <color rgb="FFFF0000"/>
      </font>
    </dxf>
    <dxf>
      <font>
        <strike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85726</xdr:colOff>
      <xdr:row>9</xdr:row>
      <xdr:rowOff>28575</xdr:rowOff>
    </xdr:from>
    <xdr:to>
      <xdr:col>3</xdr:col>
      <xdr:colOff>1076326</xdr:colOff>
      <xdr:row>17</xdr:row>
      <xdr:rowOff>157820</xdr:rowOff>
    </xdr:to>
    <xdr:pic>
      <xdr:nvPicPr>
        <xdr:cNvPr id="2" name="Picture 1">
          <a:extLst>
            <a:ext uri="{FF2B5EF4-FFF2-40B4-BE49-F238E27FC236}">
              <a16:creationId xmlns:a16="http://schemas.microsoft.com/office/drawing/2014/main" id="{75AD0817-64F0-E617-2F91-0581C4356334}"/>
            </a:ext>
          </a:extLst>
        </xdr:cNvPr>
        <xdr:cNvPicPr>
          <a:picLocks noChangeAspect="1"/>
        </xdr:cNvPicPr>
      </xdr:nvPicPr>
      <xdr:blipFill>
        <a:blip xmlns:r="http://schemas.openxmlformats.org/officeDocument/2006/relationships" r:embed="rId1"/>
        <a:stretch>
          <a:fillRect/>
        </a:stretch>
      </xdr:blipFill>
      <xdr:spPr>
        <a:xfrm>
          <a:off x="85726" y="2114550"/>
          <a:ext cx="5162550" cy="165324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220980</xdr:colOff>
      <xdr:row>43</xdr:row>
      <xdr:rowOff>152401</xdr:rowOff>
    </xdr:from>
    <xdr:to>
      <xdr:col>9</xdr:col>
      <xdr:colOff>53788</xdr:colOff>
      <xdr:row>66</xdr:row>
      <xdr:rowOff>167217</xdr:rowOff>
    </xdr:to>
    <xdr:grpSp>
      <xdr:nvGrpSpPr>
        <xdr:cNvPr id="2" name="Group 1">
          <a:extLst>
            <a:ext uri="{FF2B5EF4-FFF2-40B4-BE49-F238E27FC236}">
              <a16:creationId xmlns:a16="http://schemas.microsoft.com/office/drawing/2014/main" id="{4C7CFA74-AB63-0C12-91AA-43D1AF65919F}"/>
            </a:ext>
          </a:extLst>
        </xdr:cNvPr>
        <xdr:cNvGrpSpPr/>
      </xdr:nvGrpSpPr>
      <xdr:grpSpPr>
        <a:xfrm>
          <a:off x="9374505" y="28136851"/>
          <a:ext cx="4871533" cy="4977341"/>
          <a:chOff x="9936480" y="20947381"/>
          <a:chExt cx="5065843" cy="4904952"/>
        </a:xfrm>
      </xdr:grpSpPr>
      <xdr:pic>
        <xdr:nvPicPr>
          <xdr:cNvPr id="3" name="Picture 2">
            <a:extLst>
              <a:ext uri="{FF2B5EF4-FFF2-40B4-BE49-F238E27FC236}">
                <a16:creationId xmlns:a16="http://schemas.microsoft.com/office/drawing/2014/main" id="{BC8BA0D9-96E6-3BEC-E54F-5DCD95F80F49}"/>
              </a:ext>
            </a:extLst>
          </xdr:cNvPr>
          <xdr:cNvPicPr>
            <a:picLocks noChangeAspect="1"/>
          </xdr:cNvPicPr>
        </xdr:nvPicPr>
        <xdr:blipFill>
          <a:blip xmlns:r="http://schemas.openxmlformats.org/officeDocument/2006/relationships" r:embed="rId1"/>
          <a:stretch>
            <a:fillRect/>
          </a:stretch>
        </xdr:blipFill>
        <xdr:spPr>
          <a:xfrm>
            <a:off x="9937336" y="23489929"/>
            <a:ext cx="5009917" cy="2362404"/>
          </a:xfrm>
          <a:prstGeom prst="rect">
            <a:avLst/>
          </a:prstGeom>
        </xdr:spPr>
      </xdr:pic>
      <xdr:pic>
        <xdr:nvPicPr>
          <xdr:cNvPr id="4" name="Picture 3">
            <a:extLst>
              <a:ext uri="{FF2B5EF4-FFF2-40B4-BE49-F238E27FC236}">
                <a16:creationId xmlns:a16="http://schemas.microsoft.com/office/drawing/2014/main" id="{AD1D87EC-406A-C217-9D66-095EC8E9153C}"/>
              </a:ext>
            </a:extLst>
          </xdr:cNvPr>
          <xdr:cNvPicPr>
            <a:picLocks noChangeAspect="1"/>
          </xdr:cNvPicPr>
        </xdr:nvPicPr>
        <xdr:blipFill>
          <a:blip xmlns:r="http://schemas.openxmlformats.org/officeDocument/2006/relationships" r:embed="rId2"/>
          <a:stretch>
            <a:fillRect/>
          </a:stretch>
        </xdr:blipFill>
        <xdr:spPr>
          <a:xfrm>
            <a:off x="9936491" y="20947381"/>
            <a:ext cx="5065832" cy="1332769"/>
          </a:xfrm>
          <a:prstGeom prst="rect">
            <a:avLst/>
          </a:prstGeom>
        </xdr:spPr>
      </xdr:pic>
      <xdr:pic>
        <xdr:nvPicPr>
          <xdr:cNvPr id="5" name="Picture 4">
            <a:extLst>
              <a:ext uri="{FF2B5EF4-FFF2-40B4-BE49-F238E27FC236}">
                <a16:creationId xmlns:a16="http://schemas.microsoft.com/office/drawing/2014/main" id="{F8074810-9F34-9E73-47F0-F61E8D559363}"/>
              </a:ext>
            </a:extLst>
          </xdr:cNvPr>
          <xdr:cNvPicPr>
            <a:picLocks noChangeAspect="1"/>
          </xdr:cNvPicPr>
        </xdr:nvPicPr>
        <xdr:blipFill>
          <a:blip xmlns:r="http://schemas.openxmlformats.org/officeDocument/2006/relationships" r:embed="rId3"/>
          <a:stretch>
            <a:fillRect/>
          </a:stretch>
        </xdr:blipFill>
        <xdr:spPr>
          <a:xfrm>
            <a:off x="9936480" y="22317287"/>
            <a:ext cx="3417145" cy="1133301"/>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180974</xdr:colOff>
      <xdr:row>34</xdr:row>
      <xdr:rowOff>138722</xdr:rowOff>
    </xdr:to>
    <xdr:pic>
      <xdr:nvPicPr>
        <xdr:cNvPr id="2" name="Picture 1">
          <a:extLst>
            <a:ext uri="{FF2B5EF4-FFF2-40B4-BE49-F238E27FC236}">
              <a16:creationId xmlns:a16="http://schemas.microsoft.com/office/drawing/2014/main" id="{6CC86D6C-1E62-8281-E71E-C888DC3445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153774" cy="62918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11429</xdr:rowOff>
    </xdr:from>
    <xdr:to>
      <xdr:col>17</xdr:col>
      <xdr:colOff>433916</xdr:colOff>
      <xdr:row>64</xdr:row>
      <xdr:rowOff>54413</xdr:rowOff>
    </xdr:to>
    <xdr:pic>
      <xdr:nvPicPr>
        <xdr:cNvPr id="2" name="Picture 1">
          <a:extLst>
            <a:ext uri="{FF2B5EF4-FFF2-40B4-BE49-F238E27FC236}">
              <a16:creationId xmlns:a16="http://schemas.microsoft.com/office/drawing/2014/main" id="{A93B0373-A9C3-E50F-DFBE-151E473A79EC}"/>
            </a:ext>
          </a:extLst>
        </xdr:cNvPr>
        <xdr:cNvPicPr>
          <a:picLocks noChangeAspect="1"/>
        </xdr:cNvPicPr>
      </xdr:nvPicPr>
      <xdr:blipFill>
        <a:blip xmlns:r="http://schemas.openxmlformats.org/officeDocument/2006/relationships" r:embed="rId1"/>
        <a:stretch>
          <a:fillRect/>
        </a:stretch>
      </xdr:blipFill>
      <xdr:spPr>
        <a:xfrm>
          <a:off x="0" y="11429"/>
          <a:ext cx="10869083" cy="11557651"/>
        </a:xfrm>
        <a:prstGeom prst="rect">
          <a:avLst/>
        </a:prstGeom>
      </xdr:spPr>
    </xdr:pic>
    <xdr:clientData/>
  </xdr:twoCellAnchor>
  <xdr:twoCellAnchor editAs="oneCell">
    <xdr:from>
      <xdr:col>0</xdr:col>
      <xdr:colOff>0</xdr:colOff>
      <xdr:row>67</xdr:row>
      <xdr:rowOff>82180</xdr:rowOff>
    </xdr:from>
    <xdr:to>
      <xdr:col>31</xdr:col>
      <xdr:colOff>424118</xdr:colOff>
      <xdr:row>82</xdr:row>
      <xdr:rowOff>125094</xdr:rowOff>
    </xdr:to>
    <xdr:pic>
      <xdr:nvPicPr>
        <xdr:cNvPr id="4" name="Picture 3">
          <a:extLst>
            <a:ext uri="{FF2B5EF4-FFF2-40B4-BE49-F238E27FC236}">
              <a16:creationId xmlns:a16="http://schemas.microsoft.com/office/drawing/2014/main" id="{5E1A1996-C675-DE1C-6E3C-222D063366A8}"/>
            </a:ext>
          </a:extLst>
        </xdr:cNvPr>
        <xdr:cNvPicPr>
          <a:picLocks noChangeAspect="1"/>
        </xdr:cNvPicPr>
      </xdr:nvPicPr>
      <xdr:blipFill>
        <a:blip xmlns:r="http://schemas.openxmlformats.org/officeDocument/2006/relationships" r:embed="rId2"/>
        <a:stretch>
          <a:fillRect/>
        </a:stretch>
      </xdr:blipFill>
      <xdr:spPr>
        <a:xfrm>
          <a:off x="0" y="12047961"/>
          <a:ext cx="19247899" cy="272182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6907E-A0A8-4CA7-8EDE-302ACF7E7724}">
  <sheetPr codeName="Sheet1"/>
  <dimension ref="B1:G30"/>
  <sheetViews>
    <sheetView showGridLines="0" topLeftCell="A8" workbookViewId="0">
      <selection activeCell="H14" sqref="H14"/>
    </sheetView>
  </sheetViews>
  <sheetFormatPr defaultColWidth="8.85546875" defaultRowHeight="15"/>
  <cols>
    <col min="1" max="1" width="1.85546875" customWidth="1"/>
    <col min="2" max="2" width="34.85546875" customWidth="1"/>
    <col min="3" max="4" width="27.7109375" customWidth="1"/>
  </cols>
  <sheetData>
    <row r="1" spans="2:7" ht="31.35" customHeight="1">
      <c r="B1" s="92" t="s">
        <v>0</v>
      </c>
      <c r="C1" s="92"/>
      <c r="D1" s="92"/>
      <c r="E1" s="55"/>
      <c r="F1" s="55"/>
      <c r="G1" s="55"/>
    </row>
    <row r="2" spans="2:7" ht="14.45" customHeight="1">
      <c r="B2" s="40"/>
      <c r="C2" s="40"/>
      <c r="D2" s="40"/>
      <c r="E2" s="40"/>
      <c r="F2" s="40"/>
      <c r="G2" s="40"/>
    </row>
    <row r="3" spans="2:7" ht="40.5" customHeight="1">
      <c r="B3" s="94" t="s">
        <v>1</v>
      </c>
      <c r="C3" s="94"/>
      <c r="D3" s="94"/>
    </row>
    <row r="4" spans="2:7" ht="18.75">
      <c r="B4" s="55"/>
      <c r="C4" s="55"/>
      <c r="D4" s="55"/>
    </row>
    <row r="5" spans="2:7">
      <c r="B5" s="93" t="s">
        <v>2</v>
      </c>
      <c r="C5" s="93"/>
      <c r="D5" s="93"/>
    </row>
    <row r="6" spans="2:7">
      <c r="B6" s="47"/>
      <c r="C6" s="47"/>
      <c r="D6" s="47"/>
    </row>
    <row r="7" spans="2:7">
      <c r="B7" s="46" t="s">
        <v>3</v>
      </c>
    </row>
    <row r="8" spans="2:7">
      <c r="B8" s="45" t="s">
        <v>4</v>
      </c>
    </row>
    <row r="20" spans="2:2">
      <c r="B20" s="46" t="s">
        <v>5</v>
      </c>
    </row>
    <row r="21" spans="2:2">
      <c r="B21" s="45" t="s">
        <v>6</v>
      </c>
    </row>
    <row r="22" spans="2:2">
      <c r="B22" t="s">
        <v>7</v>
      </c>
    </row>
    <row r="23" spans="2:2">
      <c r="B23" s="39" t="s">
        <v>8</v>
      </c>
    </row>
    <row r="24" spans="2:2">
      <c r="B24" t="s">
        <v>9</v>
      </c>
    </row>
    <row r="25" spans="2:2">
      <c r="B25" s="39" t="s">
        <v>10</v>
      </c>
    </row>
    <row r="26" spans="2:2">
      <c r="B26" t="s">
        <v>11</v>
      </c>
    </row>
    <row r="27" spans="2:2">
      <c r="B27" s="39" t="s">
        <v>12</v>
      </c>
    </row>
    <row r="28" spans="2:2">
      <c r="B28" s="39" t="s">
        <v>13</v>
      </c>
    </row>
    <row r="29" spans="2:2">
      <c r="B29" s="39" t="s">
        <v>14</v>
      </c>
    </row>
    <row r="30" spans="2:2">
      <c r="B30" t="s">
        <v>15</v>
      </c>
    </row>
  </sheetData>
  <mergeCells count="5">
    <mergeCell ref="B1:D1"/>
    <mergeCell ref="E1:G1"/>
    <mergeCell ref="B5:D5"/>
    <mergeCell ref="B4:D4"/>
    <mergeCell ref="B3:D3"/>
  </mergeCells>
  <conditionalFormatting sqref="B1:G2">
    <cfRule type="containsText" dxfId="13" priority="2" operator="containsText" text="[Required Response]">
      <formula>NOT(ISERROR(SEARCH("[Required Response]",B1)))</formula>
    </cfRule>
  </conditionalFormatting>
  <conditionalFormatting sqref="B4:D4">
    <cfRule type="containsText" dxfId="12" priority="1" operator="containsText" text="[Required Response]">
      <formula>NOT(ISERROR(SEARCH("[Required Response]",B4)))</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50767-6B7E-461C-B9F0-9EE81053ED27}">
  <sheetPr codeName="Sheet13">
    <pageSetUpPr fitToPage="1"/>
  </sheetPr>
  <dimension ref="A1:D73"/>
  <sheetViews>
    <sheetView tabSelected="1" topLeftCell="A14" zoomScale="110" zoomScaleNormal="110" workbookViewId="0">
      <selection activeCell="B18" sqref="B18"/>
    </sheetView>
  </sheetViews>
  <sheetFormatPr defaultColWidth="8.7109375" defaultRowHeight="15"/>
  <cols>
    <col min="1" max="1" width="56.7109375" style="1" customWidth="1"/>
    <col min="2" max="2" width="30.85546875" style="1" customWidth="1"/>
    <col min="3" max="3" width="49.7109375" style="1" customWidth="1"/>
    <col min="4" max="4" width="16.28515625" style="1" customWidth="1"/>
    <col min="5" max="5" width="24.42578125" style="1" customWidth="1"/>
    <col min="6" max="16384" width="8.7109375" style="1"/>
  </cols>
  <sheetData>
    <row r="1" spans="1:4" ht="18.75">
      <c r="A1" s="55" t="s">
        <v>16</v>
      </c>
      <c r="B1" s="55"/>
      <c r="C1" s="55"/>
      <c r="D1" s="23"/>
    </row>
    <row r="2" spans="1:4">
      <c r="A2" s="75" t="s">
        <v>17</v>
      </c>
      <c r="B2" s="75"/>
      <c r="C2" s="75"/>
      <c r="D2" s="23"/>
    </row>
    <row r="3" spans="1:4">
      <c r="A3" s="2" t="s">
        <v>18</v>
      </c>
      <c r="B3" s="2" t="s">
        <v>19</v>
      </c>
      <c r="C3" s="2" t="s">
        <v>20</v>
      </c>
    </row>
    <row r="4" spans="1:4">
      <c r="A4" s="37" t="s">
        <v>21</v>
      </c>
      <c r="B4" s="37" t="s">
        <v>21</v>
      </c>
      <c r="C4" s="11" t="s">
        <v>22</v>
      </c>
      <c r="D4" s="22"/>
    </row>
    <row r="5" spans="1:4" ht="15.75">
      <c r="A5" s="56" t="s">
        <v>23</v>
      </c>
      <c r="B5" s="56"/>
      <c r="C5" s="56"/>
      <c r="D5" s="21"/>
    </row>
    <row r="6" spans="1:4" ht="15.75">
      <c r="A6" s="4" t="s">
        <v>24</v>
      </c>
      <c r="B6" s="41" t="str" cm="1">
        <f t="array" ref="B6">_xlfn.IFS(B60="Risk Assessment Incomplete","Risk Assessment Incomplete",B60&gt;=68,"High",B60&gt;=34,"Medium",B60&gt;0,"Low")</f>
        <v>Low</v>
      </c>
      <c r="C6" s="12"/>
      <c r="D6" s="21"/>
    </row>
    <row r="7" spans="1:4">
      <c r="A7" s="4" t="s">
        <v>25</v>
      </c>
      <c r="B7" s="53" t="s">
        <v>26</v>
      </c>
      <c r="C7" s="54"/>
      <c r="D7" s="1" t="s">
        <v>27</v>
      </c>
    </row>
    <row r="8" spans="1:4" ht="16.350000000000001" customHeight="1">
      <c r="A8" s="18" t="s">
        <v>28</v>
      </c>
      <c r="B8" s="81" t="s">
        <v>29</v>
      </c>
      <c r="C8" s="82"/>
    </row>
    <row r="9" spans="1:4" ht="15" customHeight="1">
      <c r="A9" s="4" t="s">
        <v>30</v>
      </c>
      <c r="B9" s="53" t="s">
        <v>31</v>
      </c>
      <c r="C9" s="54"/>
    </row>
    <row r="10" spans="1:4" ht="48.6" customHeight="1">
      <c r="A10" s="4" t="s">
        <v>32</v>
      </c>
      <c r="B10" s="53" t="s">
        <v>33</v>
      </c>
      <c r="C10" s="54"/>
    </row>
    <row r="11" spans="1:4" ht="63.6" customHeight="1">
      <c r="A11" s="4" t="s">
        <v>34</v>
      </c>
      <c r="B11" s="53" t="s">
        <v>35</v>
      </c>
      <c r="C11" s="54"/>
    </row>
    <row r="12" spans="1:4" ht="45" customHeight="1">
      <c r="A12" s="20" t="s">
        <v>36</v>
      </c>
      <c r="B12" s="81" t="s">
        <v>37</v>
      </c>
      <c r="C12" s="82"/>
      <c r="D12" s="38"/>
    </row>
    <row r="13" spans="1:4" ht="15.75">
      <c r="A13" s="56" t="s">
        <v>38</v>
      </c>
      <c r="B13" s="56"/>
      <c r="C13" s="56"/>
    </row>
    <row r="14" spans="1:4" ht="161.25" customHeight="1">
      <c r="A14" s="3" t="s">
        <v>39</v>
      </c>
      <c r="B14" s="12" t="s">
        <v>40</v>
      </c>
      <c r="C14" s="12" t="s">
        <v>41</v>
      </c>
    </row>
    <row r="15" spans="1:4" ht="33.6" customHeight="1">
      <c r="A15" s="24" t="s">
        <v>42</v>
      </c>
      <c r="B15" s="12" t="s">
        <v>43</v>
      </c>
      <c r="C15" s="12"/>
    </row>
    <row r="16" spans="1:4" ht="41.45" customHeight="1">
      <c r="A16" s="24" t="s">
        <v>44</v>
      </c>
      <c r="B16" s="12" t="s">
        <v>45</v>
      </c>
      <c r="C16" s="12"/>
      <c r="D16" s="27"/>
    </row>
    <row r="17" spans="1:4" ht="31.35" customHeight="1">
      <c r="A17" s="24" t="s">
        <v>46</v>
      </c>
      <c r="B17" s="12" t="s">
        <v>45</v>
      </c>
      <c r="C17" s="12"/>
    </row>
    <row r="18" spans="1:4" ht="80.45" customHeight="1">
      <c r="A18" s="16" t="s">
        <v>47</v>
      </c>
      <c r="B18" s="26" t="s">
        <v>48</v>
      </c>
      <c r="C18" s="9" t="s">
        <v>49</v>
      </c>
      <c r="D18" s="27"/>
    </row>
    <row r="19" spans="1:4" ht="15.75">
      <c r="A19" s="56" t="s">
        <v>50</v>
      </c>
      <c r="B19" s="56"/>
      <c r="C19" s="56"/>
    </row>
    <row r="20" spans="1:4" ht="103.35" customHeight="1">
      <c r="A20" s="58" t="s">
        <v>51</v>
      </c>
      <c r="B20" s="59"/>
      <c r="C20" s="12" t="s">
        <v>52</v>
      </c>
    </row>
    <row r="21" spans="1:4" ht="153.6" customHeight="1">
      <c r="A21" s="60" t="s">
        <v>53</v>
      </c>
      <c r="B21" s="61"/>
      <c r="C21" s="5" t="s">
        <v>54</v>
      </c>
    </row>
    <row r="22" spans="1:4" ht="15.75">
      <c r="A22" s="56" t="s">
        <v>55</v>
      </c>
      <c r="B22" s="56"/>
      <c r="C22" s="56"/>
    </row>
    <row r="23" spans="1:4" ht="18" customHeight="1">
      <c r="A23" s="3" t="s">
        <v>56</v>
      </c>
      <c r="B23" s="16" t="s">
        <v>57</v>
      </c>
      <c r="C23" s="9" t="s">
        <v>58</v>
      </c>
    </row>
    <row r="24" spans="1:4" ht="131.1" customHeight="1">
      <c r="A24" s="4" t="s">
        <v>59</v>
      </c>
      <c r="B24" s="57" t="s">
        <v>60</v>
      </c>
      <c r="C24" s="62"/>
    </row>
    <row r="25" spans="1:4" ht="18" customHeight="1">
      <c r="A25" s="19" t="s">
        <v>61</v>
      </c>
      <c r="B25" s="12" t="s">
        <v>62</v>
      </c>
      <c r="C25" s="25"/>
    </row>
    <row r="26" spans="1:4" ht="15.75">
      <c r="A26" s="63" t="s">
        <v>63</v>
      </c>
      <c r="B26" s="56"/>
      <c r="C26" s="56"/>
    </row>
    <row r="27" spans="1:4" ht="18" customHeight="1">
      <c r="A27" s="60" t="s">
        <v>64</v>
      </c>
      <c r="B27" s="61"/>
      <c r="C27" s="16" t="s">
        <v>65</v>
      </c>
    </row>
    <row r="28" spans="1:4" ht="18" customHeight="1">
      <c r="A28" s="64" t="s">
        <v>66</v>
      </c>
      <c r="B28" s="64"/>
      <c r="C28" s="16" t="s">
        <v>67</v>
      </c>
    </row>
    <row r="29" spans="1:4" ht="18" customHeight="1">
      <c r="A29" s="57" t="s">
        <v>68</v>
      </c>
      <c r="B29" s="57"/>
      <c r="C29" s="3" t="s">
        <v>69</v>
      </c>
    </row>
    <row r="30" spans="1:4" ht="18" customHeight="1">
      <c r="A30" s="65" t="s">
        <v>70</v>
      </c>
      <c r="B30" s="65"/>
      <c r="C30" s="3" t="s">
        <v>71</v>
      </c>
    </row>
    <row r="31" spans="1:4" ht="18" customHeight="1">
      <c r="A31" s="86" t="s">
        <v>72</v>
      </c>
      <c r="B31" s="87"/>
      <c r="C31" s="3" t="s">
        <v>43</v>
      </c>
    </row>
    <row r="32" spans="1:4" ht="18" customHeight="1">
      <c r="A32" s="57" t="s">
        <v>73</v>
      </c>
      <c r="B32" s="57"/>
      <c r="C32" s="3" t="s">
        <v>74</v>
      </c>
    </row>
    <row r="33" spans="1:4" ht="106.35" customHeight="1">
      <c r="A33" s="66" t="s">
        <v>75</v>
      </c>
      <c r="B33" s="67"/>
      <c r="C33" s="16" t="s">
        <v>76</v>
      </c>
      <c r="D33" s="1" t="s">
        <v>77</v>
      </c>
    </row>
    <row r="34" spans="1:4" ht="15.75">
      <c r="A34" s="56" t="s">
        <v>78</v>
      </c>
      <c r="B34" s="56"/>
      <c r="C34" s="56"/>
    </row>
    <row r="35" spans="1:4" ht="18.600000000000001" customHeight="1">
      <c r="A35" s="4" t="s">
        <v>79</v>
      </c>
      <c r="B35" s="68" t="s">
        <v>80</v>
      </c>
      <c r="C35" s="68"/>
    </row>
    <row r="36" spans="1:4" ht="18" customHeight="1">
      <c r="A36" s="3" t="s">
        <v>81</v>
      </c>
      <c r="B36" s="12" t="s">
        <v>82</v>
      </c>
      <c r="C36" s="9" t="s">
        <v>83</v>
      </c>
    </row>
    <row r="37" spans="1:4" ht="34.35" customHeight="1">
      <c r="A37" s="69" t="s">
        <v>84</v>
      </c>
      <c r="B37" s="70"/>
      <c r="C37" s="70"/>
    </row>
    <row r="38" spans="1:4" ht="134.1" customHeight="1">
      <c r="A38" s="3" t="s">
        <v>85</v>
      </c>
      <c r="B38" s="57" t="s">
        <v>86</v>
      </c>
      <c r="C38" s="71"/>
    </row>
    <row r="39" spans="1:4" ht="153" customHeight="1">
      <c r="A39" s="3" t="s">
        <v>87</v>
      </c>
      <c r="B39" s="57" t="s">
        <v>88</v>
      </c>
      <c r="C39" s="71"/>
    </row>
    <row r="40" spans="1:4" ht="135" customHeight="1">
      <c r="A40" s="3" t="s">
        <v>89</v>
      </c>
      <c r="B40" s="57" t="s">
        <v>90</v>
      </c>
      <c r="C40" s="71"/>
    </row>
    <row r="41" spans="1:4" ht="167.1" customHeight="1">
      <c r="A41" s="3" t="s">
        <v>91</v>
      </c>
      <c r="B41" s="57" t="s">
        <v>92</v>
      </c>
      <c r="C41" s="71"/>
    </row>
    <row r="42" spans="1:4" ht="73.349999999999994" customHeight="1">
      <c r="A42" s="3" t="s">
        <v>93</v>
      </c>
      <c r="B42" s="57" t="s">
        <v>94</v>
      </c>
      <c r="C42" s="71"/>
    </row>
    <row r="43" spans="1:4" ht="114.95" customHeight="1">
      <c r="A43" s="16" t="s">
        <v>95</v>
      </c>
      <c r="B43" s="57" t="s">
        <v>96</v>
      </c>
      <c r="C43" s="71"/>
    </row>
    <row r="44" spans="1:4" ht="15.6" customHeight="1">
      <c r="A44" s="6"/>
      <c r="B44" s="7"/>
      <c r="C44" s="7"/>
    </row>
    <row r="45" spans="1:4" ht="32.450000000000003" customHeight="1">
      <c r="A45" s="90" t="s">
        <v>97</v>
      </c>
      <c r="B45" s="91"/>
      <c r="C45" s="91"/>
    </row>
    <row r="46" spans="1:4" ht="18" customHeight="1">
      <c r="A46" s="20" t="s">
        <v>98</v>
      </c>
      <c r="B46" s="11" t="s">
        <v>99</v>
      </c>
      <c r="C46" s="42"/>
    </row>
    <row r="47" spans="1:4">
      <c r="A47" s="17" t="s">
        <v>100</v>
      </c>
      <c r="B47" s="11" t="s">
        <v>101</v>
      </c>
      <c r="C47" s="43"/>
    </row>
    <row r="48" spans="1:4" ht="15.75">
      <c r="A48" s="30" t="s">
        <v>102</v>
      </c>
      <c r="B48" s="29" t="s">
        <v>103</v>
      </c>
      <c r="C48" s="44"/>
    </row>
    <row r="49" spans="1:3" ht="17.45" customHeight="1">
      <c r="A49" s="88" t="s">
        <v>104</v>
      </c>
      <c r="B49" s="89"/>
      <c r="C49" s="89"/>
    </row>
    <row r="50" spans="1:3">
      <c r="A50" s="4" t="s">
        <v>105</v>
      </c>
      <c r="B50" s="48" t="s">
        <v>106</v>
      </c>
      <c r="C50" s="36" t="s">
        <v>107</v>
      </c>
    </row>
    <row r="51" spans="1:3">
      <c r="A51" s="4" t="s">
        <v>108</v>
      </c>
      <c r="B51" s="48" t="s">
        <v>109</v>
      </c>
      <c r="C51" s="36" t="s">
        <v>107</v>
      </c>
    </row>
    <row r="52" spans="1:3">
      <c r="A52" s="4" t="s">
        <v>110</v>
      </c>
      <c r="B52" s="48" t="s">
        <v>109</v>
      </c>
      <c r="C52" s="36" t="s">
        <v>107</v>
      </c>
    </row>
    <row r="53" spans="1:3">
      <c r="A53" s="4" t="s">
        <v>111</v>
      </c>
      <c r="B53" s="48" t="s">
        <v>106</v>
      </c>
      <c r="C53" s="36" t="s">
        <v>107</v>
      </c>
    </row>
    <row r="54" spans="1:3">
      <c r="A54" s="4" t="s">
        <v>112</v>
      </c>
      <c r="B54" s="48" t="s">
        <v>109</v>
      </c>
      <c r="C54" s="36" t="s">
        <v>107</v>
      </c>
    </row>
    <row r="55" spans="1:3" ht="16.350000000000001" customHeight="1">
      <c r="A55" s="83" t="s">
        <v>113</v>
      </c>
      <c r="B55" s="84"/>
      <c r="C55" s="84"/>
    </row>
    <row r="56" spans="1:3" s="10" customFormat="1">
      <c r="A56" s="4" t="s">
        <v>114</v>
      </c>
      <c r="B56" s="48" t="s">
        <v>115</v>
      </c>
      <c r="C56" s="36" t="s">
        <v>107</v>
      </c>
    </row>
    <row r="57" spans="1:3" ht="18" customHeight="1">
      <c r="A57" s="83" t="s">
        <v>116</v>
      </c>
      <c r="B57" s="84"/>
      <c r="C57" s="84"/>
    </row>
    <row r="58" spans="1:3" ht="18" customHeight="1">
      <c r="A58" s="4" t="s">
        <v>117</v>
      </c>
      <c r="B58" s="48" t="s">
        <v>118</v>
      </c>
      <c r="C58" s="36" t="s">
        <v>107</v>
      </c>
    </row>
    <row r="59" spans="1:3" ht="18" customHeight="1">
      <c r="A59" s="83" t="s">
        <v>119</v>
      </c>
      <c r="B59" s="84"/>
      <c r="C59" s="85"/>
    </row>
    <row r="60" spans="1:3" ht="18" customHeight="1">
      <c r="A60" s="4" t="s">
        <v>120</v>
      </c>
      <c r="B60" s="49" cm="1">
        <f t="array" ref="B60">_xlfn.IFS(
OR(Intake!B50="[Required Response]",Intake!B51="[Required Response]",Intake!B52="[Required Response]",Intake!B53="[Required Response]",Intake!B54="[Required Response]",Intake!B56="[Required Response]",Intake!B58="[Required Response]",Intake!B47="[Required Response]",Intake!B48="[Required Response]"),"Risk Assessment Incomplete",
AVERAGE(
_xlfn.SWITCH(Intake!B50,"Insignificant",1,"Minor",2,"Moderate",3,"Major",4,"Critical",5),
_xlfn.SWITCH(Intake!B51,"Insignificant",1,"Minor",2,"Moderate",3,"Major",4,"Critical",5),
_xlfn.SWITCH(Intake!B51,"Insignificant",1,"Minor",2,"Moderate",3,"Major",4,"Critical",5),
_xlfn.SWITCH(Intake!B52,"Insignificant",1,"Minor",2,"Moderate",3,"Major",4,"Critical",5),
_xlfn.SWITCH(Intake!B53,"Insignificant",1,"Minor",2,"Moderate",3,"Major",4,"Critical",5),
_xlfn.SWITCH(Intake!B54,"Insignificant",1,"Minor",2,"Moderate",3,"Major",4,"Critical",5))
*_xlfn.SWITCH(Intake!B56,"Unavoidable",5,"Very Likely",4,"Likely",3,"Unlikely",2,"Very Unlikely",1)
*_xlfn.SWITCH(Intake!B58,"TBD/Ineffective",4,"Highly",1,"Partially",2,"Somewhat",3),AVERAGE(
_xlfn.SWITCH(Intake!B50,"Insignificant",1,"Minor",2,"Moderate",3,"Major",4,"Critical",5),
_xlfn.SWITCH(Intake!B51,"Insignificant",1,"Minor",2,"Moderate",3,"Major",4,"Critical",5),
_xlfn.SWITCH(Intake!B51,"Insignificant",1,"Minor",2,"Moderate",3,"Major",4,"Critical",5),
_xlfn.SWITCH(Intake!B52,"Insignificant",1,"Minor",2,"Moderate",3,"Major",4,"Critical",5),
_xlfn.SWITCH(Intake!B53,"Insignificant",1,"Minor",2,"Moderate",3,"Major",4,"Critical",5),
_xlfn.SWITCH(Intake!B54,"Insignificant",1,"Minor",2,"Moderate",3,"Major",4,"Critical",5))
*_xlfn.SWITCH(Intake!B56,"Unavoidable",5,"Very Likely",4,"Likely",3,"Unlikely",2,"Very Unlikely",1)
*_xlfn.SWITCH(Intake!B58,"TBD/Ineffective",4,"Highly",1,"Partially",2,"Somewhat",3))</f>
        <v>6.666666666666667</v>
      </c>
      <c r="C60" s="33"/>
    </row>
    <row r="61" spans="1:3" ht="16.5" customHeight="1">
      <c r="A61" s="4" t="s">
        <v>121</v>
      </c>
      <c r="B61" s="34" t="str" cm="1">
        <f t="array" ref="B61">_xlfn.IFS(
B60="Risk Assessment Incomplete","Risk Assessment Incomplete",
B60&gt;=68,"High",
B60&gt;=34,"Medium",B60&gt;0,"Low")</f>
        <v>Low</v>
      </c>
      <c r="C61" s="28"/>
    </row>
    <row r="62" spans="1:3" ht="16.5" customHeight="1">
      <c r="A62" s="16" t="s">
        <v>122</v>
      </c>
      <c r="B62" s="34" t="str" cm="1">
        <f t="array" ref="B62">_xlfn.IFS(Intake!B58="[Required response]","Risk Assessment Incomplete",Intake!B58="TBD/INEFFECTIVE","OFF TRACK",Intake!B58="SOMEWHAT","DELAYED",Intake!B58="Partially","ON TRACK",Intake!B58="Highly","ON TRACK")</f>
        <v>ON TRACK</v>
      </c>
      <c r="C62" s="32"/>
    </row>
    <row r="63" spans="1:3" ht="16.5" customHeight="1">
      <c r="A63" s="6"/>
      <c r="B63" s="7"/>
      <c r="C63" s="7"/>
    </row>
    <row r="64" spans="1:3" ht="18.75">
      <c r="A64" s="72" t="s">
        <v>123</v>
      </c>
      <c r="B64" s="73"/>
      <c r="C64" s="74"/>
    </row>
    <row r="65" spans="1:3" ht="16.350000000000001" customHeight="1">
      <c r="A65" s="4" t="s">
        <v>124</v>
      </c>
      <c r="B65" s="76" t="s">
        <v>125</v>
      </c>
      <c r="C65" s="76"/>
    </row>
    <row r="66" spans="1:3" ht="16.350000000000001" customHeight="1">
      <c r="A66" s="4" t="s">
        <v>126</v>
      </c>
      <c r="B66" s="77" t="s">
        <v>125</v>
      </c>
      <c r="C66" s="77"/>
    </row>
    <row r="67" spans="1:3" ht="15.6" customHeight="1">
      <c r="A67" s="50" t="s">
        <v>127</v>
      </c>
      <c r="B67" s="51"/>
      <c r="C67" s="52"/>
    </row>
    <row r="68" spans="1:3" ht="90" customHeight="1">
      <c r="A68" s="78" t="s">
        <v>128</v>
      </c>
      <c r="B68" s="79"/>
      <c r="C68" s="80"/>
    </row>
    <row r="69" spans="1:3" ht="16.350000000000001" customHeight="1">
      <c r="A69" s="31" t="s">
        <v>129</v>
      </c>
      <c r="B69" s="31" t="s">
        <v>130</v>
      </c>
      <c r="C69" s="31" t="s">
        <v>131</v>
      </c>
    </row>
    <row r="70" spans="1:3" ht="16.350000000000001" customHeight="1">
      <c r="A70" s="5" t="s">
        <v>132</v>
      </c>
      <c r="B70" s="13"/>
      <c r="C70" s="13"/>
    </row>
    <row r="71" spans="1:3" ht="16.350000000000001" customHeight="1">
      <c r="A71" s="5" t="s">
        <v>133</v>
      </c>
      <c r="B71" s="13"/>
      <c r="C71" s="13"/>
    </row>
    <row r="72" spans="1:3" ht="16.350000000000001" customHeight="1">
      <c r="A72" s="5" t="s">
        <v>134</v>
      </c>
      <c r="B72" s="13"/>
      <c r="C72" s="13"/>
    </row>
    <row r="73" spans="1:3" ht="16.350000000000001" customHeight="1">
      <c r="A73" s="5" t="s">
        <v>135</v>
      </c>
      <c r="B73" s="13"/>
      <c r="C73" s="13"/>
    </row>
  </sheetData>
  <mergeCells count="42">
    <mergeCell ref="A2:C2"/>
    <mergeCell ref="B65:C65"/>
    <mergeCell ref="B66:C66"/>
    <mergeCell ref="A68:C68"/>
    <mergeCell ref="B8:C8"/>
    <mergeCell ref="A59:C59"/>
    <mergeCell ref="B12:C12"/>
    <mergeCell ref="A31:B31"/>
    <mergeCell ref="A49:C49"/>
    <mergeCell ref="A55:C55"/>
    <mergeCell ref="A57:C57"/>
    <mergeCell ref="B40:C40"/>
    <mergeCell ref="B41:C41"/>
    <mergeCell ref="B42:C42"/>
    <mergeCell ref="B43:C43"/>
    <mergeCell ref="A45:C45"/>
    <mergeCell ref="B35:C35"/>
    <mergeCell ref="A37:C37"/>
    <mergeCell ref="B38:C38"/>
    <mergeCell ref="B39:C39"/>
    <mergeCell ref="A64:C64"/>
    <mergeCell ref="A28:B28"/>
    <mergeCell ref="A29:B29"/>
    <mergeCell ref="A30:B30"/>
    <mergeCell ref="A33:B33"/>
    <mergeCell ref="A34:C34"/>
    <mergeCell ref="A67:C67"/>
    <mergeCell ref="B11:C11"/>
    <mergeCell ref="A1:C1"/>
    <mergeCell ref="A5:C5"/>
    <mergeCell ref="B7:C7"/>
    <mergeCell ref="B9:C9"/>
    <mergeCell ref="B10:C10"/>
    <mergeCell ref="A32:B32"/>
    <mergeCell ref="A13:C13"/>
    <mergeCell ref="A19:C19"/>
    <mergeCell ref="A20:B20"/>
    <mergeCell ref="A21:B21"/>
    <mergeCell ref="A22:C22"/>
    <mergeCell ref="B24:C24"/>
    <mergeCell ref="A26:C26"/>
    <mergeCell ref="A27:B27"/>
  </mergeCells>
  <conditionalFormatting sqref="A31 C31 A1:C1 A63:C63 B61:C61 A64 A65:B66 A69:C1048576 A67:A68 A8:B8 B48:C48 B62 A2 A3:C7 A49:C58 A32:C47 A9:C30">
    <cfRule type="containsText" dxfId="11" priority="33" operator="containsText" text="[Required Response]">
      <formula>NOT(ISERROR(SEARCH("[Required Response]",A1)))</formula>
    </cfRule>
  </conditionalFormatting>
  <conditionalFormatting sqref="A59">
    <cfRule type="containsText" dxfId="10" priority="26" operator="containsText" text="[Required Response]">
      <formula>NOT(ISERROR(SEARCH("[Required Response]",A59)))</formula>
    </cfRule>
  </conditionalFormatting>
  <conditionalFormatting sqref="C60">
    <cfRule type="containsText" dxfId="9" priority="19" operator="containsText" text="[Required Response]">
      <formula>NOT(ISERROR(SEARCH("[Required Response]",C60)))</formula>
    </cfRule>
  </conditionalFormatting>
  <conditionalFormatting sqref="B60">
    <cfRule type="containsText" dxfId="8" priority="6" operator="containsText" text="[Required Response]">
      <formula>NOT(ISERROR(SEARCH("[Required Response]",B60)))</formula>
    </cfRule>
  </conditionalFormatting>
  <conditionalFormatting sqref="A61">
    <cfRule type="containsText" dxfId="7" priority="5" operator="containsText" text="[Required Response]">
      <formula>NOT(ISERROR(SEARCH("[Required Response]",A61)))</formula>
    </cfRule>
  </conditionalFormatting>
  <conditionalFormatting sqref="A60">
    <cfRule type="containsText" dxfId="6" priority="4" operator="containsText" text="[Required Response]">
      <formula>NOT(ISERROR(SEARCH("[Required Response]",A60)))</formula>
    </cfRule>
  </conditionalFormatting>
  <conditionalFormatting sqref="A62">
    <cfRule type="containsText" dxfId="5" priority="3" operator="containsText" text="[Required Response]">
      <formula>NOT(ISERROR(SEARCH("[Required Response]",A62)))</formula>
    </cfRule>
  </conditionalFormatting>
  <conditionalFormatting sqref="B60:B62">
    <cfRule type="containsText" dxfId="4" priority="2" operator="containsText" text="Risk Assessment Incomplete">
      <formula>NOT(ISERROR(SEARCH("Risk Assessment Incomplete",B60)))</formula>
    </cfRule>
  </conditionalFormatting>
  <conditionalFormatting sqref="B36">
    <cfRule type="containsText" dxfId="3" priority="1" operator="containsText" text="[Enter response]">
      <formula>NOT(ISERROR(SEARCH("[Enter response]",B36)))</formula>
    </cfRule>
  </conditionalFormatting>
  <conditionalFormatting sqref="B61 B6">
    <cfRule type="containsText" dxfId="2" priority="16" operator="containsText" text="Low">
      <formula>NOT(ISERROR(SEARCH("Low",B6)))</formula>
    </cfRule>
    <cfRule type="containsText" dxfId="1" priority="17" operator="containsText" text="High">
      <formula>NOT(ISERROR(SEARCH("High",B6)))</formula>
    </cfRule>
    <cfRule type="containsText" dxfId="0" priority="18" operator="containsText" text="Medium">
      <formula>NOT(ISERROR(SEARCH("Medium",B6)))</formula>
    </cfRule>
  </conditionalFormatting>
  <dataValidations count="20">
    <dataValidation type="list" allowBlank="1" showInputMessage="1" showErrorMessage="1" sqref="C31" xr:uid="{30D0B738-6FD7-4BAF-AE18-10346E33AF7C}">
      <formula1>"[Required Response],Yes,No"</formula1>
    </dataValidation>
    <dataValidation type="list" allowBlank="1" showInputMessage="1" showErrorMessage="1" sqref="B47" xr:uid="{AA5B522B-B4FB-48B8-99CE-EAABD5F8D7AD}">
      <formula1>"[Required Response],Public,Company Internal,Company Confidential,Company Restricted,Highly Sensitive"</formula1>
    </dataValidation>
    <dataValidation type="list" allowBlank="1" showErrorMessage="1" sqref="B47" xr:uid="{5635322C-160B-4BC5-85CA-BF077BCDFD96}">
      <formula1>"[Required Response],Public,Company Internal,Company Confidential,Company Restricted,Highly Sensitive"</formula1>
    </dataValidation>
    <dataValidation allowBlank="1" showInputMessage="1" showErrorMessage="1" prompt="Why did you select this answer?" sqref="C50:C54 C56 C58" xr:uid="{DE64BAAD-DCD7-4EAB-B85D-E3B1E494105D}"/>
    <dataValidation type="list" allowBlank="1" showInputMessage="1" showErrorMessage="1" sqref="B50:B54" xr:uid="{9DB877CC-E5E5-45E4-BF8A-CD7A045AF6A9}">
      <formula1>"[Required response],Insignificant,Minor,Moderate,Major,Critical"</formula1>
    </dataValidation>
    <dataValidation type="list" allowBlank="1" showInputMessage="1" showErrorMessage="1" sqref="C19" xr:uid="{71C1E2D7-B4A4-46E1-97AC-E548439D526D}">
      <formula1>"Pilot,Proof of Concept (POC),Production"</formula1>
    </dataValidation>
    <dataValidation allowBlank="1" showInputMessage="1" showErrorMessage="1" promptTitle="CI Names" prompt="Provide name of the application / system / database to be integrated or enhanced with the AI solution" sqref="B24:C24" xr:uid="{373AF1BE-B991-4134-B29C-ADF55E4DAFAD}"/>
    <dataValidation allowBlank="1" showInputMessage="1" showErrorMessage="1" promptTitle="Vendor Names" prompt="Enter name(s) of Vendors" sqref="C23" xr:uid="{E074E2EA-D508-45D0-9123-39D77D91257B}"/>
    <dataValidation allowBlank="1" showErrorMessage="1" sqref="C25 C36 C47:C48 B60:C60" xr:uid="{CBC046D9-2498-4F57-A0AD-FA7ECBC18A2D}"/>
    <dataValidation type="list" allowBlank="1" showInputMessage="1" showErrorMessage="1" sqref="B23" xr:uid="{566D6B92-D493-4697-8E18-80B8DD612431}">
      <formula1>"[Required Response],Current Vendor: New/Expanded AI SOW,New Vendor: New AI SOW"</formula1>
    </dataValidation>
    <dataValidation type="list" allowBlank="1" showInputMessage="1" showErrorMessage="1" sqref="B25" xr:uid="{B4B0FBE8-7CE3-4D74-8DD8-3BFA8361FC89}">
      <formula1>"Not Started,WIP,Executed"</formula1>
    </dataValidation>
    <dataValidation type="list" allowBlank="1" showInputMessage="1" showErrorMessage="1" sqref="B65" xr:uid="{86CA99F7-3877-4564-9E9F-9E9D999A8881}">
      <formula1>"[Completed by BSC AI Governance Team],Approved,Approved Conditionally,Pended (More Information),Cancelled,Out of Scope,Rejected"</formula1>
    </dataValidation>
    <dataValidation type="list" allowBlank="1" showInputMessage="1" showErrorMessage="1" sqref="B15:B17" xr:uid="{9F7C61EE-3536-4895-A5A8-9C8D3C20FCE3}">
      <formula1>"[Required response],Yes,No"</formula1>
    </dataValidation>
    <dataValidation type="list" allowBlank="1" showErrorMessage="1" sqref="B58" xr:uid="{C36CBBD3-644A-435E-893B-94D3B9A9D2FB}">
      <formula1>"[Required response],TBD/Ineffective,Somewhat,Partially,Highly"</formula1>
    </dataValidation>
    <dataValidation type="list" allowBlank="1" showInputMessage="1" showErrorMessage="1" sqref="B56" xr:uid="{61388981-A314-461B-AB05-93EB073202EB}">
      <formula1>"[Required response],Unavoidable,Very Likely,Likely,Unlikely,Very Unlikely"</formula1>
    </dataValidation>
    <dataValidation type="list" allowBlank="1" showInputMessage="1" showErrorMessage="1" sqref="C21" xr:uid="{46556175-788E-46A5-AA12-C8E2D065B29F}">
      <formula1>"[Required response],Agentic AI,Generative AI,Large Language Model,Machine Learning"</formula1>
    </dataValidation>
    <dataValidation type="list" allowBlank="1" showInputMessage="1" showErrorMessage="1" sqref="B8:C8" xr:uid="{97B3410B-3560-47CD-B9B7-2298A703D46E}">
      <formula1>"[Required Response],Awaiting BSC AI Governance,Awaiting EA,Awaiting ISRO,Awaiting SteerCo Committee Approval,Ideation or Paused,Stellarus AIG Not Required,In Pilot,In Production,Rejected,Cancelled"</formula1>
    </dataValidation>
    <dataValidation type="list" allowBlank="1" showInputMessage="1" showErrorMessage="1" sqref="B18" xr:uid="{19CD7955-5460-47DE-925C-EFFECAF5704C}">
      <formula1>"[Required response],Altais,Ascendiun,Blue Shield of California,Stellarus"</formula1>
    </dataValidation>
    <dataValidation type="list" allowBlank="1" showInputMessage="1" showErrorMessage="1" sqref="C20" xr:uid="{BB41A200-F2B1-4E2D-9163-46B446A245C0}">
      <formula1>"[Required response],Proof of Concept (POC),Pilot,Production"</formula1>
    </dataValidation>
    <dataValidation type="list" allowBlank="1" showInputMessage="1" showErrorMessage="1" sqref="B36" xr:uid="{4F12DA48-F6BB-49DF-9200-731C172AEAEC}">
      <formula1>"[Enter response],Yes,No"</formula1>
    </dataValidation>
  </dataValidations>
  <hyperlinks>
    <hyperlink ref="A2:C2" location="Instructions!A1" display="** See INSTRUCTIONS tab to enable macros before completing the form**" xr:uid="{12A9A1E6-09D9-44CB-AB3D-E943241AA1C4}"/>
  </hyperlinks>
  <printOptions horizontalCentered="1"/>
  <pageMargins left="0.25" right="0.25" top="0.75" bottom="0.75" header="0.3" footer="0.3"/>
  <pageSetup scale="72" fitToHeight="0" orientation="portrait" horizontalDpi="90" verticalDpi="90" r:id="rId1"/>
  <headerFooter>
    <oddFooter>&amp;CPage &amp;P of &amp;N</oddFooter>
  </headerFooter>
  <rowBreaks count="3" manualBreakCount="3">
    <brk id="29" max="2" man="1"/>
    <brk id="60" max="2" man="1"/>
    <brk id="44" max="2" man="1"/>
  </rowBreaks>
  <drawing r:id="rId2"/>
  <extLst>
    <ext xmlns:x14="http://schemas.microsoft.com/office/spreadsheetml/2009/9/main" uri="{CCE6A557-97BC-4b89-ADB6-D9C93CAAB3DF}">
      <x14:dataValidations xmlns:xm="http://schemas.microsoft.com/office/excel/2006/main" count="5">
        <x14:dataValidation type="list" allowBlank="1" showErrorMessage="1" xr:uid="{61588F75-DE16-4389-98A2-CFAD18544CCB}">
          <x14:formula1>
            <xm:f>Cells!$D$2:$D$10</xm:f>
          </x14:formula1>
          <xm:sqref>B48</xm:sqref>
        </x14:dataValidation>
        <x14:dataValidation type="list" allowBlank="1" showInputMessage="1" showErrorMessage="1" xr:uid="{B57A8622-7E8F-48F1-B04E-257E2E585F40}">
          <x14:formula1>
            <xm:f>Cells!$F$3:$F$25</xm:f>
          </x14:formula1>
          <xm:sqref>C32</xm:sqref>
        </x14:dataValidation>
        <x14:dataValidation type="list" allowBlank="1" showInputMessage="1" showErrorMessage="1" xr:uid="{346D67BA-EDC9-47F2-B80A-789053BCE736}">
          <x14:formula1>
            <xm:f>Cells!$C$2:$C$12</xm:f>
          </x14:formula1>
          <xm:sqref>B14</xm:sqref>
        </x14:dataValidation>
        <x14:dataValidation type="list" allowBlank="1" showInputMessage="1" showErrorMessage="1" xr:uid="{BBE0B74A-248D-429D-BA52-2927518CFAB1}">
          <x14:formula1>
            <xm:f>Cells!$F$2:$F$24</xm:f>
          </x14:formula1>
          <xm:sqref>C33</xm:sqref>
        </x14:dataValidation>
        <x14:dataValidation type="list" allowBlank="1" showInputMessage="1" showErrorMessage="1" xr:uid="{30BEEB81-24F6-48E4-B4E9-46C944675D6F}">
          <x14:formula1>
            <xm:f>Cells!$E$2:$E$14</xm:f>
          </x14:formula1>
          <xm:sqref>B46:B47 C48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82CF5-C31D-4FFE-9D11-01821B5B8436}">
  <sheetPr codeName="Sheet2"/>
  <dimension ref="T1"/>
  <sheetViews>
    <sheetView zoomScale="90" zoomScaleNormal="90" workbookViewId="0">
      <selection activeCell="T34" sqref="T34"/>
    </sheetView>
  </sheetViews>
  <sheetFormatPr defaultColWidth="8.7109375" defaultRowHeight="15"/>
  <cols>
    <col min="1" max="19" width="8.7109375" style="1"/>
    <col min="20" max="20" width="49.7109375" style="15" customWidth="1"/>
    <col min="21" max="16384" width="8.7109375" style="1"/>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259A-C601-4699-9A13-C36CC2BF4C16}">
  <sheetPr codeName="Sheet3"/>
  <dimension ref="S3"/>
  <sheetViews>
    <sheetView topLeftCell="A24" zoomScale="90" zoomScaleNormal="90" workbookViewId="0">
      <selection activeCell="T62" sqref="T62"/>
    </sheetView>
  </sheetViews>
  <sheetFormatPr defaultColWidth="8.7109375" defaultRowHeight="15"/>
  <cols>
    <col min="1" max="16384" width="8.7109375" style="1"/>
  </cols>
  <sheetData>
    <row r="3" spans="19:19">
      <c r="S3" s="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238C2-6392-47D6-A01E-A0C0064011A5}">
  <sheetPr codeName="Sheet4"/>
  <dimension ref="B1:F32"/>
  <sheetViews>
    <sheetView workbookViewId="0">
      <selection activeCell="C15" sqref="C15"/>
    </sheetView>
  </sheetViews>
  <sheetFormatPr defaultColWidth="8.85546875" defaultRowHeight="15"/>
  <cols>
    <col min="2" max="2" width="33.7109375" customWidth="1"/>
    <col min="3" max="4" width="25.7109375" customWidth="1"/>
    <col min="5" max="5" width="49.7109375" customWidth="1"/>
    <col min="6" max="6" width="62.28515625" customWidth="1"/>
  </cols>
  <sheetData>
    <row r="1" spans="2:6">
      <c r="B1" s="35" t="s">
        <v>136</v>
      </c>
      <c r="C1" s="35" t="s">
        <v>137</v>
      </c>
      <c r="D1" s="35" t="s">
        <v>138</v>
      </c>
      <c r="E1" s="35" t="s">
        <v>98</v>
      </c>
      <c r="F1" s="35" t="s">
        <v>139</v>
      </c>
    </row>
    <row r="2" spans="2:6">
      <c r="B2" t="s">
        <v>26</v>
      </c>
      <c r="C2" t="s">
        <v>26</v>
      </c>
      <c r="D2" t="s">
        <v>26</v>
      </c>
      <c r="E2" t="s">
        <v>99</v>
      </c>
      <c r="F2" t="s">
        <v>140</v>
      </c>
    </row>
    <row r="3" spans="2:6">
      <c r="B3" t="s">
        <v>29</v>
      </c>
      <c r="C3" t="s">
        <v>141</v>
      </c>
      <c r="D3" t="s">
        <v>142</v>
      </c>
      <c r="E3" t="s">
        <v>143</v>
      </c>
      <c r="F3" t="s">
        <v>144</v>
      </c>
    </row>
    <row r="4" spans="2:6">
      <c r="B4" t="s">
        <v>145</v>
      </c>
      <c r="C4" t="s">
        <v>146</v>
      </c>
      <c r="D4" t="s">
        <v>147</v>
      </c>
      <c r="E4" t="s">
        <v>148</v>
      </c>
      <c r="F4" t="s">
        <v>149</v>
      </c>
    </row>
    <row r="5" spans="2:6">
      <c r="B5" t="s">
        <v>150</v>
      </c>
      <c r="C5" t="s">
        <v>151</v>
      </c>
      <c r="D5" t="s">
        <v>152</v>
      </c>
      <c r="E5" t="s">
        <v>153</v>
      </c>
      <c r="F5" t="s">
        <v>154</v>
      </c>
    </row>
    <row r="6" spans="2:6">
      <c r="B6" t="s">
        <v>155</v>
      </c>
      <c r="C6" t="s">
        <v>156</v>
      </c>
      <c r="D6" t="s">
        <v>157</v>
      </c>
      <c r="E6" t="s">
        <v>158</v>
      </c>
      <c r="F6" t="s">
        <v>159</v>
      </c>
    </row>
    <row r="7" spans="2:6">
      <c r="B7" t="s">
        <v>160</v>
      </c>
      <c r="C7" t="s">
        <v>161</v>
      </c>
      <c r="D7" t="s">
        <v>103</v>
      </c>
      <c r="E7" t="s">
        <v>162</v>
      </c>
      <c r="F7" t="s">
        <v>163</v>
      </c>
    </row>
    <row r="8" spans="2:6">
      <c r="B8" t="s">
        <v>164</v>
      </c>
      <c r="C8" t="s">
        <v>165</v>
      </c>
      <c r="D8" t="s">
        <v>166</v>
      </c>
      <c r="E8" t="s">
        <v>167</v>
      </c>
      <c r="F8" t="s">
        <v>168</v>
      </c>
    </row>
    <row r="9" spans="2:6">
      <c r="B9" t="s">
        <v>169</v>
      </c>
      <c r="C9" t="s">
        <v>170</v>
      </c>
      <c r="D9" t="s">
        <v>171</v>
      </c>
      <c r="E9" t="s">
        <v>172</v>
      </c>
      <c r="F9" t="s">
        <v>76</v>
      </c>
    </row>
    <row r="10" spans="2:6">
      <c r="B10" t="s">
        <v>173</v>
      </c>
      <c r="C10" t="s">
        <v>174</v>
      </c>
      <c r="D10" t="s">
        <v>175</v>
      </c>
      <c r="E10" t="s">
        <v>176</v>
      </c>
      <c r="F10" t="s">
        <v>177</v>
      </c>
    </row>
    <row r="11" spans="2:6">
      <c r="B11" t="s">
        <v>178</v>
      </c>
      <c r="C11" t="s">
        <v>179</v>
      </c>
      <c r="E11" t="s">
        <v>180</v>
      </c>
      <c r="F11" t="s">
        <v>181</v>
      </c>
    </row>
    <row r="12" spans="2:6">
      <c r="B12" t="s">
        <v>182</v>
      </c>
      <c r="C12" t="s">
        <v>40</v>
      </c>
      <c r="E12" t="s">
        <v>183</v>
      </c>
      <c r="F12" t="s">
        <v>74</v>
      </c>
    </row>
    <row r="13" spans="2:6">
      <c r="E13" t="s">
        <v>184</v>
      </c>
      <c r="F13" t="s">
        <v>185</v>
      </c>
    </row>
    <row r="14" spans="2:6">
      <c r="E14" t="s">
        <v>186</v>
      </c>
      <c r="F14" t="s">
        <v>187</v>
      </c>
    </row>
    <row r="15" spans="2:6">
      <c r="F15" t="s">
        <v>188</v>
      </c>
    </row>
    <row r="16" spans="2:6">
      <c r="F16" t="s">
        <v>189</v>
      </c>
    </row>
    <row r="17" spans="6:6">
      <c r="F17" t="s">
        <v>190</v>
      </c>
    </row>
    <row r="18" spans="6:6">
      <c r="F18" t="s">
        <v>191</v>
      </c>
    </row>
    <row r="19" spans="6:6">
      <c r="F19" t="s">
        <v>192</v>
      </c>
    </row>
    <row r="20" spans="6:6">
      <c r="F20" t="s">
        <v>193</v>
      </c>
    </row>
    <row r="21" spans="6:6">
      <c r="F21" t="s">
        <v>194</v>
      </c>
    </row>
    <row r="22" spans="6:6">
      <c r="F22" t="s">
        <v>195</v>
      </c>
    </row>
    <row r="23" spans="6:6">
      <c r="F23" t="s">
        <v>196</v>
      </c>
    </row>
    <row r="24" spans="6:6">
      <c r="F24" t="s">
        <v>197</v>
      </c>
    </row>
    <row r="29" spans="6:6">
      <c r="F29" s="14"/>
    </row>
    <row r="31" spans="6:6">
      <c r="F31" s="14"/>
    </row>
    <row r="32" spans="6:6" ht="12" customHeight="1"/>
  </sheetData>
  <sortState xmlns:xlrd2="http://schemas.microsoft.com/office/spreadsheetml/2017/richdata2" ref="F36:F50">
    <sortCondition ref="F50"/>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8810E5F3E00943B07BFBB3BFEB2896" ma:contentTypeVersion="3" ma:contentTypeDescription="Create a new document." ma:contentTypeScope="" ma:versionID="5bb7e4e803e95fb5648bd0c20c9d7a30">
  <xsd:schema xmlns:xsd="http://www.w3.org/2001/XMLSchema" xmlns:xs="http://www.w3.org/2001/XMLSchema" xmlns:p="http://schemas.microsoft.com/office/2006/metadata/properties" xmlns:ns2="fb299a2e-1c61-4a99-840a-90e968e9fac7" targetNamespace="http://schemas.microsoft.com/office/2006/metadata/properties" ma:root="true" ma:fieldsID="67e49edc85c9cd17990366dc8ea0344d" ns2:_="">
    <xsd:import namespace="fb299a2e-1c61-4a99-840a-90e968e9fac7"/>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b299a2e-1c61-4a99-840a-90e968e9fa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EFE3CB-0CC1-4569-BB59-8A00C8180560}"/>
</file>

<file path=customXml/itemProps2.xml><?xml version="1.0" encoding="utf-8"?>
<ds:datastoreItem xmlns:ds="http://schemas.openxmlformats.org/officeDocument/2006/customXml" ds:itemID="{7E2A11D0-7462-4824-892C-20B5B3EC0BA2}"/>
</file>

<file path=customXml/itemProps3.xml><?xml version="1.0" encoding="utf-8"?>
<ds:datastoreItem xmlns:ds="http://schemas.openxmlformats.org/officeDocument/2006/customXml" ds:itemID="{42E05230-F761-457B-8985-7CE36E80532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Granada, Erik</dc:creator>
  <cp:keywords/>
  <dc:description/>
  <cp:lastModifiedBy>Begum, Tony</cp:lastModifiedBy>
  <cp:revision/>
  <dcterms:created xsi:type="dcterms:W3CDTF">2025-06-02T21:59:58Z</dcterms:created>
  <dcterms:modified xsi:type="dcterms:W3CDTF">2026-04-23T18:44:08Z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0x0101006F8810E5F3E00943B07BFBB3BFEB2896</vt:lpwstr>
  </property>
  <property fmtid="{D5CDD505-2E9C-101B-9397-08002B2CF9AE}" pid="3" name="MSIP_Label_c0a0cb13-3d17-4d3b-a943-8d5f7a158420_Enabled">
    <vt:lpwstr>true</vt:lpwstr>
  </property>
  <property fmtid="{D5CDD505-2E9C-101B-9397-08002B2CF9AE}" pid="4" name="MSIP_Label_c0a0cb13-3d17-4d3b-a943-8d5f7a158420_SetDate">
    <vt:lpwstr>2026-03-02T21:24:45Z</vt:lpwstr>
  </property>
  <property fmtid="{D5CDD505-2E9C-101B-9397-08002B2CF9AE}" pid="5" name="MSIP_Label_c0a0cb13-3d17-4d3b-a943-8d5f7a158420_Method">
    <vt:lpwstr>Privileged</vt:lpwstr>
  </property>
  <property fmtid="{D5CDD505-2E9C-101B-9397-08002B2CF9AE}" pid="6" name="MSIP_Label_c0a0cb13-3d17-4d3b-a943-8d5f7a158420_Name">
    <vt:lpwstr>Company Confidential</vt:lpwstr>
  </property>
  <property fmtid="{D5CDD505-2E9C-101B-9397-08002B2CF9AE}" pid="7" name="MSIP_Label_c0a0cb13-3d17-4d3b-a943-8d5f7a158420_SiteId">
    <vt:lpwstr>1ccc79e9-1dda-45b4-8335-a298cbe52241</vt:lpwstr>
  </property>
  <property fmtid="{D5CDD505-2E9C-101B-9397-08002B2CF9AE}" pid="8" name="MSIP_Label_c0a0cb13-3d17-4d3b-a943-8d5f7a158420_ActionId">
    <vt:lpwstr>cd45b50a-14b6-4a71-b4b0-14ad96fe3972</vt:lpwstr>
  </property>
  <property fmtid="{D5CDD505-2E9C-101B-9397-08002B2CF9AE}" pid="9" name="MSIP_Label_c0a0cb13-3d17-4d3b-a943-8d5f7a158420_ContentBits">
    <vt:lpwstr>0</vt:lpwstr>
  </property>
  <property fmtid="{D5CDD505-2E9C-101B-9397-08002B2CF9AE}" pid="10" name="MSIP_Label_c0a0cb13-3d17-4d3b-a943-8d5f7a158420_Tag">
    <vt:lpwstr>10, 0, 1, 1</vt:lpwstr>
  </property>
  <property fmtid="{D5CDD505-2E9C-101B-9397-08002B2CF9AE}" pid="11" name="MediaServiceImageTags">
    <vt:lpwstr/>
  </property>
</Properties>
</file>