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performtechnology.sharepoint.com/sites/PTPStrategy/Shared Documents/Client &amp; Prospect Decks/Blue Shield Ca/MEM Website Bots to GA/Testing Updates/"/>
    </mc:Choice>
  </mc:AlternateContent>
  <xr:revisionPtr revIDLastSave="98" documentId="8_{0D3EC2A6-F82D-4BCC-ACDF-61DED3FBE38B}" xr6:coauthVersionLast="47" xr6:coauthVersionMax="47" xr10:uidLastSave="{B562CA4B-50FC-4B7A-8E90-D5ACDBF62DC3}"/>
  <bookViews>
    <workbookView xWindow="-120" yWindow="-120" windowWidth="29040" windowHeight="15720" xr2:uid="{C9A268E9-6856-4F7A-93C3-CCB7CA18EA95}"/>
  </bookViews>
  <sheets>
    <sheet name="July 2 2026" sheetId="1" r:id="rId1"/>
  </sheets>
  <definedNames>
    <definedName name="_xlnm._FilterDatabase" localSheetId="0" hidden="1">'July 2 2026'!$A$1:$L$80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 l="1"/>
  <c r="F28" i="1"/>
  <c r="F32" i="1"/>
  <c r="F35" i="1"/>
  <c r="F38" i="1"/>
  <c r="F46" i="1"/>
  <c r="F47" i="1"/>
  <c r="F48" i="1"/>
</calcChain>
</file>

<file path=xl/sharedStrings.xml><?xml version="1.0" encoding="utf-8"?>
<sst xmlns="http://schemas.openxmlformats.org/spreadsheetml/2006/main" count="446" uniqueCount="153">
  <si>
    <t>Issue Number</t>
  </si>
  <si>
    <t>Name</t>
  </si>
  <si>
    <t>Description</t>
  </si>
  <si>
    <t>Status</t>
  </si>
  <si>
    <t>Owner</t>
  </si>
  <si>
    <t>Duplicate Of</t>
  </si>
  <si>
    <t>Severity</t>
  </si>
  <si>
    <t>Category</t>
  </si>
  <si>
    <t>Releases</t>
  </si>
  <si>
    <t>Created (UTC)</t>
  </si>
  <si>
    <t>Comments</t>
  </si>
  <si>
    <t>Martha Senturia &lt;martha.senturia@blueshieldca.com&gt;</t>
  </si>
  <si>
    <t>MINOR</t>
  </si>
  <si>
    <t>Other</t>
  </si>
  <si>
    <t>Misinterpretation</t>
  </si>
  <si>
    <t>3 plans GA wasnt able to access information from plans</t>
  </si>
  <si>
    <t>**Problematic snippet**
Iâ€™m not able to give specific coverage details for a breast biopsy at this time.
**Consequence**
Not able to help 
**Correct action**
This test case has 3 plans medical dental and vision.  when asked about an in the medical plan it appears the agent didnt access any of the plans.</t>
  </si>
  <si>
    <t>FIXED</t>
  </si>
  <si>
    <t>CRITICAL</t>
  </si>
  <si>
    <t>b657784ba44385c66a1e1dbe0a9903deebdd6e349d7f663761b6e744e7d0c09f</t>
  </si>
  <si>
    <t>Retest via Simulation</t>
  </si>
  <si>
    <t xml:space="preserve">Coinsurance Inconsistencies </t>
  </si>
  <si>
    <t>**Problematic snippet**
Thanks â€” Iâ€™ve got your plan.
A breast biopsy is usually billed based on where itâ€™s done and who does it, so your cost can vary.
If itâ€™s done in an outpatient hospital or surgery setting with participating providers, the physician part is:
For in-network providers, this plan has a $1,000 deductible per person, not to exceed $2,000 per family. What this means to you is BSC will reimburse for 80% of the allowed amount once your deductible is satisfied. If your deductible and co-pay Out of Pocket Maximums are satisfied, BSC will reimburse 100% of the allowed amount.
Your participating out-of-pocket maximum is $3,000 per person and $6,000 per family.
If you use a non-participating provider:
For out-of-network providers, this plan has a $1,000 deductible per person, not to exceed $2,000 per family. Once the deductible is satisfied, your coinsurance is 40% of the allowed amount and applies to your copayment maximum of $6,000 for non-participating providers. What this means to you is BSC will reimburse for 60% of the allowed amount once your deductible is satisfied. If your deductible and co-pay Out of Pocket Maximums are satisfied, BSC will reimburse 100% of the allowed amount.
NOTE: Your out-of-network provider has the right to balance bill. What this means to you is you may be responsible for the difference between the allowed amount and billed amount.
There may also be a separate facility charge depending on whether the biopsy is done in a hospital outpatient department, surgery center, or office.
Was your doctor planning to do this in an office or at an outpatient hospital or surgery center?
**Consequence**
**Correct action**
Par - gives what BSC would reimburse 80%
Non Par - give what member would pay 40%
Should be consistent, okay to give both e.g., Par - Member would pay 20%, BSC would pay 80%; Non-Par Member would pay 40%, BSC would pay 60% of allowed</t>
  </si>
  <si>
    <t>MAJOR</t>
  </si>
  <si>
    <t>Did not provide copayment information</t>
  </si>
  <si>
    <t>**Problematic snippet**
For a participating pediatrician office visit, the copayment is $45 per visit.
If the pediatrician is non-participating, the cost is 40% coinsurance after the calendar year medical deductible of $1,000 individual / $2,000 family. NOTE: Your out-of-network provider has the right to balance bill. What this means to you is you may be responsible for the difference between the allowed amount and billed amount.
Preventive care is also covered, and preventive health services are covered at 100% of the allowable amount if using an in-network provider.
Virtual primary care visits through the covered telehealth program are $0.
Can I help you with anything else today?
**Consequence**
**Correct action**
Did not provide copayment OOPM information for either par or non-par providers</t>
  </si>
  <si>
    <t>Provided incomplete benefit details</t>
  </si>
  <si>
    <t>**Problematic snippet**
For a pediatrician visit, the copay is $45 per visit with a participating provider.
If you use a non-participating provider, the cost is 40% coinsurance after the calendar year medical deductible. Your deductible is $1,000 per person and $2,000 per family, and your out-of-pocket maximum is $3,000 per person and $6,000 per family. NOTE: Your out-of-network provider has the right to balance bill. What this means to you is you may be responsible for the difference between the allowed amount and billed amount.
Preventive care is also included for doctor visits. The service you are requesting is covered at 100% of the allowable amount if using an in-network provider.
Virtual care through Teladoc Health is $0. You can use [Teladoc Health for General Medicine or Mental Health Services](https://www.blueshieldca.com/en/home/be-well/live-healthy/teladochealth)
Would you like me to explain the difference between a regular pediatric visit and a preventive well-child visit?
**Consequence**
**Correct action**
The $45 copay applies to the OOPM - the OOPM was not provided for participating provider - $3K/$6K</t>
  </si>
  <si>
    <t>Wrong coverage information</t>
  </si>
  <si>
    <t>**Problematic snippet**
Outpatient IV hydration therapy may be covered when it falls under infusion services.
For your plan, participating provider coverage is:
- 20% coinsurance after the calendar year medical deductible
- The deductible is $750 individual / $1,500 family
- What you pay counts toward the out-of-pocket maximum of $3,000 individual / $6,000 family
For non-participating providers, it is not covered. You must seek services from either an in-network provider or a provider associated with your provider group to be eligible for benefits. As the member, this means you are responsible for 100% of the billed amount.
Also, drugs given by a provider in a doctorâ€™s office, infusion center, hospital outpatient department, or through home infusion require prior authorization.
Virtual Blue program services offer you an alternative to in-person office visits at no out-of-pocket cost. Virtual Blue services are provided for specialist care through AccoladeCare or TeleMed2U. You can access virtual care at [Virtual Care](https://www.blueshieldca.com/memberwebapp/connect/home/virtual-care).
Would you like me to check whether you mean IV hydration at an infusion center, hospital outpatient setting, or at home?
**Consequence**
**Correct action**
Benefit: Infusion therapy services outpatient facility for non-par providers is covered at 40% coinsurance, subject to $750 ind/ $1,500 family deductible, applies to OOPM $5K ind/ $10 K family</t>
  </si>
  <si>
    <t>Language</t>
  </si>
  <si>
    <t>Level setting around when to change plan: provide education and context</t>
  </si>
  <si>
    <t>**Problematic snippet**
I understand thatâ€™s frustrating.
For plan changes, please call the customer service number on the back of your Blue Shield member ID card. You can also check options at Blueshieldca.com.
Can I help you with anything else today?
**Consequence**
Member frustration 
**Correct action**
1. In order to discuss any plan changes you would need to discuss it with customer service.
2. Don't state "it is frustrating".  Maybe say, It can be hard.
3. Provide some context. For most plans, plans cannot be changed outside of qualifying events or planned events. For more understanding of the qualifying events, contact customer service today.</t>
  </si>
  <si>
    <t>Simi Kaur &lt;simi.kaur@blueshieldca.com&gt;</t>
  </si>
  <si>
    <t>Knowledge error</t>
  </si>
  <si>
    <t>Unable to display the number</t>
  </si>
  <si>
    <t>**Problematic snippet**
Please call the customer service number on the back of your Blue Shield member ID card for help with this.
If you have another benefits or coverage question, I can help with that here.
**Consequence**
Member abrasion.
**Correct action**
Give the number.</t>
  </si>
  <si>
    <t>2e141766248c37b35937873fde4ae6c1448bb60856f54550d5f28eb2124fcbc4</t>
  </si>
  <si>
    <t>Failed to check coverage resources</t>
  </si>
  <si>
    <t>**Problematic snippet**
Iâ€™m not able to give the out-of-pocket cost details for an endoscopy and colonoscopy at this time.
If you have another benefits or coverage question, Iâ€™m happy to help.
**Consequence**
Member abrasion.
**Correct action**
the bot was unable to pull and display benefits from EOC.
very common procedures. A lot of times done together.</t>
  </si>
  <si>
    <t>Virtual Care link to be customized for the member: Not all virtual care links lead to Accolade</t>
  </si>
  <si>
    <t>**Problematic snippet**
You can get to Teladoc in either of these ways:
- Phone: 1-800-835-2362
- Online: blueshieldca.com/teladochealth
You can also start from [Virtual Care](https://www.blueshieldca.com/memberwebapp/connect/home/virtual-care).
For general medical visits, itâ€™s available 24 hours a day, 7 days a week by phone or secure online video.
Can I help you with anything else today?
**Consequence**
Member confusion
**Correct action**
Wrong link.
Link surfaced is Accolade link v/s Teladoc link.</t>
  </si>
  <si>
    <t>Enrollment Questions</t>
  </si>
  <si>
    <t>**Problematic snippet**
For changes like adding a spouse to your plan, please use the Blue Shield website to review and manage your coverage options.
Can I help you with anything else today?
**Consequence**
**Correct action**
Is referring enrollment questions to website the right action for BSC Employee/ Retiree?</t>
  </si>
  <si>
    <t>Wrong action</t>
  </si>
  <si>
    <t>Non-Participating Provider Facility Maximums</t>
  </si>
  <si>
    <t>**Problematic snippet**
A strep throat test is usually covered as a lab test.
If you use a participating lab or outpatient hospital department, itâ€™s $45 per visit after your calendar year deductible of $1,000 individual or $2,000 family. If you use a non-participating provider, itâ€™s 40% coinsurance after that same deductible. What you pay counts toward your out-of-pocket maximum of $3,000 individual or $6,000 family. 
If the test is done as part of a preventive lab screening, preventive labs are covered separately.
Was your question about just the lab test, or the office visit too?
**Consequence**
**Correct action**
Missing for OON, $350/ day max when done at op dept of hospital</t>
  </si>
  <si>
    <t>Adding Newborn - Lacked details on process steps</t>
  </si>
  <si>
    <t>**Problematic snippet**
For plan changes like adding a newborn, please use the website.
If you need anything else related to benefits or coverage, Iâ€™m happy to help.
**Consequence**
**Correct action**
I'm not sure what best response would be, but pretty sure employee can not use website to add newborn and would need to be redirected to HR department</t>
  </si>
  <si>
    <t>OON Allowed Vs. Billed Amount</t>
  </si>
  <si>
    <t>**Problematic snippet**
Yes. Wheelchairs are covered as durable medical equipment.
With a participating supplier, you pay 20% after your calendar year medical deductible is met. Your deductible is $1,750 for an individual or $3,500 for a family. What you pay counts toward your out-of-pocket maximum of $4,500 for an individual or $9,000 for a family.
With a non-participating supplier, you pay 40% after that same deductible, and those costs also count toward your out-of-pocket maximum.
Rental is covered up to the purchase price, and prior approval may be required, so itâ€™s a good idea to verify with your provider.
Can I help you with anything else today?
**Consequence**
**Correct action**
Noticing with all OON- Non- Participating benefits provided, Agent is not indicating coinsurance is based on allowed amount. It would be important to notify member there is likely a difference between the billed amount and the BSC allowed amount. We should also notify them if they use non-participating the provider can balance bill and bill that difference between allowed and billed amounts.</t>
  </si>
  <si>
    <t>DUPLICATE</t>
  </si>
  <si>
    <t>pulmonary function testing</t>
  </si>
  <si>
    <t>**Problematic snippet**
Iâ€™m not able to give that coverage detail right now.
If you want, I can still help with another benefits or coverage question.
**Consequence**
**Correct action**
Didn't answer Q. - Are benefits provided for outpatient pulmonary function testing?
Iâ€™m not able to give that coverage detail right now.
If you want, I can still help with another benefits or coverage question.</t>
  </si>
  <si>
    <t>Chance Whittley &lt;chance.whittley@blueshieldca.com&gt;</t>
  </si>
  <si>
    <t>Family Planning</t>
  </si>
  <si>
    <t>**Problematic snippet**
Iâ€™m not able to answer that specific benefit question here.
If you want, I can help with another benefits or coverage question.
**Consequence**
**Correct action**
Question was, Does my plan cover outpatient genetic counseling for family planning? 
Couldn't answer question</t>
  </si>
  <si>
    <t>Did not provide transplant benefit details</t>
  </si>
  <si>
    <t>**Problematic snippet**
Iâ€™m only able to share benefit details when I have the exact plan coverage information available for that service.
If you want, you can ask about another benefit, or say â€œrepresentativeâ€ if youâ€™d like help with that.
**Consequence**
Member experience
**Correct action**
It should have asked me what transplant services I am looking for and shared those specific benefits</t>
  </si>
  <si>
    <t>Did not reference plan-specific details - Same issue as Acupuncture services -</t>
  </si>
  <si>
    <t>**Problematic snippet**
For chiropractic care, there isnâ€™t a set copay. You pay 20% of the allowed amount after your calendar year deductible.
An annual visit maximum applies, but Iâ€™m not able to give a specific visit count here.
A few important details:
- Use a participating provider for the best coverage
- Prior approval may be required, so please verify with your provider before care
Can I help you with anything else today?
**Consequence**
Member experience impact
**Correct action**
Not showing me my details related to copay and max visits per calendar year</t>
  </si>
  <si>
    <t xml:space="preserve">Provided generic coverage without plan specifics did not show my copay and max visits allowed </t>
  </si>
  <si>
    <t>**Problematic snippet**
For acupuncture, there isnâ€™t a set copay. You pay 20% of the allowed amount after you meet your calendar year deductible.
For visit limits, an annual maximum applies, but the exact number of visits depends on the benefit rules for the service and provider arrangement.
A couple of important things:
- Use a participating provider for the best coverage
- Prior approval may be required, so please verify with your provider before treatment
If you want, I can also help with chiropractic or physical therapy benefits. Can I help you with anything else today?
**Consequence**
Not getting the specific details I wanted to see for my specific questions, Member experience impact
**Correct action**
should have showed my copay as $30 and max. number of visits as 60 per calendar year</t>
  </si>
  <si>
    <t>WONT_FIX</t>
  </si>
  <si>
    <t>Check Deductible status</t>
  </si>
  <si>
    <t>**Problematic snippet**
You can check that on the Blue Shield member website.
Go here:
[Blueshieldca.com](https://www.blueshieldca.com/)
After you sign in, look for your plan or benefits summary to see how much of your deductible has been met.
If your question is about claims tied to that deductible, you can also use:
[Claims Summary](https://www.blueshieldca.com/memberwebapp/connect/claimsummary/medical)
Can I help with anything else today?
**Consequence**
Unnecessary information and lack of specificity for the member. Member might click on the link and now would look for the information v/s deep link to My Plan.
**Correct action**
Member asked if they have met their deductible &gt; Implies member is asking if they have met their plan deductible.
Below provided is the response and here are 2 issues:
1. Navigate to My Plan &gt; View Plan accumulations. The graphics reflect your annual total amount and YTD amount accrued. 
2. Since member did not ask for a deductible related to a claim. The claim related deductible does not need to be presented.
Go here:
Blueshieldca.com
After you sign in, look for your plan or benefits summary to see how much of your deductible has been met.
If your question is about claims tied to that deductible, you can also use:
Claims Summary
Can I help with anything else today?</t>
  </si>
  <si>
    <t>31d6cddeff6ce3246813446929d0f5723ee0d36f81e7de9cb2c67bb97c2138c8</t>
  </si>
  <si>
    <t>Member's out of pocket cost is $0</t>
  </si>
  <si>
    <t>**Problematic snippet**
A service is preventive when itâ€™s done to help prevent illness or find problems early, like screenings, checkups, counseling, and recommended vaccines.
For your plan:
- Preventive services are covered only with a participating provider
- Your cost is free
- Non-participating preventive services are not covered
- Your out-of-pocket maximum is $4,500 individual or $9,000 family
Examples of preventive care include:
- Annual health exams
- Cancer screenings, like colorectal, cervical, breast, and prostate screenings
- Human papillomavirus screening
- Osteoporosis screening
- Recommended immunizations
- Preventive care for children
- Preventive care and screenings for women
A simple way to tell is this:
- If the visit is for a routine screening or checkup and you are not being treated for a symptom or existing condition, it is often preventive
- If the visit is to diagnose or treat a problem, it is usually not preventive
If you want, I can help you check whether a specific service is preventive. What service are you asking about?
**Consequence**
"Free" should $0
**Correct action**
Current - Your cost is free
Update - Use the same language as described in EOC. For example member's out of pocket cost is $0</t>
  </si>
  <si>
    <t>Attempted to talk about another plan</t>
  </si>
  <si>
    <t>**Problematic snippet**
I understand. I can only answer benefits and coverage for your current plan, and Iâ€™m not able to confirm how coverage would continue under a different plan after you switch jobs.
If you have the new plan name, I can help with benefits and coverage for that specific plan once you share it. Can I help you with anything else today?
**Consequence**
Shared information it shouldn't have.
**Correct action**
Chatbot should've stayed with member's current plan, and not offer to interpret another plan. It should also recognize this as complex and escalate.</t>
  </si>
  <si>
    <t>Didn't fully understand the query and provided wrong solution</t>
  </si>
  <si>
    <t>**Problematic snippet**
For a claim like this, the fastest next step is usually to review the claim details online and then follow up with your doctorâ€™s billing office if the visit should have been billed as preventive.
You can review it here:
[Claims Summary](https://www.blueshieldca.com/memberwebapp/connect/claimsummary/medical)
A simple way to handle it is:
- Check the claim to see how the visit was processed
- Ask your doctorâ€™s billing office whether they submitted it as preventive or diagnostic
- If the billing office says the coding was wrong, ask them to correct the claim and resubmit it
If youâ€™d like, I can help explain the common difference between preventive and diagnostic visits in plain language.
**Consequence**
Confusion and a frustrating loop for the member
**Correct action**
Firstly, it should've recognized that the error was at BSC. 
Secondly, instead of providing any solution, it should've simply prompted to the claims page or offer a transfer</t>
  </si>
  <si>
    <t>Suggested signing in even though user is signed in.</t>
  </si>
  <si>
    <t>**Problematic snippet**
A good first step is to talk with your doctor about whether you meet the requirements for the exception and ask them to submit the prior approval request with the needed medical records.
Youâ€™ll also want to make sure your weight loss program is documented, including diet, physical activity, and behavior therapy, since that information may be needed with the request.
If you want plan details or forms, you can sign in at [Blueshieldca.com](https://www.blueshieldca.com/).
Can I help with anything else today?
**Consequence**
confusion for the member as they are already signed in to be using the chatbot
**Correct action**
Just the link should've been provided.</t>
  </si>
  <si>
    <t>Didn't provide the contact details</t>
  </si>
  <si>
    <t>**Problematic snippet**
If you want that travel help information, I can share it next.
Can I help you with anything else today?
**Consequence**
One more turn for the member.
**Correct action**
The chatbot said it'll provide the information next but didn't do so until the user prompted. It should've provided the information in-line.</t>
  </si>
  <si>
    <t>Missing EOC information</t>
  </si>
  <si>
    <t>**Problematic snippet**
Iâ€™m sorry, Iâ€™m not able to confirm from the available benefit details whether you must use a participating provider for hearing aid coverage under your plan.
If youâ€™d like, I can still help with other benefits or coverage questions. Can I help you with anything else today?
**Consequence**
Missing information.
**Correct action**
EOC Excerpt:
The hearing aid services Benefit provides a combined maximum allowance as shown 
on the Summary of Benefits towards covered hearing aids and services as specified 
below. You are not required to use a Participating Provider to obtain these services as 
the Claims Administrator does not maintain a network of contracted providers for these 
services. You may obtain these services from any provider of your choosing and submit 
a claim to the Claims Administrator for reimbursement for Covered Services up to the 
combined maximum allowance. For information on submitting a claim, see the Claims 
section.
**Page#61**</t>
  </si>
  <si>
    <t>f6dc34d8bf658a54a4e8431b0023c8375695d73a1d8b67ed7a65e5ca9f348cf0</t>
  </si>
  <si>
    <t xml:space="preserve"> Blue Card Program not given</t>
  </si>
  <si>
    <t>**Problematic snippet**
A few important things to know:
Emergency care is covered at any hospital, even if itâ€™s non-participating.
**Consequence**
Complete information
**Correct action**
Second missed opportunity in the response above is Blue Card Program.
the details for the Blue Card Program are provided on Page 95</t>
  </si>
  <si>
    <t>28d170c63db8ee2dcaa783d42f581df7e12e861df8c70e737887655b7dafaf6a</t>
  </si>
  <si>
    <t>Final answer and clarity after a lot of member effort and prompting.</t>
  </si>
  <si>
    <t>**Problematic snippet**
Before you meet your deductible, it is not a percentage yet.
For covered hearing aid services and devices, you would usually pay the full allowed amount until your deductible is met. After that, you would pay 20% of the allowed amount for participating providers.
Your deductible is $1,750 for individual coverage or $3,500 for family coverage. Your costs then count toward your out-of-pocket maximum of $4,500 individual or $9,000 family.
There is also a $2,000 plan payment maximum every 24 months for covered hearing aid benefits, so if the total cost is higher than that, you may owe the extra amount above that maximum too.
Can I help you with anything else today?
**Consequence**
If member does not specifically prompt the bot, member might not fully understand cost distribution.
**Correct action**
Bot eventually clarified the role of deductible and the role it plays in overall cost distribution.
But it took 2-3 extra prompts to get there. The prompts needed to be very specific for bot to retrieve and display right information.
In initial prompting bot continues along the lines " You will have to pay more until you meet your deductible".
With extra and specific prompting bot finally displays specific response to member question.
"You will have to pay in full until you meet your deductible".
One potential solution: If not knowing deductible status is causing the churn and regurgitation of content, this could be one of the follow-up questions that bot can ask the member.</t>
  </si>
  <si>
    <t>Question about HMO</t>
  </si>
  <si>
    <t>**Problematic snippet**
Thanks for sharing that. Which HMO plan do you have: Custom Trio HMO FI, Custom Access HMO FF, Custom Trio HMO FF, or Custom Access HMO FI?
**Consequence**
We aren't reviewing HMO so this should not be a function at the moment.
**Correct action**
Chat should only be providing answers to PPO employees at the moment.</t>
  </si>
  <si>
    <t>Miranda Macias &lt;miranda.macias@blueshieldca.com&gt;</t>
  </si>
  <si>
    <t>Did not explain what counts as preventive and how can member check if their concern is preventative</t>
  </si>
  <si>
    <t xml:space="preserve">**Problematic snippet**
A thyroid concern brought up during your yearly exam may not be treated as preventive. If the visit includes checking or treating a new concern, that part can be billed as diagnostic instead of preventive, which may change your cost.
For a participating primary care doctor in person, diagnostic care is 20% after your calendar year deductible. Your deductible is $1,750 for individual coverage or $3,500 for family coverage. After you meet it, your costs count toward your out-of-pocket maximum of $4,500 individual or $9,000 family.
If you want to know how your doctor may bill the visit, itâ€™s best to ask the doctorâ€™s office before your appointment.
Can I help you with anything else today?
**Consequence**
Missed opportunity and potential cost confusion.
**Correct action**
1. Member would need assistance understanding if their concern is preventative OR not. 
2. Member must be provided link to preventative care policy resource. This is missed opportunity can be very helpful to the members in this situation.
3. Disclaimer/ content from EOC. If member brings up any concern that requires that require medical diagnostics, then that no longer is solely a preventative care visit. </t>
  </si>
  <si>
    <t>Cost Clarification</t>
  </si>
  <si>
    <t>**Problematic snippet**
Yes. If youâ€™re sick and the visit is for a medical problem instead of preventive care, the cost changes.
For a participating primary care doctor visit, you would pay 20% after your calendar year deductible. Your deductible is $1,750 for individual coverage or $3,500 for family coverage. After you meet it, your costs count toward your out-of-pocket maximum of $4,500 individual or $9,000 family.
For a non-participating primary care doctor visit, you would pay 40% after that same deductible, and you may also be billed for charges above the allowed amount.
Virtual Blue program services offer you an alternative to in-person office visits at no out-of-pocket cost. Virtual Blue services for primary care are provided through AccoladeCare. If you want, I can give you the website and phone number to use that option. Can I help you with anything else today?
**Consequence**
Cost Confusion
**Correct action**
For a participating primary care doctor visit, you would pay 20% after your calendar year deductible. Your deductible is $1,750 for individual coverage or $3,500 for family coverage. After you meet it, your costs count toward your out-of-pocket maximum of $4,500 individual or $9,000 family.
- Member pays out of pocket until deductible is met.
- 20% of the allowed amount [Allowed Amount is explained in EOC].
- Annual Limits and how can member check if they have met the limits OR not.
- Lastly, whatever member pays out of pocket &gt; counts towards their OOPmax. Once they meet OOPmax then their plan pays. So the maximum they would need is OOPmax in the calendar year.</t>
  </si>
  <si>
    <t>f6dc34d8bf658a54a4e8431b0023c8375695d73a1d8b67ed7a65e5ca9f348cf0
063dcfe82905297201c25625f96c1e2d410873c2d023732b76ed4723b3f76bf9</t>
  </si>
  <si>
    <t>20% of what: lack of clarity in response</t>
  </si>
  <si>
    <t>**Problematic snippet**
Itâ€™s 20% of the allowed amount for the visit.
That means Blue Shield sets a covered amount for the doctor visit, and after you meet your deductible, you pay 20% of that covered amount and the plan pays the rest for a participating doctor.
For example, if the allowed amount for the visit were $100, you would pay $20 after the deductible is met.
If you have not met your deductible yet, you would usually pay the full allowed amount until the deductible is met.
For a non-participating doctor, you would pay 40% after the deductible, and you may also owe any amount above the allowed amount.
Can I help you with anything else today?
**Consequence**
Cost confusion.
**Correct action**
Member question: 20% of what?
Chatbot response:
Itâ€™s 20% of the allowed amount for the visit.
That means Blue Shield sets a covered amount for the doctor visit, and after you meet your deductible, you pay 20% of that covered amount and the plan pays the rest for a participating doctor. - Important: It is key that we don't state, Blue Shield sets a covered amount. This can be very confusing. Please refer to EOC content around contracted amount.
For example, if the allowed amount for the visit were $100, you would pay $20 after the deductible is met.
CRITICAL: It is very important that we start with what was discussed in the meeting. For example, we need to start with the clarifying to the member that member would be responsible for the full amount (everything out of pocket) until the deductible is met. Once deductible is met, then state member's cost.
If you have not met your deductible yet, you would usually pay the full allowed amount until the deductible is met. - Hierarchy of this information displayed is inaccurate. This should be surfaced.
For a non-participating doctor, you would pay 40% after the deductible, and you may also owe any amount above the allowed amount. 
Improvement: Same comment as above for the participating providers.
Additionally, member must be presented with TCE tool as a reference for comparing and understanding the cost.
Can I help you with anything else today?</t>
  </si>
  <si>
    <t>Emergency Services Qualifications</t>
  </si>
  <si>
    <t xml:space="preserve">**Problematic snippet**
Yes â€” for London, your plan covers emergency medical care anywhere in the world.
A few important details:
- Emergency care is covered worldwide.
- For urgent or emergency care outside the BlueCard service area, Blue Shield Global Core may apply.
- Outside the United States, you will usually need to pay the provider first and then submit a claim for reimbursement.
- If you need help finding a doctor or hospital while traveling, you can call 1-800-810-2583, or call collect at 804-673-1177, 24 hours a day, 7 days a week.
- You can also look for providers at bcbs.com and choose Blue Shield Global Core.
If you'd like, I can also go over how non-emergency care works while you're in London. Can I help you with anything else today?
**Consequence**
Member experience (low impact).
Member would potentially say "no" if they didn't like this as a natural follow-up. 
**Correct action**
The chatbot answered the question specifically.
However, I am not certain if the follow-up question was the right follow-up.
It is correct from relevance perspective. But given the fact member that member is asking for Emergency services and also given the fact that in this case member would have to pay out of pocket. Maybe the natural relevance would be higher for, "what classifies are emergency" and getting myself familiar with those qualifying criteria. </t>
  </si>
  <si>
    <t>Didn't retrieve question specific information: What defines emergency and Out of State Emergency visit</t>
  </si>
  <si>
    <t>**Problematic snippet**
Those are both important questions.
For what counts as an emergency, your plan covers emergency services for an emergency medical condition, and in an emergency you should go straight to the nearest hospital. Emergency care is covered at any hospital, including a non-participating hospital, and no prior approval is needed.
For Florida, yes, youâ€™re covered for emergency care there. If you have an emergency while traveling outside California, you should go to the nearest hospital. Your emergency room cost is the same there as it is here:
- Emergency room facility: $150 per visit plus 20%
- Emergency room doctor: 20%
The calendar year deductible applies first:
- $1,750 for one person
- $3,500 for a family
What you pay counts toward your out-of-pocket maximum:
- $4,500 for one person
- $9,000 for a family
If you need non-emergency care while in Florida, you can look for participating providers through BlueCard at bcbs.com.
Would you like me to also go over the difference between emergency room care and urgent care on your plan?
**Consequence**
Lack of trust
**Correct action**
Part#1: Defining Emergency.
EOC, defines when a situation is emergency. The EOC content is verbose and hard to understand but ideally speaking bot should summarize those conditions so that a member can accurately map their situation to "scenarios" that would be viewed as Emergency.
Along with this there is some supporting content in ECO, such as dial 911 when faced with an an emergency situation.
Part#2: Florida visit.
Assure member that member does have coverage.
Assure member that he/she could in or out of network and hence it doesn't even matter if they are in state or out. this is a very critical nuance.
Alleviate the fear around any prior approvals or claim rejecting by confirming to the members that no prior authorization is needed.
Next is confirm the cost.
Display limits and how these interact with costs</t>
  </si>
  <si>
    <t>Completeness Issue: what qualifies as an emergency and benefits while travel</t>
  </si>
  <si>
    <t>**Problematic snippet**
A few important things to know:
- Emergency care is covered at any hospital, even if itâ€™s non-participating.
- On your plan, emergency room costs are the same for participating and non-participating providers.
- Prior approval is not required for emergency services.
- If youâ€™re admitted to the hospital from the emergency room, the emergency room facility charge does not apply. Instead, inpatient hospital coverage applies, which is 20% after the calendar year deductible.
- Ambulance for emergency or authorized transport is covered at 20% after the calendar year deductible for both participating and non-participating providers.
- Urgent care is usually less expensive than the emergency room: 20% after the calendar year deductible with a participating provider, and 40% after the calendar year deductible with a non-participating provider.
- Your calendar year deductible is $1,750 for one person and $3,500 for a family.
- Your out-of-pocket maximum is $4,500 for one person and $9,000 for a family.
If youâ€™re admitted after emergency treatment, you should notify Blue Shield within 24 hours or as soon as possible after your condition has stabilized.
Can I help you with anything else today?
**Consequence**
1. Member might under OR over exaggerate what defines as Emergency.
2. If not asked non-specifically, member might assume that there is no coverage outside of CA.
**Correct action**
Overall the response to the a generic and an open-ended question was pretty solid.
But there 2 missed opportunities:
1. Although, there is no strict guidance, but EOC does define Emergency condition.
**Page 107** defines various emergency services:
Medical screening, examination, and evaluation by 
a Physician and surgeon, or other appropriately 
licensed persons under the supervision of a Physician 
and surgeon, to determine if an Emergency Medical 
Condition or active labor exists.......[this is an excerpt, complete detail could be found in EOC]
If your condition is not an emergency, but you need treatment that cannot be 
delayed, you can visit an urgent care center to receive care that is typically faster 
and costs less than an emergency room visit.
Additionally on **page 59**, high level emergency benefits are listed:
Benefits include:
â€¢ Physician services; 
â€¢ Emergency room facility services; and
â€¢ Inpatient Hospital services to stabilize your Emergency Medical Condition
2. Second missed opportunity in the response above is Blue Card Program.
the details for the Blue Card Program are provided on **Page 95**
I will prompt the bot to see if I specifically ask for these two aspects of the coverage, is it able to retrieve the information?</t>
  </si>
  <si>
    <t>Missed opportunity for tailored assistance - proactive guidance</t>
  </si>
  <si>
    <t xml:space="preserve">**Problematic snippet**
Congratulations on your new baby.
Yes â€” a breast pump purchase is covered under your plan when you use a participating provider, and it costs nothing.
A few important details:
- Participating provider: covered at no cost
- Non-participating provider: not covered
- This breast pump benefit is separate from the usual durable medical equipment cost share, so the deductible does not apply to the participating breast pump purchase
- Your planâ€™s calendar year out-of-pocket maximum is $4,500 individual and $9,000 family
If you need a provider, you can look for one at blueshieldca.com/find-a-doctor or in the Blue Shield mobile app.
Can I help you with anything else today?
**Consequence**
Lost member value
**Correct action**
Since Member shared that they just had a baby, this is an opportunity to surface closely related other Maternity benefits OR office visit and immunization information for newborns. Those benefits might provide an opportunity for member to understand new set of benefits better with the life change that they are experiencing. </t>
  </si>
  <si>
    <t>199b089dcb5223c740c89a97f4665c22d64cfaf850ea181c6e1ec5b1591f9c03</t>
  </si>
  <si>
    <t>Great proactive follow-up use case</t>
  </si>
  <si>
    <t>**Problematic snippet**
Yes. Here are the age rules for virtual benefits under your plan:
- Primary care: available to all members, but a parent or guardian must be present if the member is under 18
- Mental health visits with an MFT or LCSW through AccoladeCare: age 18 and older
- Health coach services: age 18 and older
- Specialist care: age 18 and older, except:
  - Dermatology, allergy, immunology, and nutrition: age 12 and older
  - Psychology and psychiatry: age 4 and older
- For any virtual visit under age 18, a parent or guardian must be present
Virtual Blue program services offer you an alternative to in-person office visits at no out-of-pocket cost. Virtual Blue services are provided through AccoladeCare or TeleMed2U.
If you want, I can also tell you which virtual mental health options fit a specific age. Can I help you with anything else today?
**Consequence**
Member might assumed that bot provided everything they needed to be aware of.
**Correct action**
Since there are significant age nuances and the member question was so generic. It would be a great use case for tool to prompt member for awareness around age related nuances.</t>
  </si>
  <si>
    <t>Financial clarity, needs improvement</t>
  </si>
  <si>
    <t>**Problematic snippet**
Iâ€™m glad you asked. Your plan does cover behavioral health care.
Virtual Blue program services offer you an alternative to in-person office visits at no out-of-pocket cost. Virtual Blue services are provided through AccoladeCare or TeleMed2U.
For mental health office visits:
- Virtual provider visits cost nothing
- Participating in-person visits are 20% coinsurance after the deductible
- Non-participating visits are 40% coinsurance after the deductible
Other covered behavioral health services include:
- Counseling and psychotherapy
- Medication management
- Intensive outpatient programs
- Partial hospitalization programs
- Psychological testing
- Inpatient mental health care
- Residential mental health treatment
A few important things:
- Many higher-level services commonly need prior authorization
- What you pay for covered services counts toward your calendar year out-of-pocket maximum
- If you use a non-participating provider, your share is usually higher
If you want, I can also break down coverage for one specific type of care, like therapy visits, virtual mental health visits, or intensive outpatient treatment. Can I help you with anything else today?
**Consequence**
Lack of financial clarity resulting in confusion.
**Correct action**
Current language for financial responsibility: "20% after the deductible"
Members don't understand financial terms and also sometimes mis-understand the sequence in which the financial responsibility is distributed across the plan and the subscriber.
Recommendation: Improve financial clarity language
1. Help members understand that they need to pay towards their deductible first.
2. Once the deductible is met, specify to the member that once deductible is met, then member pays 20% of the allowed amount.
In context of the statement, it would serve members better if the tool provided following:
Deductible amount 
if their copayment or coinsurance is applicable towards deductible
OOPmax limit</t>
  </si>
  <si>
    <t>Skipped outpatient day maximum</t>
  </si>
  <si>
    <t>**Problematic snippet**
Yes â€” a few things may matter if the MRI is done at a hospital radiology department:
- If the hospital is participating, your cost is still 20% after your deductible.
- That amount counts toward your calendar year out-of-pocket maximum, which is $4,500 for individual coverage or $9,000 for family coverage.
- MRI is advanced imaging, so prior approval may be required, and your provider should verify that before itâ€™s scheduled.
- Even when the coverage is the same, hospital outpatient departments may bill more than a freestanding radiology center, so your 20% share could end up higher.
One more important point: if you go to a participating hospital facility and part of the service is done by a non-participating provider, your cost share is generally treated like participating care under certain conditions, unless youâ€™re given written notice and agree to different charges.
Can I help you with anything else today?
**Consequence**
Confusion and lack of trust.
Member might wonder if it is applicable OR not. Since mentions in first instance and then second instance does not mention and finally mentions again in a different instance. So might question if it applicable OR not.
**Correct action**
Mention that for outpatient hospital there is a $350 maximum applicable.</t>
  </si>
  <si>
    <t>Knowledge gap: EOC nuance for provider recommendation Diabetes Management</t>
  </si>
  <si>
    <t xml:space="preserve">**Problematic snippet**
For diabetes self-management training, I donâ€™t see anything here saying prior authorization is required.
In general, your plan does require prior authorization for some services, like:
- certain surgeries
- non-emergency inpatient facility services
- some prescription drugs
- advanced imaging like CT scans, MRIs, MRAs, and PET scans
- some mental health and substance use disorder services
If this training is arranged through a participating provider, that provider would handle prior authorization if itâ€™s ever needed.
Can I help you with anything else today?
**Consequence**
Member Abrasion.
**Correct action**
#1: Tool didn't surface provider's role in Diabetes Management.
Self-management training and medical nutrition therapy
Benefits are available for outpatient training, education, and medical nutrition.
#2: Tool refers to "here" as a source. Such as the statement is "I don't see anything here".
Member might not understand what "here" is and hence might be confused.
therapy when directed or prescribed by your Physician. </t>
  </si>
  <si>
    <t>Knowledge gap: Complete benefits view</t>
  </si>
  <si>
    <t>**Problematic snippet**
I understand wanting to know the fine print.
For your plan, the only clinical trial detail I can confirm is this: **prior approval may be required for routine patient care you receive while enrolled in a clinical trial, and your provider should verify that**.
Iâ€™m not able to confirm from here:
- what counts as routine patient care
- what is excluded
- whether a specific trial would qualify
- whether therapeutic intent changes coverage
- eligibility rules for cancer, diabetes, or other clinical trials
If you want, I can still help you understand other parts of your benefits, like specialist visits, hospital care, lab work, imaging, or outpatient treatment. Can I help you with anything else today?
**Consequence**
Member abrasion. 
Member might abandon care as member might not be aware of the benefit.
**Correct action**
Pulled relevant pieces of information from EOC.
Asked relevant follow-up questions
End result: Member asked for a complete understanding of this specific benefits without any gaps. Bot failed to provide that.</t>
  </si>
  <si>
    <t>6cc39307dd997bb061c43c26a5904b969b456d45680cbb238cbd2ab56b1717c5</t>
  </si>
  <si>
    <t>Knowledge Retrieval Failure</t>
  </si>
  <si>
    <t>**Problematic snippet**
I understand why youâ€™re asking, and youâ€™re right that this would matter if youâ€™re considering a clinical trial.
Iâ€™m not able to confirm from here what counts as routine patient care or what is excluded for clinical trials under your plan. I also canâ€™t confirm what would be covered beyond the fact that prior approval is required for routine patient care related to a clinical trial.
If you want, I can still help with other benefits or coverage questions, like office visits, hospital care, lab work, imaging, or specialist care under your plan. Can I help you with anything else today?
**Consequence**
Member may incorrectly believe that they don't have coverage and might abandon care.
**Correct action**
Information exists in EOC but the chatbot failed to locate it or surface it to the members.</t>
  </si>
  <si>
    <t>Missed user intent, Incomplete answer and missing next best action</t>
  </si>
  <si>
    <t>**Problematic snippet**
Iâ€™m sorry to hear about your diagnosis.
For your plan, I can confirm that prior approval is required for routine patient care related to a clinical trial. Iâ€™m not able to confirm from here whether youâ€™re eligible to participate or give full coverage details for the trial itself.
If you want, I can still help with a more specific benefits question related to this, like whether a certain type of visit, lab work, or treatment is covered under your plan. Can I help you with anything else today?
**Consequence**
Member Abrasion
**Correct action**
Here are the key issues:
1. The member question is not about prior authorization, that is secondary.
2. EOC clearly states that routine regular patient care when accepted into an approved clinical trail program. Chatbot never mentions that.
3. Chatbot mentions prior approval but it is incomplete. Prior Authorization needs to be submitted by the doctor.
4. Most importantly, it fails to mention "WHEN" is the coverage available.
5. Does not mention exclusions.
6. Does not provide cost information: Cost sharing is same for covered services. Deductible and out of pocket maximum is applicable.
Summary: Member asked about coverage and chatbot deflected to eligibility. Missed surfacing critical pieces of cost and coverage. What is covered, who puts in approval, what is cost share, what is not covered and finally the next best action.</t>
  </si>
  <si>
    <t>Qualifications to see non-participating providers missing</t>
  </si>
  <si>
    <t>**Problematic snippet**
Yes â€” your plan covers both participating and non-participating providers.
So if you canâ€™t find a participating provider, you can still go to a non-participating provider. The main difference is cost.
In general:
- participating providers usually cost less
- non-participating providers usually cost more
- with many services, participating care is generally 20% coinsurance after the deductible
- non-participating care is generally 40% coinsurance after the deductible
- non-participating providers may also bill you for charges above the allowed amount
So the answer is yes, you can go to a non-participating provider â€” but it can cost quite a bit more.
If you want, I can give you a simple example showing how the cost difference might work. Can I help you with anything else today?
**Consequence**
Impacted Member Trust
**Correct action**
EOC clearly states " Call Customer Service if you need help finding a Participating Provider who can 
provide the care you need close to home. If a Participating Provider is not available, 
you can ask to see a Non-Participating Provider at the Participating Provider Cost 
Share. If the services cannot reasonably be obtained from a Participating Provider, we 
will approve your request and you will only be responsible for the Participating Provider 
Cost Share". Chatbot is unable to identify and surface accurate content.</t>
  </si>
  <si>
    <t>Dual questions with different paths</t>
  </si>
  <si>
    <t>**Problematic snippet**
A non-participating provider might be treated like a participating provider in some situations, but it depends on the type of service and how the claim is handled.
In general, this can happen when:
- emergency care is involved
- urgent care is needed while traveling
- a service is approved under special plan rules
Even in those cases, itâ€™s important to remember that non-participating providers can still bill above the allowed amount unless your plan rules say otherwise for that service.
What type of care are you asking about?
**Consequence**
**Correct action**
If you want, I can also explain when a non-participating provider might still be treated like participating. Can I help you with anything else today?
If answered Yes: Could mean two different things in response to the above question.
Member would need to clarify.</t>
  </si>
  <si>
    <t>Incomplete statement: After the deductible is met</t>
  </si>
  <si>
    <t>**Problematic snippet**
No â€” with this plan, you do not always have to use participating providers.
You can get covered care from both participating and non-participating providers, and you do not need a referral. But participating providers usually cost you less.
Hereâ€™s the main difference:
- Participating provider: you generally pay 20% coinsurance for many services, after the deductible
- Non-participating provider: you generally pay 40% coinsurance for many services, after the deductible
- With non-participating providers, you may also have to pay charges above the allowed amount
A few important exceptions:
- Emergency care is covered the same way whether the provider is participating or non-participating
- Some services are only covered when you use a participating provider
- Virtual Blue program services offer you an alternative to in-person office visits at no out-of-pocket cost. Virtual Blue services are provided through AccoladeCare or TeleMed2U.
If you want, I can also explain when a non-participating provider might still be treated like participating. Can I help you with anything else today?
**Consequence**
Impacted member's cost understanding.
**Correct action**
Complete the statement so that members understands the financial exposure fully.</t>
  </si>
  <si>
    <t>Deductible limits are key to initial cost information: Missing in the initial response, provided on prompting</t>
  </si>
  <si>
    <t>**Problematic snippet**
Your calendar year deductible is:
- **$1,750** for individual coverage
- **$3,500** for family coverage
This plan uses one combined medical and pharmacy deductible.
Can I help you with anything else today?
**Consequence**
Member might not fully understand actual out of pocket exposure.
Member pays out of pocket until deductible is met, once deductible is met then coinsurance kicks in. Once member meets their OOPmax then Plan pays. Language to be surfaced from EOC.
**Correct action**
The initial cost must give all the components of cost.
Par providers - cost
Non- par providers - cost
Deductible limit
OOPmax limit
What happens once you meet your limit?</t>
  </si>
  <si>
    <t>Cost Ambiguity:  Who pays 20%</t>
  </si>
  <si>
    <t>**Problematic snippet**
You do.
That 20% is your share of the cost after you meet your deductible when you see a participating doctor for a second opinion. The plan pays the remaining covered amount.
Can I help you with anything else today?
**Consequence**
Cost confusion
**Correct action**
Member potentially will be confused whether they owe the 20% Or plan pays 20%.
Chatbot must state in the initial response as to which party is responsible for that amount?</t>
  </si>
  <si>
    <t>Unclear virtual visit eligibility</t>
  </si>
  <si>
    <t>**Problematic snippet**
Not necessarily.
For your plan, a second opinion is covered as an office visit:
- participating doctor: 20% after your deductible
- non-participating doctor: 40% after your deductible
- virtual visit: free
Your plan says **some services** need prior approval, but it does not show second opinion visits as a service that always needs prior approval.
Itâ€™s still a good idea to verify with the provider, since prior approval may be required for certain related services.
Can I help you with anything else today?
**Consequence**
Member confusion
**Correct action**
Clearly state that virtual visit - Accolade</t>
  </si>
  <si>
    <t>Incorrect information mapping: Prior Authorization is not required for second opinion</t>
  </si>
  <si>
    <t>**Problematic snippet**
Yes â€” a second opinion is covered under your plan.
Hereâ€™s how it works:
- with a participating doctor, you pay 20% after your deductible
- with a non-participating doctor, you pay 40% after your deductible
- a virtual second opinion visit costs nothing
Virtual Blue program services offer you an alternative to in-person office visits at no out-of-pocket cost. Virtual Blue services are provided through AccoladeCare or TeleMed2U.
Prior approval may be required, so itâ€™s a good idea to verify that with the provider.
Can I help you with anything else today?
**Consequence**
Member confusion owing to conflicting information.
**Correct action**
Pulled the right rule from EOC.
EOC clearly states: "You do not need prior authorization from the Claims Administrator or your Physician for a second medical opinion."</t>
  </si>
  <si>
    <t>High conversational effort: Discover where plan documents live on website</t>
  </si>
  <si>
    <t>**Problematic snippet**
Thanks. On the website, after youâ€™re signed in, look for **My Plan** or **Benefits** in the main menu.
From there, look for a link or section called:
- **Plan documents**
- **Coverage documents**
- **Evidence of Coverage**
- **Benefit booklet**
If you open **My Plan** first, thatâ€™s usually the best place to start.
Can I help you with anything else today?
**Consequence**
Members rephrase repeatedly increasing frustration.
**Correct action**
Too many prompts needed to get to the final answer.
Assumption: In production, chatbot will be able to detect:
1. Member is authenticated.
2. Channel member is on.</t>
  </si>
  <si>
    <t>Did not specify qualifying continuity of care conditions</t>
  </si>
  <si>
    <t>**Problematic snippet**
I understand why youâ€™re asking. I donâ€™t have the exact list of qualifying situations and rules available to give you confidently right now.
What I can say is that continued care may be allowed for a limited time when treatment is already in progress, but the exact conditions, timing, and process matter.
You can sign in at blueshieldca.com and review your plan documents for the full continuity of care details.
Would you like help finding where to look on the website?
**Consequence**
User trust impacted
**Correct action**
State continuity of care conditions.
Qualifying conditions Timeframe
Undergoing a course of institutional or 
inpatient care
90 days from the date of receipt of 
notice of the termination of the Former 
Participating Providerâ€™s contract, the 
Employerâ€™s contract, or until the 
treatment concludes, whichever is sooner
Acute conditions As long as the condition lasts
Maternal mental health condition 12 months after the conditionâ€™s diagnosis 
or 12 months after the end of the 
pregnancy, whichever is later
Ongoing pregnancy care, including care 
immediately after giving birth
Up to 12 months
Recommended surgery or procedure 
documented to occur within 180 days
Within 180 days
Ongoing treatment for a child up to 36 
months old
Up to 12 months
Serious chronic condition Up to 12 months
Terminal illness The duration of the terminal illness
If a condition falls within a qualifying condition under federal and state law, the more 
generous time frames would be followed</t>
  </si>
  <si>
    <t>Incorrect information: Blue Shield does not notify</t>
  </si>
  <si>
    <t>**Problematic snippet**
Blue Shield does not notify members directly if a doctor leaves a practice or stops participating.
The best way to check is at blueshieldca.com/find-a-doctor or in the Blue Shield mobile app, where you can see whether your doctor is still participating under your plan.
If your doctor is no longer participating, you can also use that same tool to find a new participating doctor.
Would you like help checking your doctorâ€™s status or finding a new doctor?
**Consequence**
Member might feel process is broken. Potential brand abrasion.
**Correct action**
State what is presented in EOC. 
Claims Administrator will notify for the member when there is a change in care.</t>
  </si>
  <si>
    <t>Navigation to Accolade</t>
  </si>
  <si>
    <t>**Problematic snippet**
I can confirm the coverage, but I donâ€™t have the website steps for how to get to the virtual mental health option.
What I can tell you is:
- Virtual Blue mental health visits have no out-of-pocket cost through AccoladeCare or TeleMed2U
- Prior approval may be required, and you should verify with your provider
If you want, I can help with another benefits or coverage question.
**Consequence**
journey gap. 
**Correct action**
Since Accolade is a key out of pocket savings for the member, the tool must be able to provide simple directions. Navigate to dashboard if you are not on dashboard. Ideally can the tool have awareness? But it a simple navigation step of Dashboard &gt; click schedule appointments (accolade). 
Members are able to access this on the mobile device as well.</t>
  </si>
  <si>
    <t>063dcfe82905297201c25625f96c1e2d410873c2d023732b76ed4723b3f76bf9</t>
  </si>
  <si>
    <t>Implied chat session persistence not guaranteed</t>
  </si>
  <si>
    <t>**Problematic snippet**
I can only answer questions about benefits and coverage for your plan, and I donâ€™t have information about how the chat behaves if you move to another screen.
If you want, I can still help with your deductible or estimate what 40 mental health visits might cost.
**Consequence**
User trust impacted.
**Correct action**
The tool must be able to present what will the behavior of the chat will be if user navigated to another screen.</t>
  </si>
  <si>
    <t>Did not personalize follow-up</t>
  </si>
  <si>
    <t>**Problematic snippet**
Outpatient mental health services are covered.
For participating providers, hereâ€™s the main outpatient coverage:
- Office visits for mental health care are covered at 20% coinsurance, and the deductible applies
- Other non-routine outpatient mental health services are covered at 20% coinsurance, and the deductible applies
- Partial hospitalization for mental health is covered at 20% coinsurance, and the deductible applies
- Psychological testing is covered at 20% coinsurance, and the deductible applies
Covered outpatient mental health services can include:
- Individual, family, or group office visits
- Telebehavioral health online counseling, psychotherapy, and medication management
- Intensive outpatient programs
- Partial hospitalization programs
- Psychological testing
- Electroconvulsive therapy
- Transcranial magnetic stimulation
- Behavioral health treatment, including applied behavior analysis, when it meets plan rules
Virtual Blue program services offer you an alternative to in-person office visits at no out-of-pocket cost. Virtual Blue services are provided through AccoladeCare or TeleMed2U.
A few important notes:
- Certain outpatient mental health services do require prior approval, including partial hospitalization, intensive outpatient programs, psychological testing, behavioral health treatment, electroconvulsive therapy, and transcranial magnetic stimulation
- If you use a non-participating provider, coverage is 40% coinsurance after the deductible
If you want, I can also break this down by standard therapy visits versus intensive outpatient or partial hospitalization.
**Consequence**
Incomplete cost picture
**Correct action**
Tool must add context to 20%. State member's plan deductible limits. Member meets that first and subsequent coverage. Nothing extensive but personalization with the plan information. In the string of conversation it does not prompt member to understand the plan deductible limits. Tool can also surface instructional text &gt; navigate to my plan page and view your current accumulations. With navigating away from the page member might be concerned that they would potentially loose the chat. Help member understand that they won't.</t>
  </si>
  <si>
    <t>Navigate to find a doctor tool (now or later)</t>
  </si>
  <si>
    <t>**Problematic snippet**
I can help with coverage, but I canâ€™t tell you which doctor you should see.
If you want to find a participating doctor, you can use:
- blueshieldca.com/find-a-doctor
- the Blue Shield mobile app
If youâ€™d like, I can help explain what type of mental health provider is covered under your plan.
**Consequence**
Redundant action
**Correct action**
Tool understands that member is authenticated. Provide CTA and indicate where the link will take them and what they can do. Additionally the link provided isn't incorrect but member can come back to FAD or access the feature on the mobile app.</t>
  </si>
  <si>
    <t>Missing health plan information: Virtual services &gt; health coach covered</t>
  </si>
  <si>
    <t>**Problematic snippet**
Virtual health coaching is not listed as a covered service for your plan.
If you want, I can still help with other virtual care options, like primary care, specialist visits, urgent care, or mental health visits.
Can I help with anything else?
**Consequence**
Member's impacted awareness of the benefit.
**Correct action**
Acknowledged that health coach is covered. Defined context within health coach is offered. Confirmed that it is available in their EOC.</t>
  </si>
  <si>
    <t>Did not specify which services are exclusive to AccoladeCare</t>
  </si>
  <si>
    <t>**Problematic snippet**
Absolutely. Hereâ€™s a simple breakdown of the virtual care you can use:
- Primary care  
  You can see a regular doctor virtually for general health concerns.
- Specialist care  
  You can have virtual visits with certain specialists, and no referral is needed.
- Urgent care  
  You can use virtual urgent care for non-life-threatening issues that need prompt attention.
- Mental health care  
  Virtual mental health services include:
- Counseling
- Psychotherapy
- Medication management
- Substance use disorder care
- Online consultations  
  You can get care through secure online visits.
- Second opinions  
  You can get a virtual second opinion from a general doctor or specialist.
All of these virtual visits cost nothing through the Virtual Blue program.
If you want, I can also go over what kinds of health concerns are usually handled through virtual urgent care.
**Consequence**
Member will not have accurate breakdown of the virtual blue services.
**Correct action**
EOC page 26</t>
  </si>
  <si>
    <t>Retested by Tester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</si>
</sst>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DEEF1-BF98-4912-8F4B-B16C97F07F4C}">
  <dimension ref="A1:L80"/>
  <sheetViews>
    <sheetView tabSelected="1" workbookViewId="0">
      <selection activeCell="N8" sqref="N8"/>
    </sheetView>
  </sheetViews>
  <sheetFormatPr defaultRowHeight="24.75" customHeight="1" x14ac:dyDescent="0.25"/>
  <cols>
    <col min="2" max="2" width="29.5703125" customWidth="1"/>
    <col min="3" max="3" width="33.5703125" customWidth="1"/>
    <col min="4" max="4" width="21" customWidth="1"/>
    <col min="5" max="5" width="17" customWidth="1"/>
    <col min="6" max="6" width="19.5703125" customWidth="1"/>
    <col min="10" max="10" width="18.140625" customWidth="1"/>
    <col min="11" max="11" width="22.140625" bestFit="1" customWidth="1"/>
    <col min="12" max="12" width="11.85546875" customWidth="1"/>
  </cols>
  <sheetData>
    <row r="1" spans="1:11" ht="24.75" customHeight="1" x14ac:dyDescent="0.25">
      <c r="A1" t="s">
        <v>0</v>
      </c>
      <c r="B1" t="s">
        <v>1</v>
      </c>
      <c r="C1" t="s">
        <v>2</v>
      </c>
      <c r="D1" t="s">
        <v>3</v>
      </c>
      <c r="E1" t="s">
        <v>4</v>
      </c>
      <c r="F1" t="s">
        <v>5</v>
      </c>
      <c r="G1" t="s">
        <v>6</v>
      </c>
      <c r="H1" t="s">
        <v>7</v>
      </c>
      <c r="I1" t="s">
        <v>8</v>
      </c>
      <c r="J1" t="s">
        <v>9</v>
      </c>
      <c r="K1" t="s">
        <v>10</v>
      </c>
    </row>
    <row r="2" spans="1:11" ht="24.75" customHeight="1" x14ac:dyDescent="0.25">
      <c r="A2">
        <v>80</v>
      </c>
      <c r="B2" t="s">
        <v>15</v>
      </c>
      <c r="C2" s="1" t="s">
        <v>16</v>
      </c>
      <c r="D2" t="s">
        <v>17</v>
      </c>
      <c r="E2" t="s">
        <v>11</v>
      </c>
      <c r="G2" t="s">
        <v>18</v>
      </c>
      <c r="H2" t="s">
        <v>13</v>
      </c>
      <c r="I2" t="s">
        <v>19</v>
      </c>
      <c r="J2" s="2">
        <v>46191.611446759256</v>
      </c>
      <c r="K2" s="2" t="s">
        <v>20</v>
      </c>
    </row>
    <row r="3" spans="1:11" ht="24.75" customHeight="1" x14ac:dyDescent="0.25">
      <c r="A3">
        <v>79</v>
      </c>
      <c r="B3" t="s">
        <v>21</v>
      </c>
      <c r="C3" s="1" t="s">
        <v>22</v>
      </c>
      <c r="D3" t="s">
        <v>17</v>
      </c>
      <c r="G3" t="s">
        <v>12</v>
      </c>
      <c r="H3" t="s">
        <v>13</v>
      </c>
      <c r="I3" t="s">
        <v>19</v>
      </c>
      <c r="J3" s="2">
        <v>46190.89135416667</v>
      </c>
      <c r="K3" s="2" t="s">
        <v>20</v>
      </c>
    </row>
    <row r="4" spans="1:11" ht="24.75" customHeight="1" x14ac:dyDescent="0.25">
      <c r="A4">
        <v>77</v>
      </c>
      <c r="B4" t="s">
        <v>24</v>
      </c>
      <c r="C4" s="1" t="s">
        <v>25</v>
      </c>
      <c r="D4" t="s">
        <v>17</v>
      </c>
      <c r="G4" t="s">
        <v>23</v>
      </c>
      <c r="H4" t="s">
        <v>13</v>
      </c>
      <c r="I4" t="s">
        <v>19</v>
      </c>
      <c r="J4" s="2">
        <v>46190.88658564815</v>
      </c>
      <c r="K4" s="2" t="s">
        <v>20</v>
      </c>
    </row>
    <row r="5" spans="1:11" ht="24.75" customHeight="1" x14ac:dyDescent="0.25">
      <c r="A5">
        <v>76</v>
      </c>
      <c r="B5" t="s">
        <v>26</v>
      </c>
      <c r="C5" s="1" t="s">
        <v>27</v>
      </c>
      <c r="D5" t="s">
        <v>17</v>
      </c>
      <c r="G5" t="s">
        <v>23</v>
      </c>
      <c r="H5" t="s">
        <v>13</v>
      </c>
      <c r="I5" t="s">
        <v>19</v>
      </c>
      <c r="J5" s="2">
        <v>46190.884953703702</v>
      </c>
      <c r="K5" s="2" t="s">
        <v>20</v>
      </c>
    </row>
    <row r="6" spans="1:11" ht="24.75" customHeight="1" x14ac:dyDescent="0.25">
      <c r="A6">
        <v>75</v>
      </c>
      <c r="B6" t="s">
        <v>28</v>
      </c>
      <c r="C6" s="1" t="s">
        <v>29</v>
      </c>
      <c r="D6" t="s">
        <v>17</v>
      </c>
      <c r="G6" t="s">
        <v>23</v>
      </c>
      <c r="H6" t="s">
        <v>13</v>
      </c>
      <c r="I6" t="s">
        <v>19</v>
      </c>
      <c r="J6" s="2">
        <v>46190.876435185186</v>
      </c>
      <c r="K6" s="2" t="s">
        <v>20</v>
      </c>
    </row>
    <row r="7" spans="1:11" ht="24.75" customHeight="1" x14ac:dyDescent="0.25">
      <c r="A7">
        <v>73</v>
      </c>
      <c r="B7" t="s">
        <v>31</v>
      </c>
      <c r="C7" s="1" t="s">
        <v>32</v>
      </c>
      <c r="D7" t="s">
        <v>17</v>
      </c>
      <c r="E7" t="s">
        <v>33</v>
      </c>
      <c r="G7" t="s">
        <v>23</v>
      </c>
      <c r="H7" t="s">
        <v>34</v>
      </c>
      <c r="I7" t="s">
        <v>19</v>
      </c>
      <c r="J7" s="2">
        <v>46189.983993055554</v>
      </c>
      <c r="K7" s="2" t="s">
        <v>20</v>
      </c>
    </row>
    <row r="8" spans="1:11" ht="24.75" customHeight="1" x14ac:dyDescent="0.25">
      <c r="A8">
        <v>72</v>
      </c>
      <c r="B8" t="s">
        <v>35</v>
      </c>
      <c r="C8" s="1" t="s">
        <v>36</v>
      </c>
      <c r="D8" t="s">
        <v>17</v>
      </c>
      <c r="E8" t="s">
        <v>33</v>
      </c>
      <c r="G8" t="s">
        <v>12</v>
      </c>
      <c r="H8" t="s">
        <v>34</v>
      </c>
      <c r="I8" t="s">
        <v>19</v>
      </c>
      <c r="J8" s="2">
        <v>46189.980138888888</v>
      </c>
      <c r="K8" s="2" t="s">
        <v>20</v>
      </c>
    </row>
    <row r="9" spans="1:11" ht="24.75" customHeight="1" x14ac:dyDescent="0.25">
      <c r="A9">
        <v>70</v>
      </c>
      <c r="B9" t="s">
        <v>38</v>
      </c>
      <c r="C9" s="1" t="s">
        <v>39</v>
      </c>
      <c r="D9" t="s">
        <v>17</v>
      </c>
      <c r="E9" t="s">
        <v>33</v>
      </c>
      <c r="G9" t="s">
        <v>18</v>
      </c>
      <c r="H9" t="s">
        <v>13</v>
      </c>
      <c r="I9" s="3" t="s">
        <v>37</v>
      </c>
      <c r="J9" s="2">
        <v>46189.973576388889</v>
      </c>
      <c r="K9" s="2" t="s">
        <v>20</v>
      </c>
    </row>
    <row r="10" spans="1:11" ht="24.75" customHeight="1" x14ac:dyDescent="0.25">
      <c r="A10">
        <v>69</v>
      </c>
      <c r="B10" t="s">
        <v>40</v>
      </c>
      <c r="C10" s="1" t="s">
        <v>41</v>
      </c>
      <c r="D10" t="s">
        <v>17</v>
      </c>
      <c r="E10" t="s">
        <v>33</v>
      </c>
      <c r="G10" t="s">
        <v>23</v>
      </c>
      <c r="H10" t="s">
        <v>34</v>
      </c>
      <c r="I10" s="3" t="s">
        <v>37</v>
      </c>
      <c r="J10" s="2">
        <v>46189.970983796295</v>
      </c>
      <c r="K10" s="2" t="s">
        <v>20</v>
      </c>
    </row>
    <row r="11" spans="1:11" ht="24.75" customHeight="1" x14ac:dyDescent="0.25">
      <c r="A11">
        <v>66</v>
      </c>
      <c r="B11" t="s">
        <v>42</v>
      </c>
      <c r="C11" s="1" t="s">
        <v>43</v>
      </c>
      <c r="D11" t="s">
        <v>17</v>
      </c>
      <c r="G11" t="s">
        <v>12</v>
      </c>
      <c r="H11" t="s">
        <v>44</v>
      </c>
      <c r="I11" s="3" t="s">
        <v>37</v>
      </c>
      <c r="J11" s="2">
        <v>46188.933055555557</v>
      </c>
      <c r="K11" s="2" t="s">
        <v>20</v>
      </c>
    </row>
    <row r="12" spans="1:11" ht="24.75" customHeight="1" x14ac:dyDescent="0.25">
      <c r="A12">
        <v>65</v>
      </c>
      <c r="B12" t="s">
        <v>45</v>
      </c>
      <c r="C12" s="1" t="s">
        <v>46</v>
      </c>
      <c r="D12" t="s">
        <v>17</v>
      </c>
      <c r="G12" t="s">
        <v>12</v>
      </c>
      <c r="H12" t="s">
        <v>34</v>
      </c>
      <c r="I12" s="3" t="s">
        <v>37</v>
      </c>
      <c r="J12" s="2">
        <v>46188.926388888889</v>
      </c>
      <c r="K12" s="2" t="s">
        <v>20</v>
      </c>
    </row>
    <row r="13" spans="1:11" ht="24.75" customHeight="1" x14ac:dyDescent="0.25">
      <c r="A13">
        <v>64</v>
      </c>
      <c r="B13" t="s">
        <v>47</v>
      </c>
      <c r="C13" s="1" t="s">
        <v>48</v>
      </c>
      <c r="D13" t="s">
        <v>17</v>
      </c>
      <c r="G13" t="s">
        <v>12</v>
      </c>
      <c r="H13" t="s">
        <v>13</v>
      </c>
      <c r="I13" s="3" t="s">
        <v>37</v>
      </c>
      <c r="J13" s="2">
        <v>46188.803611111114</v>
      </c>
      <c r="K13" s="2" t="s">
        <v>20</v>
      </c>
    </row>
    <row r="14" spans="1:11" ht="24.75" customHeight="1" x14ac:dyDescent="0.25">
      <c r="A14">
        <v>63</v>
      </c>
      <c r="B14" t="s">
        <v>49</v>
      </c>
      <c r="C14" s="1" t="s">
        <v>50</v>
      </c>
      <c r="D14" t="s">
        <v>51</v>
      </c>
      <c r="F14" t="str">
        <f>HYPERLINK("https://blueshieldca.sierra.ai/agents/01KQFEJK57ARSBMD4M0CJZN0K0/issues/36", "ISSUE-36")</f>
        <v>ISSUE-36</v>
      </c>
      <c r="G14" t="s">
        <v>12</v>
      </c>
      <c r="H14" t="s">
        <v>14</v>
      </c>
      <c r="I14" s="3" t="s">
        <v>37</v>
      </c>
      <c r="J14" s="2">
        <v>46188.799629629626</v>
      </c>
      <c r="K14" s="2"/>
    </row>
    <row r="15" spans="1:11" ht="24.75" customHeight="1" x14ac:dyDescent="0.25">
      <c r="A15">
        <v>61</v>
      </c>
      <c r="B15" t="s">
        <v>52</v>
      </c>
      <c r="C15" s="1" t="s">
        <v>53</v>
      </c>
      <c r="D15" t="s">
        <v>17</v>
      </c>
      <c r="G15" t="s">
        <v>12</v>
      </c>
      <c r="H15" t="s">
        <v>13</v>
      </c>
      <c r="I15" s="3" t="s">
        <v>37</v>
      </c>
      <c r="J15" s="2">
        <v>46188.766134259262</v>
      </c>
      <c r="K15" s="2" t="s">
        <v>20</v>
      </c>
    </row>
    <row r="16" spans="1:11" ht="24.75" customHeight="1" x14ac:dyDescent="0.25">
      <c r="A16">
        <v>57</v>
      </c>
      <c r="B16" t="s">
        <v>55</v>
      </c>
      <c r="C16" s="1" t="s">
        <v>56</v>
      </c>
      <c r="D16" t="s">
        <v>17</v>
      </c>
      <c r="G16" t="s">
        <v>12</v>
      </c>
      <c r="H16" t="s">
        <v>44</v>
      </c>
      <c r="I16" s="3" t="s">
        <v>37</v>
      </c>
      <c r="J16" s="2">
        <v>46188.724247685182</v>
      </c>
      <c r="K16" s="2" t="s">
        <v>20</v>
      </c>
    </row>
    <row r="17" spans="1:12" ht="24.75" customHeight="1" x14ac:dyDescent="0.25">
      <c r="A17">
        <v>55</v>
      </c>
      <c r="B17" t="s">
        <v>57</v>
      </c>
      <c r="C17" s="1" t="s">
        <v>58</v>
      </c>
      <c r="D17" t="s">
        <v>17</v>
      </c>
      <c r="E17" t="s">
        <v>11</v>
      </c>
      <c r="G17" t="s">
        <v>23</v>
      </c>
      <c r="H17" t="s">
        <v>13</v>
      </c>
      <c r="I17" s="3" t="s">
        <v>37</v>
      </c>
      <c r="J17" s="2">
        <v>46188.677465277775</v>
      </c>
      <c r="K17" s="2" t="s">
        <v>20</v>
      </c>
    </row>
    <row r="18" spans="1:12" ht="24.75" customHeight="1" x14ac:dyDescent="0.25">
      <c r="A18">
        <v>54</v>
      </c>
      <c r="B18" t="s">
        <v>59</v>
      </c>
      <c r="C18" s="1" t="s">
        <v>60</v>
      </c>
      <c r="D18" t="s">
        <v>17</v>
      </c>
      <c r="G18" t="s">
        <v>23</v>
      </c>
      <c r="H18" t="s">
        <v>13</v>
      </c>
      <c r="I18" s="3" t="s">
        <v>37</v>
      </c>
      <c r="J18" s="2">
        <v>46188.675763888888</v>
      </c>
      <c r="K18" s="2" t="s">
        <v>152</v>
      </c>
    </row>
    <row r="19" spans="1:12" ht="24.75" customHeight="1" x14ac:dyDescent="0.25">
      <c r="A19">
        <v>53</v>
      </c>
      <c r="B19" t="s">
        <v>61</v>
      </c>
      <c r="C19" s="1" t="s">
        <v>62</v>
      </c>
      <c r="D19" t="s">
        <v>63</v>
      </c>
      <c r="E19" t="s">
        <v>54</v>
      </c>
      <c r="G19" t="s">
        <v>23</v>
      </c>
      <c r="H19" t="s">
        <v>13</v>
      </c>
      <c r="I19" s="3" t="s">
        <v>37</v>
      </c>
      <c r="J19" s="2">
        <v>46188.672743055555</v>
      </c>
      <c r="K19" s="2"/>
    </row>
    <row r="20" spans="1:12" ht="24.75" customHeight="1" x14ac:dyDescent="0.25">
      <c r="A20">
        <v>52</v>
      </c>
      <c r="B20" t="s">
        <v>64</v>
      </c>
      <c r="C20" s="1" t="s">
        <v>65</v>
      </c>
      <c r="D20" t="s">
        <v>17</v>
      </c>
      <c r="E20" t="s">
        <v>33</v>
      </c>
      <c r="G20" t="s">
        <v>23</v>
      </c>
      <c r="H20" t="s">
        <v>14</v>
      </c>
      <c r="I20" t="s">
        <v>66</v>
      </c>
      <c r="J20" s="2">
        <v>46185.976875</v>
      </c>
      <c r="K20" s="2" t="s">
        <v>20</v>
      </c>
    </row>
    <row r="21" spans="1:12" ht="24.75" customHeight="1" x14ac:dyDescent="0.25">
      <c r="A21">
        <v>51</v>
      </c>
      <c r="B21" t="s">
        <v>67</v>
      </c>
      <c r="C21" s="1" t="s">
        <v>68</v>
      </c>
      <c r="D21" t="s">
        <v>17</v>
      </c>
      <c r="E21" t="s">
        <v>11</v>
      </c>
      <c r="G21" t="s">
        <v>12</v>
      </c>
      <c r="H21" t="s">
        <v>30</v>
      </c>
      <c r="I21" t="s">
        <v>66</v>
      </c>
      <c r="J21" s="2">
        <v>46185.875034722223</v>
      </c>
      <c r="K21" s="2" t="s">
        <v>20</v>
      </c>
    </row>
    <row r="22" spans="1:12" ht="24.75" customHeight="1" x14ac:dyDescent="0.25">
      <c r="A22">
        <v>50</v>
      </c>
      <c r="B22" t="s">
        <v>69</v>
      </c>
      <c r="C22" s="1" t="s">
        <v>70</v>
      </c>
      <c r="D22" t="s">
        <v>17</v>
      </c>
      <c r="E22" t="s">
        <v>11</v>
      </c>
      <c r="G22" t="s">
        <v>12</v>
      </c>
      <c r="H22" t="s">
        <v>44</v>
      </c>
      <c r="I22" t="s">
        <v>66</v>
      </c>
      <c r="J22" s="2">
        <v>46185.617083333331</v>
      </c>
      <c r="K22" s="2" t="s">
        <v>20</v>
      </c>
    </row>
    <row r="23" spans="1:12" ht="24.75" customHeight="1" x14ac:dyDescent="0.25">
      <c r="A23">
        <v>49</v>
      </c>
      <c r="B23" t="s">
        <v>71</v>
      </c>
      <c r="C23" s="1" t="s">
        <v>72</v>
      </c>
      <c r="D23" t="s">
        <v>17</v>
      </c>
      <c r="E23" t="s">
        <v>11</v>
      </c>
      <c r="G23" t="s">
        <v>23</v>
      </c>
      <c r="H23" t="s">
        <v>44</v>
      </c>
      <c r="I23" t="s">
        <v>66</v>
      </c>
      <c r="J23" s="2">
        <v>46185.612187500003</v>
      </c>
      <c r="K23" s="2" t="s">
        <v>152</v>
      </c>
    </row>
    <row r="24" spans="1:12" ht="24.75" customHeight="1" x14ac:dyDescent="0.25">
      <c r="A24">
        <v>48</v>
      </c>
      <c r="B24" t="s">
        <v>73</v>
      </c>
      <c r="C24" s="1" t="s">
        <v>74</v>
      </c>
      <c r="D24" t="s">
        <v>17</v>
      </c>
      <c r="E24" t="s">
        <v>11</v>
      </c>
      <c r="G24" t="s">
        <v>12</v>
      </c>
      <c r="H24" t="s">
        <v>44</v>
      </c>
      <c r="I24" t="s">
        <v>66</v>
      </c>
      <c r="J24" s="2">
        <v>46185.600671296299</v>
      </c>
      <c r="K24" s="2" t="s">
        <v>152</v>
      </c>
    </row>
    <row r="25" spans="1:12" ht="24.75" customHeight="1" x14ac:dyDescent="0.25">
      <c r="A25">
        <v>46</v>
      </c>
      <c r="B25" t="s">
        <v>75</v>
      </c>
      <c r="C25" s="1" t="s">
        <v>76</v>
      </c>
      <c r="D25" t="s">
        <v>17</v>
      </c>
      <c r="G25" t="s">
        <v>12</v>
      </c>
      <c r="H25" t="s">
        <v>13</v>
      </c>
      <c r="I25" t="s">
        <v>66</v>
      </c>
      <c r="J25" s="2">
        <v>46185.582615740743</v>
      </c>
      <c r="K25" s="2" t="s">
        <v>152</v>
      </c>
    </row>
    <row r="26" spans="1:12" ht="24.75" customHeight="1" x14ac:dyDescent="0.25">
      <c r="A26">
        <v>45</v>
      </c>
      <c r="B26" t="s">
        <v>77</v>
      </c>
      <c r="C26" s="1" t="s">
        <v>78</v>
      </c>
      <c r="D26" t="s">
        <v>17</v>
      </c>
      <c r="E26" t="s">
        <v>33</v>
      </c>
      <c r="G26" t="s">
        <v>12</v>
      </c>
      <c r="H26" t="s">
        <v>34</v>
      </c>
      <c r="I26" t="s">
        <v>79</v>
      </c>
      <c r="J26" s="2">
        <v>46184.999745370369</v>
      </c>
      <c r="K26" s="2" t="s">
        <v>20</v>
      </c>
    </row>
    <row r="27" spans="1:12" ht="24.75" customHeight="1" x14ac:dyDescent="0.25">
      <c r="A27">
        <v>44</v>
      </c>
      <c r="B27" t="s">
        <v>80</v>
      </c>
      <c r="C27" s="1" t="s">
        <v>81</v>
      </c>
      <c r="D27" t="s">
        <v>17</v>
      </c>
      <c r="E27" t="s">
        <v>33</v>
      </c>
      <c r="G27" t="s">
        <v>12</v>
      </c>
      <c r="H27" t="s">
        <v>13</v>
      </c>
      <c r="I27" t="s">
        <v>82</v>
      </c>
      <c r="J27" s="2">
        <v>46184.949074074073</v>
      </c>
      <c r="K27" s="2" t="s">
        <v>20</v>
      </c>
    </row>
    <row r="28" spans="1:12" ht="24.75" customHeight="1" x14ac:dyDescent="0.25">
      <c r="A28">
        <v>40</v>
      </c>
      <c r="B28" t="s">
        <v>83</v>
      </c>
      <c r="C28" s="1" t="s">
        <v>84</v>
      </c>
      <c r="D28" t="s">
        <v>51</v>
      </c>
      <c r="E28" t="s">
        <v>33</v>
      </c>
      <c r="F28" t="str">
        <f>HYPERLINK("https://blueshieldca.sierra.ai/agents/01KQFEJK57ARSBMD4M0CJZN0K0/issues/36", "ISSUE-36")</f>
        <v>ISSUE-36</v>
      </c>
      <c r="G28" t="s">
        <v>23</v>
      </c>
      <c r="H28" t="s">
        <v>13</v>
      </c>
      <c r="I28" t="s">
        <v>79</v>
      </c>
      <c r="J28" s="2">
        <v>46184.811921296299</v>
      </c>
      <c r="K28" s="2"/>
    </row>
    <row r="29" spans="1:12" ht="24.75" customHeight="1" x14ac:dyDescent="0.25">
      <c r="A29">
        <v>39</v>
      </c>
      <c r="B29" t="s">
        <v>85</v>
      </c>
      <c r="C29" s="1" t="s">
        <v>86</v>
      </c>
      <c r="D29" t="s">
        <v>63</v>
      </c>
      <c r="E29" t="s">
        <v>87</v>
      </c>
      <c r="G29" t="s">
        <v>12</v>
      </c>
      <c r="H29" t="s">
        <v>44</v>
      </c>
      <c r="I29" t="s">
        <v>79</v>
      </c>
      <c r="J29" s="2">
        <v>46184.738888888889</v>
      </c>
      <c r="K29" s="2"/>
    </row>
    <row r="30" spans="1:12" ht="24.75" customHeight="1" x14ac:dyDescent="0.25">
      <c r="A30">
        <v>37</v>
      </c>
      <c r="B30" t="s">
        <v>88</v>
      </c>
      <c r="C30" s="1" t="s">
        <v>89</v>
      </c>
      <c r="D30" t="s">
        <v>17</v>
      </c>
      <c r="E30" t="s">
        <v>33</v>
      </c>
      <c r="G30" t="s">
        <v>23</v>
      </c>
      <c r="H30" t="s">
        <v>13</v>
      </c>
      <c r="I30" t="s">
        <v>79</v>
      </c>
      <c r="J30" s="2">
        <v>46183.732164351852</v>
      </c>
      <c r="K30" s="2" t="s">
        <v>20</v>
      </c>
    </row>
    <row r="31" spans="1:12" ht="24.75" customHeight="1" x14ac:dyDescent="0.25">
      <c r="A31">
        <v>36</v>
      </c>
      <c r="B31" t="s">
        <v>90</v>
      </c>
      <c r="C31" s="1" t="s">
        <v>91</v>
      </c>
      <c r="D31" t="s">
        <v>17</v>
      </c>
      <c r="E31" t="s">
        <v>11</v>
      </c>
      <c r="G31" t="s">
        <v>23</v>
      </c>
      <c r="H31" t="s">
        <v>30</v>
      </c>
      <c r="I31" s="1" t="s">
        <v>92</v>
      </c>
      <c r="J31" s="2">
        <v>46183.729895833334</v>
      </c>
      <c r="K31" s="1" t="s">
        <v>20</v>
      </c>
      <c r="L31" s="1"/>
    </row>
    <row r="32" spans="1:12" ht="24.75" customHeight="1" x14ac:dyDescent="0.25">
      <c r="A32">
        <v>35</v>
      </c>
      <c r="B32" t="s">
        <v>93</v>
      </c>
      <c r="C32" s="1" t="s">
        <v>94</v>
      </c>
      <c r="D32" t="s">
        <v>51</v>
      </c>
      <c r="E32" t="s">
        <v>11</v>
      </c>
      <c r="F32" t="str">
        <f>HYPERLINK("https://blueshieldca.sierra.ai/agents/01KQFEJK57ARSBMD4M0CJZN0K0/issues/36", "ISSUE-36")</f>
        <v>ISSUE-36</v>
      </c>
      <c r="G32" t="s">
        <v>18</v>
      </c>
      <c r="H32" t="s">
        <v>13</v>
      </c>
      <c r="I32" t="s">
        <v>79</v>
      </c>
      <c r="J32" s="2">
        <v>46183.72047453704</v>
      </c>
      <c r="K32" s="2"/>
    </row>
    <row r="33" spans="1:11" ht="24.75" customHeight="1" x14ac:dyDescent="0.25">
      <c r="A33">
        <v>34</v>
      </c>
      <c r="B33" t="s">
        <v>95</v>
      </c>
      <c r="C33" s="1" t="s">
        <v>96</v>
      </c>
      <c r="D33" t="s">
        <v>63</v>
      </c>
      <c r="E33" t="s">
        <v>11</v>
      </c>
      <c r="G33" t="s">
        <v>12</v>
      </c>
      <c r="H33" t="s">
        <v>13</v>
      </c>
      <c r="I33" t="s">
        <v>82</v>
      </c>
      <c r="J33" s="2">
        <v>46181.889490740738</v>
      </c>
      <c r="K33" s="2"/>
    </row>
    <row r="34" spans="1:11" ht="24.75" customHeight="1" x14ac:dyDescent="0.25">
      <c r="A34">
        <v>33</v>
      </c>
      <c r="B34" t="s">
        <v>97</v>
      </c>
      <c r="C34" s="1" t="s">
        <v>98</v>
      </c>
      <c r="D34" t="s">
        <v>17</v>
      </c>
      <c r="E34" t="s">
        <v>33</v>
      </c>
      <c r="G34" t="s">
        <v>23</v>
      </c>
      <c r="H34" t="s">
        <v>34</v>
      </c>
      <c r="I34" t="s">
        <v>82</v>
      </c>
      <c r="J34" s="2">
        <v>46181.8440625</v>
      </c>
      <c r="K34" s="2" t="s">
        <v>20</v>
      </c>
    </row>
    <row r="35" spans="1:11" ht="24.75" customHeight="1" x14ac:dyDescent="0.25">
      <c r="A35">
        <v>32</v>
      </c>
      <c r="B35" t="s">
        <v>99</v>
      </c>
      <c r="C35" s="1" t="s">
        <v>100</v>
      </c>
      <c r="D35" t="s">
        <v>51</v>
      </c>
      <c r="E35" t="s">
        <v>11</v>
      </c>
      <c r="F35" t="str">
        <f>HYPERLINK("https://blueshieldca.sierra.ai/agents/01KQFEJK57ARSBMD4M0CJZN0K0/issues/34", "ISSUE-34")</f>
        <v>ISSUE-34</v>
      </c>
      <c r="G35" t="s">
        <v>12</v>
      </c>
      <c r="H35" t="s">
        <v>34</v>
      </c>
      <c r="I35" t="s">
        <v>82</v>
      </c>
      <c r="J35" s="2">
        <v>46181.831585648149</v>
      </c>
      <c r="K35" s="2"/>
    </row>
    <row r="36" spans="1:11" ht="24.75" customHeight="1" x14ac:dyDescent="0.25">
      <c r="A36">
        <v>30</v>
      </c>
      <c r="B36" t="s">
        <v>101</v>
      </c>
      <c r="C36" s="1" t="s">
        <v>102</v>
      </c>
      <c r="D36" t="s">
        <v>17</v>
      </c>
      <c r="E36" t="s">
        <v>33</v>
      </c>
      <c r="G36" t="s">
        <v>12</v>
      </c>
      <c r="H36" t="s">
        <v>13</v>
      </c>
      <c r="I36" t="s">
        <v>103</v>
      </c>
      <c r="J36" s="2">
        <v>46178.834351851852</v>
      </c>
      <c r="K36" s="2" t="s">
        <v>152</v>
      </c>
    </row>
    <row r="37" spans="1:11" ht="24.75" customHeight="1" x14ac:dyDescent="0.25">
      <c r="A37">
        <v>29</v>
      </c>
      <c r="B37" t="s">
        <v>104</v>
      </c>
      <c r="C37" s="1" t="s">
        <v>105</v>
      </c>
      <c r="D37" t="s">
        <v>17</v>
      </c>
      <c r="E37" t="s">
        <v>11</v>
      </c>
      <c r="G37" t="s">
        <v>12</v>
      </c>
      <c r="H37" t="s">
        <v>13</v>
      </c>
      <c r="I37" t="s">
        <v>103</v>
      </c>
      <c r="J37" s="2">
        <v>46178.818425925929</v>
      </c>
      <c r="K37" s="2" t="s">
        <v>20</v>
      </c>
    </row>
    <row r="38" spans="1:11" ht="24.75" customHeight="1" x14ac:dyDescent="0.25">
      <c r="A38">
        <v>27</v>
      </c>
      <c r="B38" t="s">
        <v>106</v>
      </c>
      <c r="C38" s="1" t="s">
        <v>107</v>
      </c>
      <c r="D38" t="s">
        <v>51</v>
      </c>
      <c r="F38" t="str">
        <f>HYPERLINK("https://blueshieldca.sierra.ai/agents/01KQFEJK57ARSBMD4M0CJZN0K0/issues/36", "ISSUE-36")</f>
        <v>ISSUE-36</v>
      </c>
      <c r="G38" t="s">
        <v>23</v>
      </c>
      <c r="H38" t="s">
        <v>30</v>
      </c>
      <c r="I38" t="s">
        <v>103</v>
      </c>
      <c r="J38" s="2">
        <v>46178.694027777776</v>
      </c>
      <c r="K38" s="2"/>
    </row>
    <row r="39" spans="1:11" ht="24.75" customHeight="1" x14ac:dyDescent="0.25">
      <c r="A39">
        <v>26</v>
      </c>
      <c r="B39" t="s">
        <v>108</v>
      </c>
      <c r="C39" s="1" t="s">
        <v>109</v>
      </c>
      <c r="D39" t="s">
        <v>17</v>
      </c>
      <c r="E39" t="s">
        <v>33</v>
      </c>
      <c r="G39" t="s">
        <v>12</v>
      </c>
      <c r="H39" t="s">
        <v>44</v>
      </c>
      <c r="I39" t="s">
        <v>103</v>
      </c>
      <c r="J39" s="2">
        <v>46177.574699074074</v>
      </c>
      <c r="K39" s="2" t="s">
        <v>20</v>
      </c>
    </row>
    <row r="40" spans="1:11" ht="24.75" customHeight="1" x14ac:dyDescent="0.25">
      <c r="A40">
        <v>25</v>
      </c>
      <c r="B40" t="s">
        <v>110</v>
      </c>
      <c r="C40" s="1" t="s">
        <v>111</v>
      </c>
      <c r="D40" t="s">
        <v>17</v>
      </c>
      <c r="E40" t="s">
        <v>33</v>
      </c>
      <c r="G40" t="s">
        <v>12</v>
      </c>
      <c r="H40" t="s">
        <v>34</v>
      </c>
      <c r="I40" t="s">
        <v>103</v>
      </c>
      <c r="J40" s="2">
        <v>46176.793553240743</v>
      </c>
      <c r="K40" s="2" t="s">
        <v>20</v>
      </c>
    </row>
    <row r="41" spans="1:11" ht="24.75" customHeight="1" x14ac:dyDescent="0.25">
      <c r="A41">
        <v>23</v>
      </c>
      <c r="B41" t="s">
        <v>112</v>
      </c>
      <c r="C41" s="1" t="s">
        <v>113</v>
      </c>
      <c r="D41" t="s">
        <v>17</v>
      </c>
      <c r="E41" t="s">
        <v>33</v>
      </c>
      <c r="G41" t="s">
        <v>18</v>
      </c>
      <c r="H41" t="s">
        <v>34</v>
      </c>
      <c r="I41" t="s">
        <v>114</v>
      </c>
      <c r="J41" s="2">
        <v>46175.915324074071</v>
      </c>
      <c r="K41" s="2" t="s">
        <v>20</v>
      </c>
    </row>
    <row r="42" spans="1:11" ht="24.75" customHeight="1" x14ac:dyDescent="0.25">
      <c r="A42">
        <v>22</v>
      </c>
      <c r="B42" t="s">
        <v>115</v>
      </c>
      <c r="C42" s="1" t="s">
        <v>116</v>
      </c>
      <c r="D42" t="s">
        <v>17</v>
      </c>
      <c r="E42" t="s">
        <v>33</v>
      </c>
      <c r="G42" t="s">
        <v>18</v>
      </c>
      <c r="H42" t="s">
        <v>34</v>
      </c>
      <c r="I42" t="s">
        <v>114</v>
      </c>
      <c r="J42" s="2">
        <v>46175.908472222225</v>
      </c>
      <c r="K42" s="2" t="s">
        <v>152</v>
      </c>
    </row>
    <row r="43" spans="1:11" ht="24.75" customHeight="1" x14ac:dyDescent="0.25">
      <c r="A43">
        <v>21</v>
      </c>
      <c r="B43" t="s">
        <v>117</v>
      </c>
      <c r="C43" s="1" t="s">
        <v>118</v>
      </c>
      <c r="D43" t="s">
        <v>17</v>
      </c>
      <c r="E43" t="s">
        <v>33</v>
      </c>
      <c r="G43" t="s">
        <v>18</v>
      </c>
      <c r="H43" t="s">
        <v>13</v>
      </c>
      <c r="I43" t="s">
        <v>114</v>
      </c>
      <c r="J43" s="2">
        <v>46175.72278935185</v>
      </c>
      <c r="K43" s="2" t="s">
        <v>152</v>
      </c>
    </row>
    <row r="44" spans="1:11" ht="24.75" customHeight="1" x14ac:dyDescent="0.25">
      <c r="A44">
        <v>20</v>
      </c>
      <c r="B44" t="s">
        <v>119</v>
      </c>
      <c r="C44" s="1" t="s">
        <v>120</v>
      </c>
      <c r="D44" t="s">
        <v>17</v>
      </c>
      <c r="E44" t="s">
        <v>11</v>
      </c>
      <c r="G44" t="s">
        <v>18</v>
      </c>
      <c r="H44" t="s">
        <v>34</v>
      </c>
      <c r="I44" t="s">
        <v>114</v>
      </c>
      <c r="J44" s="2">
        <v>46171.874490740738</v>
      </c>
      <c r="K44" s="2" t="s">
        <v>152</v>
      </c>
    </row>
    <row r="45" spans="1:11" ht="24.75" customHeight="1" x14ac:dyDescent="0.25">
      <c r="A45">
        <v>19</v>
      </c>
      <c r="B45" t="s">
        <v>121</v>
      </c>
      <c r="C45" s="1" t="s">
        <v>122</v>
      </c>
      <c r="D45" t="s">
        <v>63</v>
      </c>
      <c r="E45" t="s">
        <v>11</v>
      </c>
      <c r="G45" t="s">
        <v>12</v>
      </c>
      <c r="H45" t="s">
        <v>30</v>
      </c>
      <c r="I45" t="s">
        <v>114</v>
      </c>
      <c r="J45" s="2">
        <v>46171.869351851848</v>
      </c>
      <c r="K45" s="2"/>
    </row>
    <row r="46" spans="1:11" ht="24.75" customHeight="1" x14ac:dyDescent="0.25">
      <c r="A46">
        <v>18</v>
      </c>
      <c r="B46" t="s">
        <v>123</v>
      </c>
      <c r="C46" s="1" t="s">
        <v>124</v>
      </c>
      <c r="D46" t="s">
        <v>51</v>
      </c>
      <c r="E46" t="s">
        <v>11</v>
      </c>
      <c r="F46" t="str">
        <f>HYPERLINK("https://blueshieldca.sierra.ai/agents/01KQFEJK57ARSBMD4M0CJZN0K0/issues/36", "ISSUE-36")</f>
        <v>ISSUE-36</v>
      </c>
      <c r="G46" t="s">
        <v>23</v>
      </c>
      <c r="H46" t="s">
        <v>13</v>
      </c>
      <c r="I46" t="s">
        <v>114</v>
      </c>
      <c r="J46" s="2">
        <v>46171.86791666667</v>
      </c>
      <c r="K46" s="2"/>
    </row>
    <row r="47" spans="1:11" ht="24.75" customHeight="1" x14ac:dyDescent="0.25">
      <c r="A47">
        <v>16</v>
      </c>
      <c r="B47" t="s">
        <v>125</v>
      </c>
      <c r="C47" s="1" t="s">
        <v>126</v>
      </c>
      <c r="D47" t="s">
        <v>51</v>
      </c>
      <c r="E47" t="s">
        <v>11</v>
      </c>
      <c r="F47" t="str">
        <f>HYPERLINK("https://blueshieldca.sierra.ai/agents/01KQFEJK57ARSBMD4M0CJZN0K0/issues/36", "ISSUE-36")</f>
        <v>ISSUE-36</v>
      </c>
      <c r="G47" t="s">
        <v>23</v>
      </c>
      <c r="H47" t="s">
        <v>13</v>
      </c>
      <c r="I47" t="s">
        <v>114</v>
      </c>
      <c r="J47" s="2">
        <v>46171.800347222219</v>
      </c>
      <c r="K47" s="2"/>
    </row>
    <row r="48" spans="1:11" ht="24.75" customHeight="1" x14ac:dyDescent="0.25">
      <c r="A48">
        <v>15</v>
      </c>
      <c r="B48" t="s">
        <v>127</v>
      </c>
      <c r="C48" s="1" t="s">
        <v>128</v>
      </c>
      <c r="D48" t="s">
        <v>51</v>
      </c>
      <c r="E48" t="s">
        <v>11</v>
      </c>
      <c r="F48" t="str">
        <f>HYPERLINK("https://blueshieldca.sierra.ai/agents/01KQFEJK57ARSBMD4M0CJZN0K0/issues/36", "ISSUE-36")</f>
        <v>ISSUE-36</v>
      </c>
      <c r="G48" t="s">
        <v>12</v>
      </c>
      <c r="H48" t="s">
        <v>13</v>
      </c>
      <c r="I48" t="s">
        <v>114</v>
      </c>
      <c r="J48" s="2">
        <v>46171.797754629632</v>
      </c>
      <c r="K48" s="2"/>
    </row>
    <row r="49" spans="1:11" ht="24.75" customHeight="1" x14ac:dyDescent="0.25">
      <c r="A49">
        <v>14</v>
      </c>
      <c r="B49" t="s">
        <v>129</v>
      </c>
      <c r="C49" s="1" t="s">
        <v>130</v>
      </c>
      <c r="D49" t="s">
        <v>17</v>
      </c>
      <c r="E49" t="s">
        <v>11</v>
      </c>
      <c r="G49" t="s">
        <v>23</v>
      </c>
      <c r="H49" t="s">
        <v>13</v>
      </c>
      <c r="I49" t="s">
        <v>114</v>
      </c>
      <c r="J49" s="2">
        <v>46171.794016203705</v>
      </c>
      <c r="K49" s="2" t="s">
        <v>152</v>
      </c>
    </row>
    <row r="50" spans="1:11" ht="24.75" customHeight="1" x14ac:dyDescent="0.25">
      <c r="A50">
        <v>13</v>
      </c>
      <c r="B50" t="s">
        <v>131</v>
      </c>
      <c r="C50" s="1" t="s">
        <v>132</v>
      </c>
      <c r="D50" t="s">
        <v>17</v>
      </c>
      <c r="E50" t="s">
        <v>33</v>
      </c>
      <c r="G50" t="s">
        <v>23</v>
      </c>
      <c r="H50" t="s">
        <v>44</v>
      </c>
      <c r="I50" t="s">
        <v>114</v>
      </c>
      <c r="J50" s="2">
        <v>46171.79047453704</v>
      </c>
      <c r="K50" s="2" t="s">
        <v>20</v>
      </c>
    </row>
    <row r="51" spans="1:11" ht="24.75" customHeight="1" x14ac:dyDescent="0.25">
      <c r="A51">
        <v>12</v>
      </c>
      <c r="B51" t="s">
        <v>133</v>
      </c>
      <c r="C51" s="1" t="s">
        <v>134</v>
      </c>
      <c r="D51" t="s">
        <v>63</v>
      </c>
      <c r="E51" t="s">
        <v>11</v>
      </c>
      <c r="G51" t="s">
        <v>12</v>
      </c>
      <c r="H51" t="s">
        <v>13</v>
      </c>
      <c r="I51" t="s">
        <v>114</v>
      </c>
      <c r="J51" s="2">
        <v>46171.782650462963</v>
      </c>
      <c r="K51" s="2"/>
    </row>
    <row r="52" spans="1:11" ht="24.75" customHeight="1" x14ac:dyDescent="0.25">
      <c r="A52">
        <v>11</v>
      </c>
      <c r="B52" t="s">
        <v>135</v>
      </c>
      <c r="C52" s="1" t="s">
        <v>136</v>
      </c>
      <c r="D52" t="s">
        <v>17</v>
      </c>
      <c r="E52" t="s">
        <v>33</v>
      </c>
      <c r="G52" t="s">
        <v>18</v>
      </c>
      <c r="H52" t="s">
        <v>13</v>
      </c>
      <c r="I52" t="s">
        <v>114</v>
      </c>
      <c r="J52" s="2">
        <v>46171.773900462962</v>
      </c>
      <c r="K52" s="2" t="s">
        <v>20</v>
      </c>
    </row>
    <row r="53" spans="1:11" ht="24.75" customHeight="1" x14ac:dyDescent="0.25">
      <c r="A53">
        <v>9</v>
      </c>
      <c r="B53" t="s">
        <v>137</v>
      </c>
      <c r="C53" s="1" t="s">
        <v>138</v>
      </c>
      <c r="D53" t="s">
        <v>17</v>
      </c>
      <c r="E53" t="s">
        <v>33</v>
      </c>
      <c r="G53" t="s">
        <v>12</v>
      </c>
      <c r="H53" t="s">
        <v>34</v>
      </c>
      <c r="J53" s="2">
        <v>46171.70952546296</v>
      </c>
      <c r="K53" s="2" t="s">
        <v>20</v>
      </c>
    </row>
    <row r="54" spans="1:11" ht="24.75" customHeight="1" x14ac:dyDescent="0.25">
      <c r="A54">
        <v>8</v>
      </c>
      <c r="B54" t="s">
        <v>139</v>
      </c>
      <c r="C54" s="1" t="s">
        <v>140</v>
      </c>
      <c r="D54" t="s">
        <v>17</v>
      </c>
      <c r="E54" t="s">
        <v>33</v>
      </c>
      <c r="G54" t="s">
        <v>12</v>
      </c>
      <c r="H54" t="s">
        <v>34</v>
      </c>
      <c r="I54" t="s">
        <v>141</v>
      </c>
      <c r="J54" s="2">
        <v>46170.987696759257</v>
      </c>
      <c r="K54" s="2" t="s">
        <v>152</v>
      </c>
    </row>
    <row r="55" spans="1:11" ht="24.75" customHeight="1" x14ac:dyDescent="0.25">
      <c r="A55">
        <v>7</v>
      </c>
      <c r="B55" t="s">
        <v>142</v>
      </c>
      <c r="C55" s="1" t="s">
        <v>143</v>
      </c>
      <c r="D55" t="s">
        <v>63</v>
      </c>
      <c r="E55" t="s">
        <v>54</v>
      </c>
      <c r="G55" t="s">
        <v>12</v>
      </c>
      <c r="H55" t="s">
        <v>13</v>
      </c>
      <c r="I55" t="s">
        <v>141</v>
      </c>
      <c r="J55" s="2">
        <v>46170.982673611114</v>
      </c>
      <c r="K55" s="2"/>
    </row>
    <row r="56" spans="1:11" ht="24.75" customHeight="1" x14ac:dyDescent="0.25">
      <c r="A56">
        <v>6</v>
      </c>
      <c r="B56" t="s">
        <v>144</v>
      </c>
      <c r="C56" s="1" t="s">
        <v>145</v>
      </c>
      <c r="D56" t="s">
        <v>63</v>
      </c>
      <c r="E56" t="s">
        <v>11</v>
      </c>
      <c r="G56" t="s">
        <v>23</v>
      </c>
      <c r="H56" t="s">
        <v>13</v>
      </c>
      <c r="I56" t="s">
        <v>141</v>
      </c>
      <c r="J56" s="2">
        <v>46170.980347222219</v>
      </c>
      <c r="K56" s="2"/>
    </row>
    <row r="57" spans="1:11" ht="24.75" customHeight="1" x14ac:dyDescent="0.25">
      <c r="A57">
        <v>5</v>
      </c>
      <c r="B57" t="s">
        <v>146</v>
      </c>
      <c r="C57" s="1" t="s">
        <v>147</v>
      </c>
      <c r="D57" t="s">
        <v>17</v>
      </c>
      <c r="E57" t="s">
        <v>33</v>
      </c>
      <c r="G57" t="s">
        <v>23</v>
      </c>
      <c r="H57" t="s">
        <v>34</v>
      </c>
      <c r="I57" t="s">
        <v>141</v>
      </c>
      <c r="J57" s="2">
        <v>46170.974027777775</v>
      </c>
      <c r="K57" s="2" t="s">
        <v>152</v>
      </c>
    </row>
    <row r="58" spans="1:11" ht="24.75" customHeight="1" x14ac:dyDescent="0.25">
      <c r="A58">
        <v>4</v>
      </c>
      <c r="B58" t="s">
        <v>148</v>
      </c>
      <c r="C58" s="1" t="s">
        <v>149</v>
      </c>
      <c r="D58" t="s">
        <v>17</v>
      </c>
      <c r="E58" t="s">
        <v>11</v>
      </c>
      <c r="G58" t="s">
        <v>23</v>
      </c>
      <c r="H58" t="s">
        <v>34</v>
      </c>
      <c r="I58" t="s">
        <v>141</v>
      </c>
      <c r="J58" s="2">
        <v>46170.863587962966</v>
      </c>
      <c r="K58" s="2" t="s">
        <v>152</v>
      </c>
    </row>
    <row r="59" spans="1:11" ht="24.75" customHeight="1" x14ac:dyDescent="0.25">
      <c r="A59">
        <v>3</v>
      </c>
      <c r="B59" t="s">
        <v>150</v>
      </c>
      <c r="C59" s="1" t="s">
        <v>151</v>
      </c>
      <c r="D59" t="s">
        <v>17</v>
      </c>
      <c r="E59" t="s">
        <v>11</v>
      </c>
      <c r="G59" t="s">
        <v>23</v>
      </c>
      <c r="H59" t="s">
        <v>13</v>
      </c>
      <c r="I59" t="s">
        <v>141</v>
      </c>
      <c r="J59" s="2">
        <v>46170.858055555553</v>
      </c>
      <c r="K59" s="2" t="s">
        <v>20</v>
      </c>
    </row>
    <row r="60" spans="1:11" ht="24.75" customHeight="1" x14ac:dyDescent="0.25">
      <c r="C60" s="1"/>
      <c r="J60" s="2"/>
      <c r="K60" s="2"/>
    </row>
    <row r="61" spans="1:11" ht="24.75" customHeight="1" x14ac:dyDescent="0.25">
      <c r="C61" s="1"/>
      <c r="J61" s="2"/>
      <c r="K61" s="2"/>
    </row>
    <row r="62" spans="1:11" ht="24.75" customHeight="1" x14ac:dyDescent="0.25">
      <c r="C62" s="1"/>
      <c r="J62" s="2"/>
      <c r="K62" s="2"/>
    </row>
    <row r="63" spans="1:11" ht="24.75" customHeight="1" x14ac:dyDescent="0.25">
      <c r="C63" s="1"/>
      <c r="J63" s="2"/>
      <c r="K63" s="2"/>
    </row>
    <row r="64" spans="1:11" ht="24.75" customHeight="1" x14ac:dyDescent="0.25">
      <c r="C64" s="1"/>
      <c r="I64" s="3"/>
      <c r="J64" s="2"/>
      <c r="K64" s="2"/>
    </row>
    <row r="65" spans="3:11" ht="24.75" customHeight="1" x14ac:dyDescent="0.25">
      <c r="C65" s="1"/>
      <c r="I65" s="3"/>
      <c r="J65" s="2"/>
      <c r="K65" s="2"/>
    </row>
    <row r="66" spans="3:11" ht="24.75" customHeight="1" x14ac:dyDescent="0.25">
      <c r="C66" s="1"/>
      <c r="I66" s="3"/>
      <c r="J66" s="2"/>
      <c r="K66" s="2"/>
    </row>
    <row r="67" spans="3:11" ht="24.75" customHeight="1" x14ac:dyDescent="0.25">
      <c r="C67" s="1"/>
      <c r="I67" s="3"/>
      <c r="J67" s="2"/>
      <c r="K67" s="2"/>
    </row>
    <row r="68" spans="3:11" ht="24.75" customHeight="1" x14ac:dyDescent="0.25">
      <c r="C68" s="1"/>
      <c r="I68" s="3"/>
      <c r="J68" s="2"/>
      <c r="K68" s="2"/>
    </row>
    <row r="69" spans="3:11" ht="24.75" customHeight="1" x14ac:dyDescent="0.25">
      <c r="C69" s="1"/>
      <c r="I69" s="3"/>
      <c r="J69" s="2"/>
      <c r="K69" s="2"/>
    </row>
    <row r="70" spans="3:11" ht="24.75" customHeight="1" x14ac:dyDescent="0.25">
      <c r="C70" s="1"/>
      <c r="I70" s="3"/>
      <c r="J70" s="2"/>
      <c r="K70" s="2"/>
    </row>
    <row r="71" spans="3:11" ht="24.75" customHeight="1" x14ac:dyDescent="0.25">
      <c r="C71" s="1"/>
      <c r="I71" s="3"/>
      <c r="J71" s="2"/>
      <c r="K71" s="2"/>
    </row>
    <row r="72" spans="3:11" ht="24.75" customHeight="1" x14ac:dyDescent="0.25">
      <c r="C72" s="1"/>
      <c r="J72" s="2"/>
      <c r="K72" s="2"/>
    </row>
    <row r="73" spans="3:11" ht="24.75" customHeight="1" x14ac:dyDescent="0.25">
      <c r="C73" s="1"/>
      <c r="J73" s="2"/>
      <c r="K73" s="2"/>
    </row>
    <row r="74" spans="3:11" ht="24.75" customHeight="1" x14ac:dyDescent="0.25">
      <c r="C74" s="1"/>
      <c r="J74" s="2"/>
      <c r="K74" s="2"/>
    </row>
    <row r="75" spans="3:11" ht="24.75" customHeight="1" x14ac:dyDescent="0.25">
      <c r="C75" s="1"/>
      <c r="J75" s="2"/>
      <c r="K75" s="2"/>
    </row>
    <row r="76" spans="3:11" ht="24.75" customHeight="1" x14ac:dyDescent="0.25">
      <c r="C76" s="1"/>
      <c r="J76" s="2"/>
      <c r="K76" s="2"/>
    </row>
    <row r="77" spans="3:11" ht="24.75" customHeight="1" x14ac:dyDescent="0.25">
      <c r="C77" s="1"/>
      <c r="J77" s="2"/>
      <c r="K77" s="2"/>
    </row>
    <row r="78" spans="3:11" ht="24.75" customHeight="1" x14ac:dyDescent="0.25">
      <c r="C78" s="1"/>
      <c r="J78" s="2"/>
      <c r="K78" s="2"/>
    </row>
    <row r="79" spans="3:11" ht="24.75" customHeight="1" x14ac:dyDescent="0.25">
      <c r="C79" s="1"/>
      <c r="J79" s="2"/>
      <c r="K79" s="2"/>
    </row>
    <row r="80" spans="3:11" ht="24.75" customHeight="1" x14ac:dyDescent="0.25">
      <c r="C80" s="1"/>
      <c r="J80" s="2"/>
      <c r="K80" s="2"/>
    </row>
  </sheetData>
  <sortState xmlns:xlrd2="http://schemas.microsoft.com/office/spreadsheetml/2017/richdata2" ref="A2:L80">
    <sortCondition descending="1" ref="A2:A8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11a9632-52d6-437d-a1bd-124fc413507c">
      <Terms xmlns="http://schemas.microsoft.com/office/infopath/2007/PartnerControls"/>
    </lcf76f155ced4ddcb4097134ff3c332f>
    <TaxCatchAll xmlns="17910cd5-70c1-4239-b9ff-d7613c6001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21B296DDBC80749A3D70731348000FD" ma:contentTypeVersion="15" ma:contentTypeDescription="Create a new document." ma:contentTypeScope="" ma:versionID="1959dc8844adca7e6e69c07297c427fc">
  <xsd:schema xmlns:xsd="http://www.w3.org/2001/XMLSchema" xmlns:xs="http://www.w3.org/2001/XMLSchema" xmlns:p="http://schemas.microsoft.com/office/2006/metadata/properties" xmlns:ns2="c11a9632-52d6-437d-a1bd-124fc413507c" xmlns:ns3="17910cd5-70c1-4239-b9ff-d7613c60014c" targetNamespace="http://schemas.microsoft.com/office/2006/metadata/properties" ma:root="true" ma:fieldsID="a1b3798e4eb7beb16df5505e6a583372" ns2:_="" ns3:_="">
    <xsd:import namespace="c11a9632-52d6-437d-a1bd-124fc413507c"/>
    <xsd:import namespace="17910cd5-70c1-4239-b9ff-d7613c6001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a9632-52d6-437d-a1bd-124fc41350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4e2d374-62a2-4eb1-8bab-73f0d6e3530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910cd5-70c1-4239-b9ff-d7613c60014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93a9be7-1c91-4d7c-b968-f557ed4743f2}" ma:internalName="TaxCatchAll" ma:showField="CatchAllData" ma:web="17910cd5-70c1-4239-b9ff-d7613c6001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AE702C-4D83-4898-B945-A63DCDED3E1D}">
  <ds:schemaRefs>
    <ds:schemaRef ds:uri="http://schemas.microsoft.com/office/2006/metadata/properties"/>
    <ds:schemaRef ds:uri="http://schemas.microsoft.com/office/infopath/2007/PartnerControls"/>
    <ds:schemaRef ds:uri="c11a9632-52d6-437d-a1bd-124fc413507c"/>
    <ds:schemaRef ds:uri="17910cd5-70c1-4239-b9ff-d7613c60014c"/>
  </ds:schemaRefs>
</ds:datastoreItem>
</file>

<file path=customXml/itemProps2.xml><?xml version="1.0" encoding="utf-8"?>
<ds:datastoreItem xmlns:ds="http://schemas.openxmlformats.org/officeDocument/2006/customXml" ds:itemID="{6C9EC81F-7C68-4F76-BF43-AB32683786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1a9632-52d6-437d-a1bd-124fc413507c"/>
    <ds:schemaRef ds:uri="17910cd5-70c1-4239-b9ff-d7613c6001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892DFF-AEBC-4C1F-9618-C089BEBB24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July 2 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chanc</dc:creator>
  <cp:keywords/>
  <dc:description/>
  <cp:lastModifiedBy>Chance</cp:lastModifiedBy>
  <cp:revision/>
  <dcterms:created xsi:type="dcterms:W3CDTF">2026-07-03T00:53:50Z</dcterms:created>
  <dcterms:modified xsi:type="dcterms:W3CDTF">2026-07-09T15:25:22Z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0x010100021B296DDBC80749A3D70731348000FD</vt:lpwstr>
  </property>
  <property fmtid="{D5CDD505-2E9C-101B-9397-08002B2CF9AE}" pid="3" name="MediaServiceImageTags">
    <vt:lpwstr/>
  </property>
</Properties>
</file>