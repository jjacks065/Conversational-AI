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https://blueshieldca-my.sharepoint.com/personal/jhughe03_blueshieldca_com/Documents/Documents/Sierra/MEM Chat/"/>
    </mc:Choice>
  </mc:AlternateContent>
  <xr:revisionPtr revIDLastSave="17" documentId="8_{4278ECE2-2720-0947-9097-0BBF4FB15583}" xr6:coauthVersionLast="47" xr6:coauthVersionMax="47" xr10:uidLastSave="{2A1EA674-3BD8-3344-BBA6-B2A6FF4BF4B6}"/>
  <bookViews>
    <workbookView xWindow="31280" yWindow="2380" windowWidth="25060" windowHeight="14660" firstSheet="1" activeTab="1" xr2:uid="{DFA68D30-DE57-4321-B00D-8D1D2ADFB76A}"/>
  </bookViews>
  <sheets>
    <sheet name="Instructions" sheetId="2" r:id="rId1"/>
    <sheet name="AI Use Case Risk Questionnaire"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3" i="1" l="1"/>
  <c r="F40" i="1"/>
  <c r="F45" i="1"/>
  <c r="F15" i="1"/>
  <c r="F13" i="1"/>
  <c r="F11" i="1"/>
  <c r="F37" i="1"/>
  <c r="F31" i="1"/>
  <c r="F29" i="1"/>
  <c r="F26" i="1"/>
  <c r="F23" i="1"/>
  <c r="A5" i="1" l="1"/>
  <c r="B5" i="1" s="1" a="1"/>
  <c r="B5" i="1" s="1"/>
  <c r="C5" i="1" l="1" a="1"/>
  <c r="C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<sst xmlns="http://schemas.openxmlformats.org/spreadsheetml/2006/main" count="101" uniqueCount="100">
  <si>
    <t>Step</t>
  </si>
  <si>
    <t>Instruction</t>
  </si>
  <si>
    <t>Support</t>
  </si>
  <si>
    <t>On the "AI Use Case Risk Questionnaire" tab, fill out row 3
- JIRA ID: must be a link to the JIRA issue
- AI Use Case Name: must be the same as the JIRA issue
- AI Use Case Description (High-Level): a description 
    aligned with the content in the JIRA issue</t>
  </si>
  <si>
    <t>On the "AI Use Case Risk Questionnaire" tab, fill out column E, "Selected Option", by selecting an option from the drop down list. All questions must have an answer for the use case to be scored.</t>
  </si>
  <si>
    <t>Per question definitions and examples</t>
  </si>
  <si>
    <t>OPTIONAL: Add notes in column G, "Notes", to expedite review.</t>
  </si>
  <si>
    <t>Save a copy of this file and attach it to the JIRA issue</t>
  </si>
  <si>
    <t>JIRA ID</t>
  </si>
  <si>
    <t>AI Use Case Name</t>
  </si>
  <si>
    <t>AI Use Case Description (high-level)</t>
  </si>
  <si>
    <t>Score</t>
  </si>
  <si>
    <t>Risk Level</t>
  </si>
  <si>
    <t>Characteristics</t>
  </si>
  <si>
    <t>Category</t>
  </si>
  <si>
    <t>Question</t>
  </si>
  <si>
    <t>Response Options</t>
  </si>
  <si>
    <t>Point Value</t>
  </si>
  <si>
    <t>Selected Option</t>
  </si>
  <si>
    <t>Selected Point Value</t>
  </si>
  <si>
    <t>Notes</t>
  </si>
  <si>
    <t>Data Sensitivity &amp; Privacy</t>
  </si>
  <si>
    <t>What type of sensitive data is involved in the AI use case?</t>
  </si>
  <si>
    <t>No sensitive data (only public or non-PII data)</t>
  </si>
  <si>
    <t>Contains PHI (health-related personal data, e.g. medical info)</t>
  </si>
  <si>
    <t>Contains PII (personal identifiers, no health or payment data)</t>
  </si>
  <si>
    <t>Does the use case involve payment card data (PCI)?</t>
  </si>
  <si>
    <r>
      <rPr>
        <b/>
        <sz val="11"/>
        <color theme="1"/>
        <rFont val="Segoe UI"/>
        <family val="2"/>
      </rPr>
      <t>No</t>
    </r>
    <r>
      <rPr>
        <sz val="11"/>
        <color theme="1"/>
        <rFont val="Segoe UI"/>
        <family val="2"/>
      </rPr>
      <t>: no payment card data involved</t>
    </r>
  </si>
  <si>
    <t>No: no payment card data involved</t>
  </si>
  <si>
    <r>
      <rPr>
        <b/>
        <sz val="11"/>
        <color theme="1"/>
        <rFont val="Segoe UI"/>
        <family val="2"/>
      </rPr>
      <t>Yes</t>
    </r>
    <r>
      <rPr>
        <sz val="11"/>
        <color theme="1"/>
        <rFont val="Segoe UI"/>
        <family val="2"/>
      </rPr>
      <t>: processes or stores PCI data</t>
    </r>
  </si>
  <si>
    <t>Do we retain ownership of data once entered into a vendor system?</t>
  </si>
  <si>
    <r>
      <rPr>
        <b/>
        <sz val="11"/>
        <color theme="1"/>
        <rFont val="Segoe UI"/>
        <family val="2"/>
      </rPr>
      <t>Yes</t>
    </r>
    <r>
      <rPr>
        <sz val="11"/>
        <color theme="1"/>
        <rFont val="Segoe UI"/>
        <family val="2"/>
      </rPr>
      <t>: Our organization retains ownership of the data</t>
    </r>
  </si>
  <si>
    <t>Yes: Our organization retains ownership of the data</t>
  </si>
  <si>
    <r>
      <rPr>
        <b/>
        <sz val="11"/>
        <color theme="1"/>
        <rFont val="Segoe UI"/>
        <family val="2"/>
      </rPr>
      <t>No</t>
    </r>
    <r>
      <rPr>
        <sz val="11"/>
        <color theme="1"/>
        <rFont val="Segoe UI"/>
        <family val="2"/>
      </rPr>
      <t>: Vendor owns and controls the data once entered</t>
    </r>
  </si>
  <si>
    <t>Where is the data stored?</t>
  </si>
  <si>
    <r>
      <rPr>
        <b/>
        <sz val="11"/>
        <color theme="1"/>
        <rFont val="Segoe UI"/>
        <family val="2"/>
      </rPr>
      <t>Internally</t>
    </r>
    <r>
      <rPr>
        <sz val="11"/>
        <color theme="1"/>
        <rFont val="Segoe UI"/>
        <family val="2"/>
      </rPr>
      <t xml:space="preserve"> (on our systems or on-premise storage)</t>
    </r>
  </si>
  <si>
    <t>Externally (on a vendor’s or cloud provider’s systems)</t>
  </si>
  <si>
    <r>
      <rPr>
        <b/>
        <sz val="11"/>
        <color theme="1"/>
        <rFont val="Segoe UI"/>
        <family val="2"/>
      </rPr>
      <t>Externally</t>
    </r>
    <r>
      <rPr>
        <sz val="11"/>
        <color theme="1"/>
        <rFont val="Segoe UI"/>
        <family val="2"/>
      </rPr>
      <t xml:space="preserve"> (on a vendor’s or cloud provider’s systems)</t>
    </r>
  </si>
  <si>
    <t>Operational Impact &amp; Safety</t>
  </si>
  <si>
    <t>What is the potential operational impact if the AI fails or errs?</t>
  </si>
  <si>
    <r>
      <rPr>
        <b/>
        <sz val="11"/>
        <color theme="1"/>
        <rFont val="Segoe UI"/>
        <family val="2"/>
      </rPr>
      <t>Low impact</t>
    </r>
    <r>
      <rPr>
        <sz val="11"/>
        <color theme="1"/>
        <rFont val="Segoe UI"/>
        <family val="2"/>
      </rPr>
      <t>: Minimal disruption (internal use, minor efficiency loss)</t>
    </r>
  </si>
  <si>
    <t>High impact: Critical operations or member-facing services affected; significant disruption</t>
  </si>
  <si>
    <r>
      <rPr>
        <b/>
        <sz val="11"/>
        <color theme="1"/>
        <rFont val="Segoe UI"/>
        <family val="2"/>
      </rPr>
      <t>Moderate impact</t>
    </r>
    <r>
      <rPr>
        <sz val="11"/>
        <color theme="1"/>
        <rFont val="Segoe UI"/>
        <family val="2"/>
      </rPr>
      <t>: Some business processes or user experience affected</t>
    </r>
  </si>
  <si>
    <r>
      <rPr>
        <b/>
        <sz val="11"/>
        <color theme="1"/>
        <rFont val="Segoe UI"/>
        <family val="2"/>
      </rPr>
      <t>High impact</t>
    </r>
    <r>
      <rPr>
        <sz val="11"/>
        <color theme="1"/>
        <rFont val="Segoe UI"/>
        <family val="2"/>
      </rPr>
      <t>: Critical operations or member-facing services affected; significant disruption</t>
    </r>
  </si>
  <si>
    <t>AI Model Autonomy &amp; Complexity</t>
  </si>
  <si>
    <t>How would you characterize the AI model’s complexity and autonomy?</t>
  </si>
  <si>
    <r>
      <rPr>
        <b/>
        <sz val="11"/>
        <color theme="1"/>
        <rFont val="Segoe UI"/>
        <family val="2"/>
      </rPr>
      <t>Simple/assistive</t>
    </r>
    <r>
      <rPr>
        <sz val="11"/>
        <color theme="1"/>
        <rFont val="Segoe UI"/>
        <family val="2"/>
      </rPr>
      <t>: Basic model or rules; human reviews key outputs</t>
    </r>
  </si>
  <si>
    <t>Complex/autonomous: Advanced AI making decisions with minimal human oversight</t>
  </si>
  <si>
    <r>
      <rPr>
        <b/>
        <sz val="11"/>
        <color theme="1"/>
        <rFont val="Segoe UI"/>
        <family val="2"/>
      </rPr>
      <t>Moderate</t>
    </r>
    <r>
      <rPr>
        <sz val="11"/>
        <color theme="1"/>
        <rFont val="Segoe UI"/>
        <family val="2"/>
      </rPr>
      <t>: ML model influencing decisions; some human oversight</t>
    </r>
  </si>
  <si>
    <r>
      <rPr>
        <b/>
        <sz val="11"/>
        <color theme="1"/>
        <rFont val="Segoe UI"/>
        <family val="2"/>
      </rPr>
      <t>Complex/autonomous</t>
    </r>
    <r>
      <rPr>
        <sz val="11"/>
        <color theme="1"/>
        <rFont val="Segoe UI"/>
        <family val="2"/>
      </rPr>
      <t>: Advanced AI making decisions with minimal human oversight</t>
    </r>
  </si>
  <si>
    <t>Third-Party / Vendor Risk</t>
  </si>
  <si>
    <t>What is the level of third-party/vendor involvement?</t>
  </si>
  <si>
    <r>
      <rPr>
        <b/>
        <sz val="11"/>
        <color theme="1"/>
        <rFont val="Segoe UI"/>
        <family val="2"/>
      </rPr>
      <t>None</t>
    </r>
    <r>
      <rPr>
        <sz val="11"/>
        <color theme="1"/>
        <rFont val="Segoe UI"/>
        <family val="2"/>
      </rPr>
      <t>: Fully developed and hosted in-house</t>
    </r>
  </si>
  <si>
    <t>Partial: Uses third-party components, but under our control</t>
  </si>
  <si>
    <r>
      <rPr>
        <b/>
        <sz val="11"/>
        <color theme="1"/>
        <rFont val="Segoe UI"/>
        <family val="2"/>
      </rPr>
      <t>Partial</t>
    </r>
    <r>
      <rPr>
        <sz val="11"/>
        <color theme="1"/>
        <rFont val="Segoe UI"/>
        <family val="2"/>
      </rPr>
      <t>: Uses third-party components, but under our control</t>
    </r>
  </si>
  <si>
    <r>
      <rPr>
        <b/>
        <sz val="11"/>
        <color theme="1"/>
        <rFont val="Segoe UI"/>
        <family val="2"/>
      </rPr>
      <t>Significant</t>
    </r>
    <r>
      <rPr>
        <sz val="11"/>
        <color theme="1"/>
        <rFont val="Segoe UI"/>
        <family val="2"/>
      </rPr>
      <t>: Relies on third-party services; sensitive data or control is external</t>
    </r>
  </si>
  <si>
    <t>Controls &amp; Documentation</t>
  </si>
  <si>
    <t>Are required controls and documentation in place?</t>
  </si>
  <si>
    <r>
      <rPr>
        <b/>
        <sz val="11"/>
        <color theme="1"/>
        <rFont val="Segoe UI"/>
        <family val="2"/>
      </rPr>
      <t>Fully</t>
    </r>
    <r>
      <rPr>
        <sz val="11"/>
        <color theme="1"/>
        <rFont val="Segoe UI"/>
        <family val="2"/>
      </rPr>
      <t>: All necessary controls implemented and documented</t>
    </r>
  </si>
  <si>
    <t>Partially: Some controls exist, but gaps or incomplete documentation</t>
  </si>
  <si>
    <r>
      <rPr>
        <b/>
        <sz val="11"/>
        <color theme="1"/>
        <rFont val="Segoe UI"/>
        <family val="2"/>
      </rPr>
      <t>Partially</t>
    </r>
    <r>
      <rPr>
        <sz val="11"/>
        <color theme="1"/>
        <rFont val="Segoe UI"/>
        <family val="2"/>
      </rPr>
      <t>: Some controls exist, but gaps or incomplete documentation</t>
    </r>
  </si>
  <si>
    <r>
      <rPr>
        <b/>
        <sz val="11"/>
        <color theme="1"/>
        <rFont val="Segoe UI"/>
        <family val="2"/>
      </rPr>
      <t>Minimal/None</t>
    </r>
    <r>
      <rPr>
        <sz val="11"/>
        <color theme="1"/>
        <rFont val="Segoe UI"/>
        <family val="2"/>
      </rPr>
      <t>: Few to no formal controls or documentation</t>
    </r>
  </si>
  <si>
    <t>Compliance &amp; Regulatory</t>
  </si>
  <si>
    <t>Do external compliance standards apply to this AI use case?</t>
  </si>
  <si>
    <r>
      <rPr>
        <b/>
        <sz val="11"/>
        <color theme="1"/>
        <rFont val="Segoe UI"/>
        <family val="2"/>
      </rPr>
      <t>No</t>
    </r>
    <r>
      <rPr>
        <sz val="11"/>
        <color theme="1"/>
        <rFont val="Segoe UI"/>
        <family val="2"/>
      </rPr>
      <t>: Only internal policies</t>
    </r>
  </si>
  <si>
    <t>Yes: Subject to one or more major standards (e.g. HIPAA, HITRUST, PCI-DSS, or SOC 2)</t>
  </si>
  <si>
    <r>
      <rPr>
        <b/>
        <sz val="11"/>
        <color theme="1"/>
        <rFont val="Segoe UI"/>
        <family val="2"/>
      </rPr>
      <t>Yes</t>
    </r>
    <r>
      <rPr>
        <sz val="11"/>
        <color theme="1"/>
        <rFont val="Segoe UI"/>
        <family val="2"/>
      </rPr>
      <t>: Subject to one or more major standards (e.g. HIPAA, HITRUST, PCI-DSS, or SOC 2)</t>
    </r>
  </si>
  <si>
    <t>Ethical AI – Fairness &amp; Bias</t>
  </si>
  <si>
    <t>Could the AI’s outcomes result in biased or unfair impacts?</t>
  </si>
  <si>
    <r>
      <rPr>
        <b/>
        <sz val="11"/>
        <color theme="1"/>
        <rFont val="Segoe UI"/>
        <family val="2"/>
      </rPr>
      <t>Unlikely</t>
    </r>
    <r>
      <rPr>
        <sz val="11"/>
        <color theme="1"/>
        <rFont val="Segoe UI"/>
        <family val="2"/>
      </rPr>
      <t>: Little or no risk of bias</t>
    </r>
  </si>
  <si>
    <t>Unlikely: Little or no risk of bias</t>
  </si>
  <si>
    <r>
      <rPr>
        <b/>
        <sz val="11"/>
        <color theme="1"/>
        <rFont val="Segoe UI"/>
        <family val="2"/>
      </rPr>
      <t>Possible</t>
    </r>
    <r>
      <rPr>
        <sz val="11"/>
        <color theme="1"/>
        <rFont val="Segoe UI"/>
        <family val="2"/>
      </rPr>
      <t>: Some risk of bias, but mitigation measures or bias testing in place</t>
    </r>
  </si>
  <si>
    <r>
      <rPr>
        <b/>
        <sz val="11"/>
        <color theme="1"/>
        <rFont val="Segoe UI"/>
        <family val="2"/>
      </rPr>
      <t>Likely</t>
    </r>
    <r>
      <rPr>
        <sz val="11"/>
        <color theme="1"/>
        <rFont val="Segoe UI"/>
        <family val="2"/>
      </rPr>
      <t>: Significant risk of bias or discrimination; no mitigation yet</t>
    </r>
  </si>
  <si>
    <t>Does the AI make or influence decisions affecting individuals?</t>
  </si>
  <si>
    <r>
      <rPr>
        <b/>
        <sz val="11"/>
        <color theme="1"/>
        <rFont val="Segoe UI"/>
        <family val="2"/>
      </rPr>
      <t>Unlikely</t>
    </r>
    <r>
      <rPr>
        <sz val="11"/>
        <color theme="1"/>
        <rFont val="Segoe UI"/>
        <family val="2"/>
      </rPr>
      <t>: Tool use is limited to support internal company practices</t>
    </r>
  </si>
  <si>
    <t>Likely: Tool makes or materially influences decisions (e.g. access, eligibility, clinical, reimbursement)</t>
  </si>
  <si>
    <r>
      <rPr>
        <b/>
        <sz val="11"/>
        <color theme="1"/>
        <rFont val="Segoe UI"/>
        <family val="2"/>
      </rPr>
      <t>Partially</t>
    </r>
    <r>
      <rPr>
        <sz val="11"/>
        <color theme="1"/>
        <rFont val="Segoe UI"/>
        <family val="2"/>
      </rPr>
      <t>: Tool might have member impact, but there are mechanisms for human review or correction</t>
    </r>
  </si>
  <si>
    <r>
      <rPr>
        <b/>
        <sz val="11"/>
        <color theme="1"/>
        <rFont val="Segoe UI"/>
        <family val="2"/>
      </rPr>
      <t>Likely</t>
    </r>
    <r>
      <rPr>
        <sz val="11"/>
        <color theme="1"/>
        <rFont val="Segoe UI"/>
        <family val="2"/>
      </rPr>
      <t>: Tool makes or materially influences decisions (e.g. access, eligibility, clinical, reimbursement)</t>
    </r>
  </si>
  <si>
    <t>Transparency &amp; Explainability</t>
  </si>
  <si>
    <t>Are the AI system’s decisions explainable to stakeholders?</t>
  </si>
  <si>
    <r>
      <rPr>
        <b/>
        <sz val="11"/>
        <color theme="1"/>
        <rFont val="Segoe UI"/>
        <family val="2"/>
      </rPr>
      <t>Yes</t>
    </r>
    <r>
      <rPr>
        <sz val="11"/>
        <color theme="1"/>
        <rFont val="Segoe UI"/>
        <family val="2"/>
      </rPr>
      <t>: Decisions are explainable and interpretable</t>
    </r>
  </si>
  <si>
    <t>Yes: Decisions are explainable and interpretable</t>
  </si>
  <si>
    <r>
      <rPr>
        <b/>
        <sz val="11"/>
        <color theme="1"/>
        <rFont val="Segoe UI"/>
        <family val="2"/>
      </rPr>
      <t>Partially</t>
    </r>
    <r>
      <rPr>
        <sz val="11"/>
        <color theme="1"/>
        <rFont val="Segoe UI"/>
        <family val="2"/>
      </rPr>
      <t>: Some aspects are explainable; others are opaque</t>
    </r>
  </si>
  <si>
    <r>
      <rPr>
        <b/>
        <sz val="11"/>
        <color theme="1"/>
        <rFont val="Segoe UI"/>
        <family val="2"/>
      </rPr>
      <t>No</t>
    </r>
    <r>
      <rPr>
        <sz val="11"/>
        <color theme="1"/>
        <rFont val="Segoe UI"/>
        <family val="2"/>
      </rPr>
      <t>: Operates as a black box; little to no transparency</t>
    </r>
  </si>
  <si>
    <t>Security &amp; Resilience</t>
  </si>
  <si>
    <t>Are security and resilience measures in place for the AI system?</t>
  </si>
  <si>
    <r>
      <rPr>
        <b/>
        <sz val="11"/>
        <color theme="1"/>
        <rFont val="Segoe UI"/>
        <family val="2"/>
      </rPr>
      <t>Yes</t>
    </r>
    <r>
      <rPr>
        <sz val="11"/>
        <color theme="1"/>
        <rFont val="Segoe UI"/>
        <family val="2"/>
      </rPr>
      <t>: Strong safeguards and adversarial testing completed</t>
    </r>
  </si>
  <si>
    <t>Yes: Strong safeguards and adversarial testing completed</t>
  </si>
  <si>
    <r>
      <rPr>
        <b/>
        <sz val="11"/>
        <color theme="1"/>
        <rFont val="Segoe UI"/>
        <family val="2"/>
      </rPr>
      <t>Partial</t>
    </r>
    <r>
      <rPr>
        <sz val="11"/>
        <color theme="1"/>
        <rFont val="Segoe UI"/>
        <family val="2"/>
      </rPr>
      <t>: Some security measures in place; gaps exist</t>
    </r>
  </si>
  <si>
    <r>
      <rPr>
        <b/>
        <sz val="11"/>
        <color theme="1"/>
        <rFont val="Segoe UI"/>
        <family val="2"/>
      </rPr>
      <t>No</t>
    </r>
    <r>
      <rPr>
        <sz val="11"/>
        <color theme="1"/>
        <rFont val="Segoe UI"/>
        <family val="2"/>
      </rPr>
      <t>: Security and resilience not adequately addressed</t>
    </r>
  </si>
  <si>
    <t>Monitoring &amp; Maintenance</t>
  </si>
  <si>
    <t>Is there a plan for human review of AI outputs prior to use?</t>
  </si>
  <si>
    <r>
      <rPr>
        <b/>
        <sz val="11"/>
        <color theme="1"/>
        <rFont val="Segoe UI"/>
        <family val="2"/>
      </rPr>
      <t>Yes</t>
    </r>
    <r>
      <rPr>
        <sz val="11"/>
        <color theme="1"/>
        <rFont val="Segoe UI"/>
        <family val="2"/>
      </rPr>
      <t>: Our employee reviews prior to public dissemination</t>
    </r>
  </si>
  <si>
    <t>Yes: Our employee reviews prior to public dissemination</t>
  </si>
  <si>
    <r>
      <rPr>
        <b/>
        <sz val="11"/>
        <color theme="1"/>
        <rFont val="Segoe UI"/>
        <family val="2"/>
      </rPr>
      <t>No</t>
    </r>
    <r>
      <rPr>
        <sz val="11"/>
        <color theme="1"/>
        <rFont val="Segoe UI"/>
        <family val="2"/>
      </rPr>
      <t>: Either a vendor employee or no human in the loop prior to dissemination</t>
    </r>
  </si>
  <si>
    <t>Is there a plan for ongoing monitoring and maintenance?</t>
  </si>
  <si>
    <r>
      <rPr>
        <b/>
        <sz val="11"/>
        <color theme="1"/>
        <rFont val="Segoe UI"/>
        <family val="2"/>
      </rPr>
      <t>Yes</t>
    </r>
    <r>
      <rPr>
        <sz val="11"/>
        <color theme="1"/>
        <rFont val="Segoe UI"/>
        <family val="2"/>
      </rPr>
      <t>: Comprehensive monitoring plan (performance, bias, drift, incident response)</t>
    </r>
  </si>
  <si>
    <t>Yes: Comprehensive monitoring plan (performance, bias, drift, incident response)</t>
  </si>
  <si>
    <r>
      <rPr>
        <b/>
        <sz val="11"/>
        <color theme="1"/>
        <rFont val="Segoe UI"/>
        <family val="2"/>
      </rPr>
      <t>Partial</t>
    </r>
    <r>
      <rPr>
        <sz val="11"/>
        <color theme="1"/>
        <rFont val="Segoe UI"/>
        <family val="2"/>
      </rPr>
      <t>: Basic monitoring exists, but not comprehensive</t>
    </r>
  </si>
  <si>
    <r>
      <rPr>
        <b/>
        <sz val="11"/>
        <color theme="1"/>
        <rFont val="Segoe UI"/>
        <family val="2"/>
      </rPr>
      <t>No</t>
    </r>
    <r>
      <rPr>
        <sz val="11"/>
        <color theme="1"/>
        <rFont val="Segoe UI"/>
        <family val="2"/>
      </rPr>
      <t>: No clear post-deployment monitoring or maintenance plan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</si>
</sst>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1"/>
      <color theme="1"/>
      <name val="Segoe UI"/>
      <family val="2"/>
    </font>
    <font>
      <b/>
      <sz val="11"/>
      <color theme="1"/>
      <name val="Segoe UI"/>
      <family val="2"/>
    </font>
    <font>
      <u/>
      <sz val="11"/>
      <color theme="10"/>
      <name val="Aptos Narrow"/>
      <family val="2"/>
      <scheme val="minor"/>
    </font>
  </fonts>
  <fills count="3">
    <fill>
      <patternFill patternType="none"/>
    </fill>
    <fill>
      <patternFill patternType="gray125"/>
    </fill>
    <fill>
      <patternFill patternType="solid">
        <fgColor rgb="FFF5F5F5"/>
        <bgColor indexed="64"/>
      </patternFill>
    </fill>
  </fills>
  <borders count="4">
    <border>
      <left/>
      <right/>
      <top/>
      <bottom/>
      <diagonal/>
    </border>
    <border>
      <left style="medium">
        <color rgb="FFE6E6E6"/>
      </left>
      <right style="medium">
        <color rgb="FFE6E6E6"/>
      </right>
      <top style="medium">
        <color rgb="FFE6E6E6"/>
      </top>
      <bottom style="medium">
        <color rgb="FFE6E6E6"/>
      </bottom>
      <diagonal/>
    </border>
    <border>
      <left style="medium">
        <color rgb="FFE6E6E6"/>
      </left>
      <right style="medium">
        <color rgb="FFE6E6E6"/>
      </right>
      <top style="medium">
        <color rgb="FFE6E6E6"/>
      </top>
      <bottom/>
      <diagonal/>
    </border>
    <border>
      <left style="medium">
        <color rgb="FFE6E6E6"/>
      </left>
      <right style="medium">
        <color rgb="FFE6E6E6"/>
      </right>
      <top/>
      <bottom style="medium">
        <color rgb="FFE6E6E6"/>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0" fontId="2" fillId="2" borderId="1" xfId="0" applyFont="1" applyFill="1" applyBorder="1" applyAlignment="1">
      <alignment horizontal="center" vertical="center" wrapText="1"/>
    </xf>
    <xf numFmtId="0" fontId="0" fillId="0" borderId="0" xfId="0" applyAlignment="1">
      <alignment vertical="center" wrapText="1"/>
    </xf>
    <xf numFmtId="0" fontId="0" fillId="0" borderId="0" xfId="0" applyAlignment="1">
      <alignment wrapText="1"/>
    </xf>
    <xf numFmtId="0" fontId="0" fillId="0" borderId="0" xfId="0" applyAlignment="1">
      <alignment vertical="center"/>
    </xf>
    <xf numFmtId="0" fontId="0" fillId="0" borderId="0" xfId="0" applyAlignment="1">
      <alignment horizontal="center" vertical="center"/>
    </xf>
    <xf numFmtId="0" fontId="3" fillId="0" borderId="0" xfId="1" applyAlignment="1">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wrapText="1"/>
    </xf>
    <xf numFmtId="0" fontId="1" fillId="0" borderId="0" xfId="0" applyFont="1" applyAlignment="1">
      <alignment horizont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left" wrapText="1"/>
    </xf>
    <xf numFmtId="0" fontId="1" fillId="0" borderId="0" xfId="0" applyFont="1" applyAlignment="1">
      <alignment horizontal="left" vertical="center" wrapText="1"/>
    </xf>
    <xf numFmtId="0" fontId="1" fillId="0" borderId="0" xfId="0" applyFont="1" applyAlignment="1">
      <alignment horizontal="center" wrapText="1"/>
    </xf>
    <xf numFmtId="0" fontId="2" fillId="0" borderId="1" xfId="0" applyFont="1" applyBorder="1" applyAlignment="1">
      <alignment horizontal="center" vertical="center" wrapText="1"/>
    </xf>
    <xf numFmtId="0" fontId="1" fillId="0" borderId="1" xfId="0" applyFont="1" applyBorder="1" applyAlignment="1">
      <alignment horizontal="left" vertical="top"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2" fillId="2" borderId="1" xfId="0" applyFont="1" applyFill="1" applyBorder="1" applyAlignment="1">
      <alignment horizontal="center" vertical="center" wrapText="1"/>
    </xf>
  </cellXfs>
  <cellStyles count="2">
    <cellStyle name="Hyperlink" xfId="1" builtinId="8"/>
    <cellStyle name="Normal" xfId="0" builtinId="0"/>
  </cellStyles>
  <dxfs count="3">
    <dxf>
      <alignment horizontal="general" vertical="center" textRotation="0"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E5DB31-5D66-4FFB-A337-2AB4D7DAEB54}" name="Table1" displayName="Table1" ref="A1:C5" totalsRowShown="0">
  <autoFilter ref="A1:C5" xr:uid="{9FE5DB31-5D66-4FFB-A337-2AB4D7DAEB54}">
    <filterColumn colId="0" hiddenButton="1"/>
    <filterColumn colId="1" hiddenButton="1"/>
    <filterColumn colId="2" hiddenButton="1"/>
  </autoFilter>
  <tableColumns count="3">
    <tableColumn id="1" xr3:uid="{5C0D5ADF-031F-41CB-B93B-3059B507C019}" name="Step" dataDxfId="2"/>
    <tableColumn id="2" xr3:uid="{AF19DBF2-681C-4202-B50E-B314C6927B0E}" name="Instruction" dataDxfId="1"/>
    <tableColumn id="3" xr3:uid="{2597C073-E6CF-4996-99C3-052FD55EC937}" name="Suppor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blueshieldca.atlassian.net/wiki/spaces/ISRM/pages/1917255764/AI+Use+Case+Risk+Assessment+Process+Support+Gui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CAC6B-843A-49D4-A0E4-9EE4F21D5799}">
  <dimension ref="A1:C5"/>
  <sheetViews>
    <sheetView workbookViewId="0"/>
  </sheetViews>
  <sheetFormatPr defaultColWidth="8.85546875" defaultRowHeight="15"/>
  <cols>
    <col min="1" max="1" width="9.7109375" style="5" bestFit="1" customWidth="1"/>
    <col min="2" max="2" width="55.85546875" style="3" bestFit="1" customWidth="1"/>
    <col min="3" max="3" width="42.42578125" customWidth="1"/>
  </cols>
  <sheetData>
    <row r="1" spans="1:3" ht="15.95">
      <c r="A1" s="5" t="s">
        <v>0</v>
      </c>
      <c r="B1" s="2" t="s">
        <v>1</v>
      </c>
      <c r="C1" s="4" t="s">
        <v>2</v>
      </c>
    </row>
    <row r="2" spans="1:3" ht="80.099999999999994">
      <c r="A2" s="5">
        <v>1</v>
      </c>
      <c r="B2" s="2" t="s">
        <v>3</v>
      </c>
      <c r="C2" s="4"/>
    </row>
    <row r="3" spans="1:3" ht="48">
      <c r="A3" s="5">
        <v>2</v>
      </c>
      <c r="B3" s="2" t="s">
        <v>4</v>
      </c>
      <c r="C3" s="6" t="s">
        <v>5</v>
      </c>
    </row>
    <row r="4" spans="1:3" ht="15.95">
      <c r="A4" s="5">
        <v>3</v>
      </c>
      <c r="B4" s="2" t="s">
        <v>6</v>
      </c>
      <c r="C4" s="4"/>
    </row>
    <row r="5" spans="1:3" ht="15.95">
      <c r="A5" s="5">
        <v>4</v>
      </c>
      <c r="B5" s="2" t="s">
        <v>7</v>
      </c>
      <c r="C5" s="4"/>
    </row>
  </sheetData>
  <hyperlinks>
    <hyperlink ref="C3" r:id="rId1" xr:uid="{7BAFEE33-E2DB-4C9A-8785-EFEC0EDC6C0D}"/>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7751C-234C-4695-BA4C-0AC0DEADAB3B}">
  <dimension ref="A1:G49"/>
  <sheetViews>
    <sheetView tabSelected="1" workbookViewId="0">
      <selection activeCell="B45" sqref="B45:B47"/>
    </sheetView>
  </sheetViews>
  <sheetFormatPr defaultColWidth="9.140625" defaultRowHeight="15.95"/>
  <cols>
    <col min="1" max="1" width="25.42578125" style="9" bestFit="1" customWidth="1"/>
    <col min="2" max="2" width="46.140625" style="9" customWidth="1"/>
    <col min="3" max="3" width="64.85546875" style="9" customWidth="1"/>
    <col min="4" max="4" width="12.7109375" style="10" bestFit="1" customWidth="1"/>
    <col min="5" max="5" width="30.7109375" style="9" customWidth="1"/>
    <col min="6" max="6" width="15.85546875" style="9" customWidth="1"/>
    <col min="7" max="7" width="62.28515625" style="9" customWidth="1"/>
    <col min="8" max="16384" width="9.140625" style="9"/>
  </cols>
  <sheetData>
    <row r="1" spans="1:7" ht="17.100000000000001" thickBot="1"/>
    <row r="2" spans="1:7" ht="18" thickBot="1">
      <c r="A2" s="1" t="s">
        <v>8</v>
      </c>
      <c r="B2" s="1" t="s">
        <v>9</v>
      </c>
      <c r="C2" s="1" t="s">
        <v>10</v>
      </c>
    </row>
    <row r="3" spans="1:7" ht="17.100000000000001" thickBot="1">
      <c r="A3" s="8"/>
      <c r="B3" s="8"/>
      <c r="C3" s="14"/>
    </row>
    <row r="4" spans="1:7" ht="18" thickBot="1">
      <c r="A4" s="1" t="s">
        <v>11</v>
      </c>
      <c r="B4" s="1" t="s">
        <v>12</v>
      </c>
      <c r="C4" s="1" t="s">
        <v>13</v>
      </c>
    </row>
    <row r="5" spans="1:7" ht="51">
      <c r="A5" s="8">
        <f>SUM(F8:F47)</f>
        <v>32</v>
      </c>
      <c r="B5" s="8" t="str" cm="1">
        <f t="array" ref="B5">_xlfn.SWITCH(TRUE, COUNTA(E8:E47)&lt;15,"Select an answer in column E for each question.",A5&gt;=41,"High",A5&gt;=21,"Medium","Low")</f>
        <v>Medium</v>
      </c>
      <c r="C5" s="7" t="str" cm="1">
        <f t="array" ref="C5">_xlfn.SWITCH(TRUE,COUNTA(E8:E47)&lt;11,"Select an answer in column E for each question.",A5&gt;=21,"Involves highly sensitive data, major impact, or significant regulatory/third‑party exposure. Requires deep review, strong controls, and potential escalation.",A5&gt;=11,"Includes some sensitive data or moderate business impact, with possible control or documentation gaps. Requires standard oversight and targeted mitigation.","Involves minimal sensitive data and low operational or compliance impact. Suitable for lightweight governance.")</f>
        <v>Involves highly sensitive data, major impact, or significant regulatory/third‑party exposure. Requires deep review, strong controls, and potential escalation.</v>
      </c>
    </row>
    <row r="6" spans="1:7" ht="17.100000000000001" thickBot="1"/>
    <row r="7" spans="1:7" ht="35.1" thickBot="1">
      <c r="A7" s="1" t="s">
        <v>14</v>
      </c>
      <c r="B7" s="1" t="s">
        <v>15</v>
      </c>
      <c r="C7" s="1" t="s">
        <v>16</v>
      </c>
      <c r="D7" s="1" t="s">
        <v>17</v>
      </c>
      <c r="E7" s="1" t="s">
        <v>18</v>
      </c>
      <c r="F7" s="1" t="s">
        <v>19</v>
      </c>
      <c r="G7" s="1" t="s">
        <v>20</v>
      </c>
    </row>
    <row r="8" spans="1:7" ht="18" thickBot="1">
      <c r="A8" s="23" t="s">
        <v>21</v>
      </c>
      <c r="B8" s="16" t="s">
        <v>22</v>
      </c>
      <c r="C8" s="12" t="s">
        <v>23</v>
      </c>
      <c r="D8" s="11">
        <v>0</v>
      </c>
      <c r="E8" s="18" t="s">
        <v>24</v>
      </c>
      <c r="F8" s="18">
        <v>10</v>
      </c>
      <c r="G8" s="17"/>
    </row>
    <row r="9" spans="1:7" ht="18" thickBot="1">
      <c r="A9" s="23"/>
      <c r="B9" s="16"/>
      <c r="C9" s="12" t="s">
        <v>25</v>
      </c>
      <c r="D9" s="11">
        <v>6</v>
      </c>
      <c r="E9" s="18"/>
      <c r="F9" s="18"/>
      <c r="G9" s="17"/>
    </row>
    <row r="10" spans="1:7" ht="18" thickBot="1">
      <c r="A10" s="23"/>
      <c r="B10" s="16"/>
      <c r="C10" s="12" t="s">
        <v>24</v>
      </c>
      <c r="D10" s="11">
        <v>10</v>
      </c>
      <c r="E10" s="18"/>
      <c r="F10" s="18"/>
      <c r="G10" s="17"/>
    </row>
    <row r="11" spans="1:7" ht="18" thickBot="1">
      <c r="A11" s="23"/>
      <c r="B11" s="16" t="s">
        <v>26</v>
      </c>
      <c r="C11" s="12" t="s">
        <v>27</v>
      </c>
      <c r="D11" s="11">
        <v>0</v>
      </c>
      <c r="E11" s="18" t="s">
        <v>28</v>
      </c>
      <c r="F11" s="18">
        <f>_xlfn.IFNA(VLOOKUP(E11,$C$8:$D$47,2,FALSE),"")</f>
        <v>0</v>
      </c>
      <c r="G11" s="17"/>
    </row>
    <row r="12" spans="1:7" ht="18" thickBot="1">
      <c r="A12" s="23"/>
      <c r="B12" s="16"/>
      <c r="C12" s="12" t="s">
        <v>29</v>
      </c>
      <c r="D12" s="11">
        <v>10</v>
      </c>
      <c r="E12" s="18"/>
      <c r="F12" s="18"/>
      <c r="G12" s="17"/>
    </row>
    <row r="13" spans="1:7" ht="18" thickBot="1">
      <c r="A13" s="23"/>
      <c r="B13" s="16" t="s">
        <v>30</v>
      </c>
      <c r="C13" s="12" t="s">
        <v>31</v>
      </c>
      <c r="D13" s="11">
        <v>0</v>
      </c>
      <c r="E13" s="18" t="s">
        <v>32</v>
      </c>
      <c r="F13" s="18">
        <f>_xlfn.IFNA(VLOOKUP(E13,$C$8:$D$47,2,FALSE),"")</f>
        <v>0</v>
      </c>
      <c r="G13" s="17"/>
    </row>
    <row r="14" spans="1:7" ht="18" thickBot="1">
      <c r="A14" s="23"/>
      <c r="B14" s="16"/>
      <c r="C14" s="12" t="s">
        <v>33</v>
      </c>
      <c r="D14" s="11">
        <v>5</v>
      </c>
      <c r="E14" s="18"/>
      <c r="F14" s="18"/>
      <c r="G14" s="17"/>
    </row>
    <row r="15" spans="1:7" ht="18" thickBot="1">
      <c r="A15" s="23"/>
      <c r="B15" s="16" t="s">
        <v>34</v>
      </c>
      <c r="C15" s="12" t="s">
        <v>35</v>
      </c>
      <c r="D15" s="11">
        <v>0</v>
      </c>
      <c r="E15" s="18" t="s">
        <v>36</v>
      </c>
      <c r="F15" s="18">
        <f>_xlfn.IFNA(VLOOKUP(E15,$C$8:$D$47,2,FALSE),"")</f>
        <v>3</v>
      </c>
      <c r="G15" s="17"/>
    </row>
    <row r="16" spans="1:7" ht="18" thickBot="1">
      <c r="A16" s="23"/>
      <c r="B16" s="16"/>
      <c r="C16" s="12" t="s">
        <v>37</v>
      </c>
      <c r="D16" s="11">
        <v>3</v>
      </c>
      <c r="E16" s="18"/>
      <c r="F16" s="18"/>
      <c r="G16" s="17"/>
    </row>
    <row r="17" spans="1:7" ht="18" thickBot="1">
      <c r="A17" s="23" t="s">
        <v>38</v>
      </c>
      <c r="B17" s="16" t="s">
        <v>39</v>
      </c>
      <c r="C17" s="12" t="s">
        <v>40</v>
      </c>
      <c r="D17" s="11">
        <v>1</v>
      </c>
      <c r="E17" s="18" t="s">
        <v>41</v>
      </c>
      <c r="F17" s="18">
        <v>3</v>
      </c>
      <c r="G17" s="17"/>
    </row>
    <row r="18" spans="1:7" ht="18" thickBot="1">
      <c r="A18" s="23"/>
      <c r="B18" s="16"/>
      <c r="C18" s="12" t="s">
        <v>42</v>
      </c>
      <c r="D18" s="11">
        <v>3</v>
      </c>
      <c r="E18" s="18"/>
      <c r="F18" s="18"/>
      <c r="G18" s="17"/>
    </row>
    <row r="19" spans="1:7" ht="35.1" thickBot="1">
      <c r="A19" s="23"/>
      <c r="B19" s="16"/>
      <c r="C19" s="12" t="s">
        <v>43</v>
      </c>
      <c r="D19" s="11">
        <v>5</v>
      </c>
      <c r="E19" s="18"/>
      <c r="F19" s="18"/>
      <c r="G19" s="17"/>
    </row>
    <row r="20" spans="1:7" ht="18" thickBot="1">
      <c r="A20" s="23" t="s">
        <v>44</v>
      </c>
      <c r="B20" s="16" t="s">
        <v>45</v>
      </c>
      <c r="C20" s="12" t="s">
        <v>46</v>
      </c>
      <c r="D20" s="11">
        <v>1</v>
      </c>
      <c r="E20" s="18" t="s">
        <v>47</v>
      </c>
      <c r="F20" s="18">
        <v>3</v>
      </c>
      <c r="G20" s="17"/>
    </row>
    <row r="21" spans="1:7" ht="18" thickBot="1">
      <c r="A21" s="23"/>
      <c r="B21" s="16"/>
      <c r="C21" s="12" t="s">
        <v>48</v>
      </c>
      <c r="D21" s="11">
        <v>3</v>
      </c>
      <c r="E21" s="18"/>
      <c r="F21" s="18"/>
      <c r="G21" s="17"/>
    </row>
    <row r="22" spans="1:7" ht="35.1" thickBot="1">
      <c r="A22" s="23"/>
      <c r="B22" s="16"/>
      <c r="C22" s="12" t="s">
        <v>49</v>
      </c>
      <c r="D22" s="11">
        <v>5</v>
      </c>
      <c r="E22" s="18"/>
      <c r="F22" s="18"/>
      <c r="G22" s="17"/>
    </row>
    <row r="23" spans="1:7" ht="18" thickBot="1">
      <c r="A23" s="23" t="s">
        <v>50</v>
      </c>
      <c r="B23" s="16" t="s">
        <v>51</v>
      </c>
      <c r="C23" s="12" t="s">
        <v>52</v>
      </c>
      <c r="D23" s="11">
        <v>0</v>
      </c>
      <c r="E23" s="18" t="s">
        <v>53</v>
      </c>
      <c r="F23" s="18">
        <f>_xlfn.IFNA(VLOOKUP(E23,$C$8:$D$47,2,FALSE),"")</f>
        <v>2</v>
      </c>
      <c r="G23" s="17"/>
    </row>
    <row r="24" spans="1:7" ht="18" thickBot="1">
      <c r="A24" s="23"/>
      <c r="B24" s="16"/>
      <c r="C24" s="12" t="s">
        <v>54</v>
      </c>
      <c r="D24" s="11">
        <v>2</v>
      </c>
      <c r="E24" s="18"/>
      <c r="F24" s="18"/>
      <c r="G24" s="17"/>
    </row>
    <row r="25" spans="1:7" ht="35.1" thickBot="1">
      <c r="A25" s="23"/>
      <c r="B25" s="16"/>
      <c r="C25" s="12" t="s">
        <v>55</v>
      </c>
      <c r="D25" s="11">
        <v>5</v>
      </c>
      <c r="E25" s="18"/>
      <c r="F25" s="18"/>
      <c r="G25" s="17"/>
    </row>
    <row r="26" spans="1:7" ht="18" thickBot="1">
      <c r="A26" s="23" t="s">
        <v>56</v>
      </c>
      <c r="B26" s="16" t="s">
        <v>57</v>
      </c>
      <c r="C26" s="12" t="s">
        <v>58</v>
      </c>
      <c r="D26" s="11">
        <v>0</v>
      </c>
      <c r="E26" s="18" t="s">
        <v>59</v>
      </c>
      <c r="F26" s="18">
        <f>_xlfn.IFNA(VLOOKUP(E26,$C$8:$D$47,2,FALSE),"")</f>
        <v>3</v>
      </c>
      <c r="G26" s="17"/>
    </row>
    <row r="27" spans="1:7" ht="18" thickBot="1">
      <c r="A27" s="23"/>
      <c r="B27" s="16"/>
      <c r="C27" s="12" t="s">
        <v>60</v>
      </c>
      <c r="D27" s="11">
        <v>3</v>
      </c>
      <c r="E27" s="18"/>
      <c r="F27" s="18"/>
      <c r="G27" s="17"/>
    </row>
    <row r="28" spans="1:7" ht="18" thickBot="1">
      <c r="A28" s="23"/>
      <c r="B28" s="16"/>
      <c r="C28" s="12" t="s">
        <v>61</v>
      </c>
      <c r="D28" s="11">
        <v>5</v>
      </c>
      <c r="E28" s="18"/>
      <c r="F28" s="18"/>
      <c r="G28" s="17"/>
    </row>
    <row r="29" spans="1:7" ht="18" thickBot="1">
      <c r="A29" s="23" t="s">
        <v>62</v>
      </c>
      <c r="B29" s="16" t="s">
        <v>63</v>
      </c>
      <c r="C29" s="12" t="s">
        <v>64</v>
      </c>
      <c r="D29" s="11">
        <v>0</v>
      </c>
      <c r="E29" s="18" t="s">
        <v>65</v>
      </c>
      <c r="F29" s="18">
        <f>_xlfn.IFNA(VLOOKUP(E29,$C$8:$D$47,2,FALSE),"")</f>
        <v>5</v>
      </c>
      <c r="G29" s="17"/>
    </row>
    <row r="30" spans="1:7" ht="35.1" thickBot="1">
      <c r="A30" s="23"/>
      <c r="B30" s="16"/>
      <c r="C30" s="12" t="s">
        <v>66</v>
      </c>
      <c r="D30" s="11">
        <v>5</v>
      </c>
      <c r="E30" s="18"/>
      <c r="F30" s="18"/>
      <c r="G30" s="17"/>
    </row>
    <row r="31" spans="1:7" ht="18" thickBot="1">
      <c r="A31" s="23" t="s">
        <v>67</v>
      </c>
      <c r="B31" s="16" t="s">
        <v>68</v>
      </c>
      <c r="C31" s="12" t="s">
        <v>69</v>
      </c>
      <c r="D31" s="11">
        <v>0</v>
      </c>
      <c r="E31" s="18" t="s">
        <v>70</v>
      </c>
      <c r="F31" s="18">
        <f>_xlfn.IFNA(VLOOKUP(E31,$C$8:$D$47,2,FALSE),"")</f>
        <v>0</v>
      </c>
      <c r="G31" s="17"/>
    </row>
    <row r="32" spans="1:7" ht="18" thickBot="1">
      <c r="A32" s="23"/>
      <c r="B32" s="16"/>
      <c r="C32" s="13" t="s">
        <v>71</v>
      </c>
      <c r="D32" s="11">
        <v>3</v>
      </c>
      <c r="E32" s="18"/>
      <c r="F32" s="18"/>
      <c r="G32" s="17"/>
    </row>
    <row r="33" spans="1:7" ht="18" thickBot="1">
      <c r="A33" s="23"/>
      <c r="B33" s="16"/>
      <c r="C33" s="13" t="s">
        <v>72</v>
      </c>
      <c r="D33" s="11">
        <v>5</v>
      </c>
      <c r="E33" s="18"/>
      <c r="F33" s="18"/>
      <c r="G33" s="17"/>
    </row>
    <row r="34" spans="1:7" ht="18" thickBot="1">
      <c r="A34" s="23"/>
      <c r="B34" s="16" t="s">
        <v>73</v>
      </c>
      <c r="C34" s="13" t="s">
        <v>74</v>
      </c>
      <c r="D34" s="11">
        <v>0</v>
      </c>
      <c r="E34" s="18" t="s">
        <v>75</v>
      </c>
      <c r="F34" s="18">
        <v>3</v>
      </c>
      <c r="G34" s="17"/>
    </row>
    <row r="35" spans="1:7" ht="35.1" thickBot="1">
      <c r="A35" s="23"/>
      <c r="B35" s="16"/>
      <c r="C35" s="13" t="s">
        <v>76</v>
      </c>
      <c r="D35" s="11">
        <v>3</v>
      </c>
      <c r="E35" s="18"/>
      <c r="F35" s="18"/>
      <c r="G35" s="17"/>
    </row>
    <row r="36" spans="1:7" ht="35.1" thickBot="1">
      <c r="A36" s="23"/>
      <c r="B36" s="16"/>
      <c r="C36" s="13" t="s">
        <v>77</v>
      </c>
      <c r="D36" s="11">
        <v>5</v>
      </c>
      <c r="E36" s="18"/>
      <c r="F36" s="18"/>
      <c r="G36" s="17"/>
    </row>
    <row r="37" spans="1:7" ht="18" thickBot="1">
      <c r="A37" s="23" t="s">
        <v>78</v>
      </c>
      <c r="B37" s="16" t="s">
        <v>79</v>
      </c>
      <c r="C37" s="13" t="s">
        <v>80</v>
      </c>
      <c r="D37" s="11">
        <v>0</v>
      </c>
      <c r="E37" s="18" t="s">
        <v>81</v>
      </c>
      <c r="F37" s="18">
        <f>_xlfn.IFNA(VLOOKUP(E37,$C$8:$D$47,2,FALSE),"")</f>
        <v>0</v>
      </c>
      <c r="G37" s="17"/>
    </row>
    <row r="38" spans="1:7" ht="18" thickBot="1">
      <c r="A38" s="23"/>
      <c r="B38" s="16"/>
      <c r="C38" s="13" t="s">
        <v>82</v>
      </c>
      <c r="D38" s="11">
        <v>3</v>
      </c>
      <c r="E38" s="18"/>
      <c r="F38" s="18"/>
      <c r="G38" s="17"/>
    </row>
    <row r="39" spans="1:7" ht="18" thickBot="1">
      <c r="A39" s="23"/>
      <c r="B39" s="16"/>
      <c r="C39" s="13" t="s">
        <v>83</v>
      </c>
      <c r="D39" s="11">
        <v>5</v>
      </c>
      <c r="E39" s="18"/>
      <c r="F39" s="18"/>
      <c r="G39" s="17"/>
    </row>
    <row r="40" spans="1:7" ht="18" thickBot="1">
      <c r="A40" s="23" t="s">
        <v>84</v>
      </c>
      <c r="B40" s="16" t="s">
        <v>85</v>
      </c>
      <c r="C40" s="13" t="s">
        <v>86</v>
      </c>
      <c r="D40" s="11">
        <v>0</v>
      </c>
      <c r="E40" s="18" t="s">
        <v>87</v>
      </c>
      <c r="F40" s="18">
        <f>_xlfn.IFNA(VLOOKUP(E40,$C$8:$D$47,2,FALSE),"")</f>
        <v>0</v>
      </c>
      <c r="G40" s="17"/>
    </row>
    <row r="41" spans="1:7" ht="18" thickBot="1">
      <c r="A41" s="23"/>
      <c r="B41" s="16"/>
      <c r="C41" s="13" t="s">
        <v>88</v>
      </c>
      <c r="D41" s="11">
        <v>3</v>
      </c>
      <c r="E41" s="18"/>
      <c r="F41" s="18"/>
      <c r="G41" s="17"/>
    </row>
    <row r="42" spans="1:7" ht="18" thickBot="1">
      <c r="A42" s="23"/>
      <c r="B42" s="16"/>
      <c r="C42" s="13" t="s">
        <v>89</v>
      </c>
      <c r="D42" s="11">
        <v>5</v>
      </c>
      <c r="E42" s="18"/>
      <c r="F42" s="18"/>
      <c r="G42" s="17"/>
    </row>
    <row r="43" spans="1:7" ht="16.5" customHeight="1" thickBot="1">
      <c r="A43" s="23" t="s">
        <v>90</v>
      </c>
      <c r="B43" s="16" t="s">
        <v>91</v>
      </c>
      <c r="C43" s="13" t="s">
        <v>92</v>
      </c>
      <c r="D43" s="11">
        <v>0</v>
      </c>
      <c r="E43" s="19" t="s">
        <v>93</v>
      </c>
      <c r="F43" s="19">
        <f>_xlfn.IFNA(VLOOKUP(E43,$C$8:$D$47,2,FALSE),"")</f>
        <v>0</v>
      </c>
      <c r="G43" s="21"/>
    </row>
    <row r="44" spans="1:7" ht="35.1" thickBot="1">
      <c r="A44" s="23"/>
      <c r="B44" s="16"/>
      <c r="C44" s="13" t="s">
        <v>94</v>
      </c>
      <c r="D44" s="11">
        <v>5</v>
      </c>
      <c r="E44" s="20"/>
      <c r="F44" s="20"/>
      <c r="G44" s="22"/>
    </row>
    <row r="45" spans="1:7" ht="35.1" thickBot="1">
      <c r="A45" s="23"/>
      <c r="B45" s="16" t="s">
        <v>95</v>
      </c>
      <c r="C45" s="13" t="s">
        <v>96</v>
      </c>
      <c r="D45" s="11">
        <v>0</v>
      </c>
      <c r="E45" s="18" t="s">
        <v>97</v>
      </c>
      <c r="F45" s="18">
        <f>_xlfn.IFNA(VLOOKUP(E45,$C$8:$D$47,2,FALSE),"")</f>
        <v>0</v>
      </c>
      <c r="G45" s="17"/>
    </row>
    <row r="46" spans="1:7" ht="18" thickBot="1">
      <c r="A46" s="23"/>
      <c r="B46" s="16"/>
      <c r="C46" s="13" t="s">
        <v>98</v>
      </c>
      <c r="D46" s="11">
        <v>3</v>
      </c>
      <c r="E46" s="18"/>
      <c r="F46" s="18"/>
      <c r="G46" s="17"/>
    </row>
    <row r="47" spans="1:7" ht="18" thickBot="1">
      <c r="A47" s="23"/>
      <c r="B47" s="16"/>
      <c r="C47" s="13" t="s">
        <v>99</v>
      </c>
      <c r="D47" s="11">
        <v>5</v>
      </c>
      <c r="E47" s="18"/>
      <c r="F47" s="18"/>
      <c r="G47" s="17"/>
    </row>
    <row r="48" spans="1:7">
      <c r="B48" s="15"/>
    </row>
    <row r="49" spans="2:2">
      <c r="B49" s="15"/>
    </row>
  </sheetData>
  <mergeCells count="71">
    <mergeCell ref="A37:A39"/>
    <mergeCell ref="A40:A42"/>
    <mergeCell ref="A43:A47"/>
    <mergeCell ref="F40:F42"/>
    <mergeCell ref="F45:F47"/>
    <mergeCell ref="E45:E47"/>
    <mergeCell ref="B37:B39"/>
    <mergeCell ref="B40:B42"/>
    <mergeCell ref="B45:B47"/>
    <mergeCell ref="E37:E39"/>
    <mergeCell ref="F37:F39"/>
    <mergeCell ref="E20:E22"/>
    <mergeCell ref="B31:B33"/>
    <mergeCell ref="E40:E42"/>
    <mergeCell ref="F8:F10"/>
    <mergeCell ref="F11:F12"/>
    <mergeCell ref="F17:F19"/>
    <mergeCell ref="F20:F22"/>
    <mergeCell ref="B8:B10"/>
    <mergeCell ref="E8:E10"/>
    <mergeCell ref="B11:B12"/>
    <mergeCell ref="E11:E12"/>
    <mergeCell ref="F29:F30"/>
    <mergeCell ref="E29:E30"/>
    <mergeCell ref="E31:E33"/>
    <mergeCell ref="F31:F33"/>
    <mergeCell ref="F34:F36"/>
    <mergeCell ref="F13:F14"/>
    <mergeCell ref="F15:F16"/>
    <mergeCell ref="A17:A19"/>
    <mergeCell ref="B17:B19"/>
    <mergeCell ref="E17:E19"/>
    <mergeCell ref="G8:G10"/>
    <mergeCell ref="G11:G12"/>
    <mergeCell ref="G17:G19"/>
    <mergeCell ref="G20:G22"/>
    <mergeCell ref="G23:G25"/>
    <mergeCell ref="G13:G14"/>
    <mergeCell ref="G15:G16"/>
    <mergeCell ref="A31:A36"/>
    <mergeCell ref="B34:B36"/>
    <mergeCell ref="E13:E14"/>
    <mergeCell ref="E15:E16"/>
    <mergeCell ref="E34:E36"/>
    <mergeCell ref="B29:B30"/>
    <mergeCell ref="A29:A30"/>
    <mergeCell ref="A8:A16"/>
    <mergeCell ref="A23:A25"/>
    <mergeCell ref="B23:B25"/>
    <mergeCell ref="E23:E25"/>
    <mergeCell ref="A26:A28"/>
    <mergeCell ref="B26:B28"/>
    <mergeCell ref="E26:E28"/>
    <mergeCell ref="A20:A22"/>
    <mergeCell ref="B20:B22"/>
    <mergeCell ref="B48:B49"/>
    <mergeCell ref="B43:B44"/>
    <mergeCell ref="B13:B14"/>
    <mergeCell ref="B15:B16"/>
    <mergeCell ref="G45:G47"/>
    <mergeCell ref="G26:G28"/>
    <mergeCell ref="G29:G30"/>
    <mergeCell ref="G31:G33"/>
    <mergeCell ref="G37:G39"/>
    <mergeCell ref="G40:G42"/>
    <mergeCell ref="G34:G36"/>
    <mergeCell ref="F23:F25"/>
    <mergeCell ref="E43:E44"/>
    <mergeCell ref="F43:F44"/>
    <mergeCell ref="G43:G44"/>
    <mergeCell ref="F26:F28"/>
  </mergeCells>
  <dataValidations count="15">
    <dataValidation type="list" allowBlank="1" showInputMessage="1" showErrorMessage="1" sqref="E8:E10" xr:uid="{AF721804-BA3B-4632-A6BD-A26D9B49ECAB}">
      <formula1>$C$8:$C$10</formula1>
    </dataValidation>
    <dataValidation type="list" allowBlank="1" showInputMessage="1" showErrorMessage="1" sqref="E11:E12" xr:uid="{A13B6218-CCBC-42B1-86D0-74ED3116B05D}">
      <formula1>$C$11:$C$12</formula1>
    </dataValidation>
    <dataValidation type="list" allowBlank="1" showInputMessage="1" showErrorMessage="1" sqref="E17:E19" xr:uid="{7BE273F5-8857-4D00-9072-8175B7B2B02F}">
      <formula1>$C$17:$C$19</formula1>
    </dataValidation>
    <dataValidation type="list" allowBlank="1" showInputMessage="1" showErrorMessage="1" sqref="E20:E22" xr:uid="{55317C9A-28EC-4C13-9E8E-39A279D42A1B}">
      <formula1>$C$20:$C$22</formula1>
    </dataValidation>
    <dataValidation type="list" allowBlank="1" showInputMessage="1" showErrorMessage="1" sqref="E23:E25" xr:uid="{5F145F9A-CE22-4DFD-A135-8696367FDA0C}">
      <formula1>$C$23:$C$25</formula1>
    </dataValidation>
    <dataValidation type="list" allowBlank="1" showInputMessage="1" showErrorMessage="1" sqref="E26:E28" xr:uid="{141C6401-5256-4A13-A4DA-95EF04CDF765}">
      <formula1>$C$26:$C$28</formula1>
    </dataValidation>
    <dataValidation type="list" allowBlank="1" showInputMessage="1" showErrorMessage="1" sqref="E45:E47" xr:uid="{DC7E524A-24B6-4937-9755-28A0BBDF833B}">
      <formula1>$C$45:$C$47</formula1>
    </dataValidation>
    <dataValidation type="list" allowBlank="1" showInputMessage="1" showErrorMessage="1" sqref="E40:E42" xr:uid="{13C2096A-5262-4A96-B369-3A975A47E0DD}">
      <formula1>$C$40:$C$42</formula1>
    </dataValidation>
    <dataValidation type="list" allowBlank="1" showInputMessage="1" showErrorMessage="1" sqref="E37:E39" xr:uid="{BDDC84C3-30BD-4FB6-B54F-4228CC3875B5}">
      <formula1>$C$37:$C$39</formula1>
    </dataValidation>
    <dataValidation type="list" allowBlank="1" showInputMessage="1" showErrorMessage="1" sqref="E31:E33" xr:uid="{282F12F5-3E53-43A1-B43A-150F666CF3D1}">
      <formula1>$C$31:$C$33</formula1>
    </dataValidation>
    <dataValidation type="list" allowBlank="1" showInputMessage="1" showErrorMessage="1" sqref="E29:E30" xr:uid="{2B0C14E7-B343-449C-9BCA-81193A6E923E}">
      <formula1>$C$29:$C$30</formula1>
    </dataValidation>
    <dataValidation type="list" allowBlank="1" showInputMessage="1" showErrorMessage="1" sqref="E13:E14" xr:uid="{ED5DB93C-13ED-4E7E-9261-12A13DD7BD7D}">
      <formula1>$C$13:$C$14</formula1>
    </dataValidation>
    <dataValidation type="list" allowBlank="1" showInputMessage="1" showErrorMessage="1" sqref="E15:E16" xr:uid="{52E88A2E-B51D-406A-A7F0-E45DB8048556}">
      <formula1>$C$15:$C$16</formula1>
    </dataValidation>
    <dataValidation type="list" allowBlank="1" showInputMessage="1" showErrorMessage="1" sqref="E34:E36" xr:uid="{48C855FB-4B8E-4EEA-9816-45A325A3CD1E}">
      <formula1>$C$34:$C$36</formula1>
    </dataValidation>
    <dataValidation type="list" allowBlank="1" showInputMessage="1" showErrorMessage="1" sqref="E43:E44" xr:uid="{6435049A-785F-449E-872A-78288389FF3E}">
      <formula1>$C$43:$C$44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Martinez, Joe</dc:creator>
  <cp:keywords/>
  <dc:description/>
  <cp:lastModifiedBy>Begum, Tony</cp:lastModifiedBy>
  <cp:revision/>
  <dcterms:created xsi:type="dcterms:W3CDTF">2026-01-30T22:01:34Z</dcterms:created>
  <dcterms:modified xsi:type="dcterms:W3CDTF">2026-06-30T22:19:06Z</dcterms:modified>
  <cp:category/>
  <cp:contentStatus/>
</cp:coreProperties>
</file>