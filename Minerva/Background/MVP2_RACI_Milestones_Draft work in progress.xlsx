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jjacks20/jjacks/Minerva/Background/"/>
    </mc:Choice>
  </mc:AlternateContent>
  <xr:revisionPtr revIDLastSave="0" documentId="13_ncr:1_{C2E54160-2289-F643-9E42-B831D9BDB68D}" xr6:coauthVersionLast="47" xr6:coauthVersionMax="47" xr10:uidLastSave="{00000000-0000-0000-0000-000000000000}"/>
  <bookViews>
    <workbookView xWindow="41940" yWindow="-1360" windowWidth="36000" windowHeight="22600" activeTab="3" xr2:uid="{06FB4F3A-9EE9-474E-82B9-B84F6DBE2B8F}"/>
  </bookViews>
  <sheets>
    <sheet name="RACI" sheetId="1" r:id="rId1"/>
    <sheet name="High Level Milestones_KD" sheetId="4" r:id="rId2"/>
    <sheet name="Generic Lifecycle" sheetId="8" r:id="rId3"/>
    <sheet name="Projects" sheetId="7" r:id="rId4"/>
    <sheet name="accenture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7" l="1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B5" i="4"/>
  <c r="B6" i="4" s="1"/>
  <c r="B9" i="4" s="1"/>
  <c r="B10" i="4" s="1"/>
  <c r="B11" i="4" s="1"/>
  <c r="B12" i="4" s="1"/>
  <c r="B13" i="4" s="1"/>
  <c r="B14" i="4" s="1"/>
  <c r="B15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8" i="4" l="1"/>
  <c r="B1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tc={7F6239F4-BF30-448D-9236-839FA0C478CD}</author>
  </authors>
  <commentList>
    <comment ref="F20" authorId="0" shapeId="0" xr:uid="{7F6239F4-BF30-448D-9236-839FA0C478CD}">
      <text>
        <t>[Threaded comment]
Your version of Excel allows you to read this threaded comment; however, any edits to it will get removed if the file is opened in a newer version of Excel. Learn more: https://go.microsoft.com/fwlink/?linkid=870924
Comment:
    Do we define ground truth and test data together?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tc={078F826C-4509-4894-AFCB-6A5476777B5F}</author>
  </authors>
  <commentList>
    <comment ref="D21" authorId="0" shapeId="0" xr:uid="{078F826C-4509-4894-AFCB-6A5476777B5F}">
      <text>
        <t>[Threaded comment]
Your version of Excel allows you to read this threaded comment; however, any edits to it will get removed if the file is opened in a newer version of Excel. Learn more: https://go.microsoft.com/fwlink/?linkid=870924
Comment:
    Run by Heather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<sst xmlns="http://schemas.openxmlformats.org/spreadsheetml/2006/main" count="869" uniqueCount="345">
  <si>
    <t>Benefit Quoting MVP1
Critical Activity</t>
  </si>
  <si>
    <t>Core Team</t>
  </si>
  <si>
    <t>Additional Build Team</t>
  </si>
  <si>
    <t>Leadership Team</t>
  </si>
  <si>
    <t>Additional SMEs</t>
  </si>
  <si>
    <t>Regulatory Team</t>
  </si>
  <si>
    <t>BSC Customer Experience Ops</t>
  </si>
  <si>
    <t>BSC IA &amp; AI Team</t>
  </si>
  <si>
    <t xml:space="preserve"> BSC Nexus Product Team</t>
  </si>
  <si>
    <t>Stellarus Product</t>
  </si>
  <si>
    <t>Stellarus Adv Analytics</t>
  </si>
  <si>
    <t>Stellarus EA</t>
  </si>
  <si>
    <t>Stellarus Nexus Team</t>
  </si>
  <si>
    <t>Stellarus D&amp;A Team</t>
  </si>
  <si>
    <t>Transformation LT</t>
  </si>
  <si>
    <t>Customer Care LT</t>
  </si>
  <si>
    <t>Product/AI Leadership</t>
  </si>
  <si>
    <t xml:space="preserve">Product Strategy </t>
  </si>
  <si>
    <t>BSC Pharmacy</t>
  </si>
  <si>
    <t>BSC CE QA Team</t>
  </si>
  <si>
    <t>Stellarus Pharmacy</t>
  </si>
  <si>
    <t>Accenture</t>
  </si>
  <si>
    <t>Customer Care Management</t>
  </si>
  <si>
    <t>Transformation</t>
  </si>
  <si>
    <t>Stellarus AIA</t>
  </si>
  <si>
    <t>Nexus Product Team</t>
  </si>
  <si>
    <t>Enterprise Architect</t>
  </si>
  <si>
    <t>CE and Digital Transformation</t>
  </si>
  <si>
    <t>CE QA &amp; Audit</t>
  </si>
  <si>
    <t xml:space="preserve">IFP </t>
  </si>
  <si>
    <t>Appeals &amp; Grievances</t>
  </si>
  <si>
    <t>Legal</t>
  </si>
  <si>
    <t>GenAI Leadership</t>
  </si>
  <si>
    <t>Greg
Heather/Kerry</t>
  </si>
  <si>
    <t xml:space="preserve">Deb Dab
Krista Derdowski </t>
  </si>
  <si>
    <t>Amy Botill
Aly Guitierrez</t>
  </si>
  <si>
    <t>Gabby Mirsaidi
Jason Jackson
Mike Beck</t>
  </si>
  <si>
    <t>Mike Becker
Andrew Hudson
Bharath
Tami Blake</t>
  </si>
  <si>
    <t>Tony Begum</t>
  </si>
  <si>
    <t xml:space="preserve">Robert Hassanali 
Kiran Kumar
Jason Norsworthy
Kiran Vengala </t>
  </si>
  <si>
    <t>Rahul Sakpal
Prasad Chaki</t>
  </si>
  <si>
    <t>Bryce/Jaime</t>
  </si>
  <si>
    <t>Nate/Vivian</t>
  </si>
  <si>
    <t>Greg Ryslik
Jayesh Patel</t>
  </si>
  <si>
    <t>Kit Hansen</t>
  </si>
  <si>
    <t>Chrissy Nordby</t>
  </si>
  <si>
    <t>Qais Yonisi
Melissa Carroll
Phillip House</t>
  </si>
  <si>
    <t>Dang Tran</t>
  </si>
  <si>
    <t>Alicia C
Raina Cheng
Manthan D
Kamlesh Gupta</t>
  </si>
  <si>
    <t>Heather White
 Becca Littman</t>
  </si>
  <si>
    <t>Deborah  Dab   
Sankari Kannan</t>
  </si>
  <si>
    <t>Gabrielle Mirsaidi
Julie Hughes
Mike Beck</t>
  </si>
  <si>
    <t xml:space="preserve">
Kristina Guzikova</t>
  </si>
  <si>
    <t>Patrice Bergman
Marty Katreeb
Lehi Black</t>
  </si>
  <si>
    <t>Jennifer Gannon
 Natali Jiminez - Ascencio</t>
  </si>
  <si>
    <t>Ellie Lew (Law)
 David Keystone (Privacy)</t>
  </si>
  <si>
    <t>Amanda Knudsen( Litigation) Andrew DeClerq &amp; Carla Small (CCA regulations)</t>
  </si>
  <si>
    <t>Nate Oubre
Bryce Williams</t>
  </si>
  <si>
    <t>Vivian Phillips Husband
Marc Harris</t>
  </si>
  <si>
    <t>Gabrielle Mirsaidi
Mike Becker</t>
  </si>
  <si>
    <t>Discovery</t>
  </si>
  <si>
    <t>Scope Approval</t>
  </si>
  <si>
    <t>A</t>
  </si>
  <si>
    <t>I</t>
  </si>
  <si>
    <t>R</t>
  </si>
  <si>
    <t>C</t>
  </si>
  <si>
    <t>Admin</t>
  </si>
  <si>
    <t>MVP1 weekly report out and sync calls</t>
  </si>
  <si>
    <t>BSC Leadership Report Out</t>
  </si>
  <si>
    <t>A/R</t>
  </si>
  <si>
    <t>Kick-off</t>
  </si>
  <si>
    <t>Design</t>
  </si>
  <si>
    <t>Requirements Gathering- data model and UI framework</t>
  </si>
  <si>
    <t>R/C</t>
  </si>
  <si>
    <t>Build</t>
  </si>
  <si>
    <t>Data Procurement</t>
  </si>
  <si>
    <t>Scrums, Sprint Planning and Daily Stand-up</t>
  </si>
  <si>
    <t>Technical Design/Solution Discussions including UI/UX design if needed for formulary</t>
  </si>
  <si>
    <t>Technical Design Documentation</t>
  </si>
  <si>
    <t>Access Provisioning to the Dev environment</t>
  </si>
  <si>
    <t>Model Build</t>
  </si>
  <si>
    <t>N/A - done</t>
  </si>
  <si>
    <t>Nexus Integration</t>
  </si>
  <si>
    <t>Chat-like UI Build and Nexus Integration</t>
  </si>
  <si>
    <t>Build?</t>
  </si>
  <si>
    <t>Model Eval &amp; Human Validation Testing</t>
  </si>
  <si>
    <t>Optimization  and Retesting</t>
  </si>
  <si>
    <t>Final MVP1 Demo</t>
  </si>
  <si>
    <t xml:space="preserve">R </t>
  </si>
  <si>
    <t>Deploy</t>
  </si>
  <si>
    <t>Document User Guide and FAQ</t>
  </si>
  <si>
    <t>Roadmap, high-level plan and business case for subsequent phases</t>
  </si>
  <si>
    <t>Change Management and 
Readiness</t>
  </si>
  <si>
    <t>MVP1 Review and Sign-off</t>
  </si>
  <si>
    <t>R = Responsible</t>
  </si>
  <si>
    <t>Responsible for performing the task (ie. the actual person doing the work to complete the task).</t>
  </si>
  <si>
    <t>A = Accountable</t>
  </si>
  <si>
    <t>Ultimately accountable for the task being done in a satisfactory manner.  The accountable person must sign-off the work that the Responsible person produces.</t>
  </si>
  <si>
    <t>C = Consulted</t>
  </si>
  <si>
    <t>Team members whose input is used to complete the task.  Communication with these members will be 2-way in nature.</t>
  </si>
  <si>
    <t>I = Informed</t>
  </si>
  <si>
    <t>Team members who are informed as to the status of the task.  Communication with these members will be 1-way in nature.</t>
  </si>
  <si>
    <t>Pre-Dev Activities</t>
  </si>
  <si>
    <t>Role</t>
  </si>
  <si>
    <t>Discovery &amp; Design</t>
  </si>
  <si>
    <t>Review the data</t>
  </si>
  <si>
    <t>Driver</t>
  </si>
  <si>
    <t>Identify the stakeholders</t>
  </si>
  <si>
    <t>Lt Driver</t>
  </si>
  <si>
    <t>Document high level requirements - group products</t>
  </si>
  <si>
    <t xml:space="preserve">Product Manager - Jason? </t>
  </si>
  <si>
    <t>Document high level requirements - formulary</t>
  </si>
  <si>
    <t>Scrum Master - was nidhi but is it tami</t>
  </si>
  <si>
    <t xml:space="preserve">Design </t>
  </si>
  <si>
    <t>Data Model low level requirements - group products incl. ground truths</t>
  </si>
  <si>
    <t xml:space="preserve">Product Owner/BSA - Jason? </t>
  </si>
  <si>
    <t>Data Model low level requirements - formulary incl ground truths</t>
  </si>
  <si>
    <t>Dev</t>
  </si>
  <si>
    <t>Training Data Use Cases/Queries</t>
  </si>
  <si>
    <t>Eng</t>
  </si>
  <si>
    <t>Test data Use Cases/Queries</t>
  </si>
  <si>
    <t>Data Scientist</t>
  </si>
  <si>
    <t>UI Enhancement Detailed Requirements</t>
  </si>
  <si>
    <t>Prompt eng?</t>
  </si>
  <si>
    <t>Reporting Enhancements, if needed</t>
  </si>
  <si>
    <t>Dynamic Reinforcement Learning Requirements</t>
  </si>
  <si>
    <t>Build &amp; Iterate</t>
  </si>
  <si>
    <t>Model Enhancements</t>
  </si>
  <si>
    <t>Model Annotation/Ground Truth Evaluation</t>
  </si>
  <si>
    <t>Perform Human Validatoin Testing</t>
  </si>
  <si>
    <t>UI Enhancement Testing</t>
  </si>
  <si>
    <t>Reporting Enhancements</t>
  </si>
  <si>
    <t>Model Reinforcement Learning</t>
  </si>
  <si>
    <t>Pre Deployment Activities</t>
  </si>
  <si>
    <t>Biz Readiness &amp; Change Mgmt</t>
  </si>
  <si>
    <t>Reporting Ready</t>
  </si>
  <si>
    <t>Provisioning</t>
  </si>
  <si>
    <t>Hypercare &amp; Run Responsibilities Defined</t>
  </si>
  <si>
    <t>Steady State / Run Activities including refresh process</t>
  </si>
  <si>
    <t>Signoff</t>
  </si>
  <si>
    <t>Deployment Activities</t>
  </si>
  <si>
    <t>Limited Prod</t>
  </si>
  <si>
    <t>Full Prod</t>
  </si>
  <si>
    <t>Hypercare Period Closes</t>
  </si>
  <si>
    <t>Steady State Handoff</t>
  </si>
  <si>
    <t>Adoption Monitoring</t>
  </si>
  <si>
    <t>Refresh Process Stood Up with controls</t>
  </si>
  <si>
    <t>weekly project updates</t>
  </si>
  <si>
    <t>kickoff, mid-point, demo, and final meetings</t>
  </si>
  <si>
    <t>risk escalation for decisioning</t>
  </si>
  <si>
    <t>Definitions of each Phase</t>
  </si>
  <si>
    <t>Phase</t>
  </si>
  <si>
    <t>Activity</t>
  </si>
  <si>
    <t>Pre‑Dev / Discovery &amp; Design</t>
  </si>
  <si>
    <t>Confirm the MVP2 scope, stakeholders, and high‑level requirements to ensure the team is building the right solution.</t>
  </si>
  <si>
    <t>Define the solution approach, data foundations, and user experience needed to support MVP2 delivery.</t>
  </si>
  <si>
    <t>Review existing data</t>
  </si>
  <si>
    <t>Develop, test, and refine the solution iteratively to meet MVP2 requirements and performance expectations.</t>
  </si>
  <si>
    <t>Identify stakeholders</t>
  </si>
  <si>
    <t>Pre‑Deployment</t>
  </si>
  <si>
    <t>Validate readiness across business, technology, and operations and secure approval to release to production.</t>
  </si>
  <si>
    <t>Document high‑level requirements – group products</t>
  </si>
  <si>
    <t>Deployment</t>
  </si>
  <si>
    <t>Release MVP2 to production in a controlled manner and support initial adoption through hypercare.</t>
  </si>
  <si>
    <t>Document high‑level requirements – formulary</t>
  </si>
  <si>
    <t>Post‑Deployment / Steady State</t>
  </si>
  <si>
    <t>Transition the solution to steady‑state operations, monitor adoption, and ensure ongoing performance and refresh.</t>
  </si>
  <si>
    <t>Admin / Governance</t>
  </si>
  <si>
    <t>Provide ongoing oversight, status reporting, and risk escalation to ensure timely delivery and decision‑making.</t>
  </si>
  <si>
    <t>UI enhancement detailed requirements</t>
  </si>
  <si>
    <t>Reporting enhancements defined (if needed)</t>
  </si>
  <si>
    <t>Data readiness confirmed</t>
  </si>
  <si>
    <t>Data ingestion and transformation</t>
  </si>
  <si>
    <t>Model enhancement</t>
  </si>
  <si>
    <t>Annotation and ground truth evaluation</t>
  </si>
  <si>
    <t>Human validation testing</t>
  </si>
  <si>
    <t>UI enhancement testing</t>
  </si>
  <si>
    <t>Reporting enhancements</t>
  </si>
  <si>
    <t>Model reinforcement learning</t>
  </si>
  <si>
    <t>Business readiness and change management</t>
  </si>
  <si>
    <t>Reporting ready</t>
  </si>
  <si>
    <t>Provisioning completed</t>
  </si>
  <si>
    <t>Hypercare and run responsibilities defined</t>
  </si>
  <si>
    <t>Go‑live decision / release approval</t>
  </si>
  <si>
    <t>Limited production deployment</t>
  </si>
  <si>
    <t>Full production deployment</t>
  </si>
  <si>
    <t>Hypercare period closes</t>
  </si>
  <si>
    <t>Steady‑state handoff</t>
  </si>
  <si>
    <t>Adoption monitoring</t>
  </si>
  <si>
    <t>Refresh process stood up with controls</t>
  </si>
  <si>
    <t>Post‑deployment success review</t>
  </si>
  <si>
    <t>Admin / Governance (Ongoing)</t>
  </si>
  <si>
    <t>Weekly project updates</t>
  </si>
  <si>
    <t>Kickoff meeting</t>
  </si>
  <si>
    <t>Midpoint check‑in</t>
  </si>
  <si>
    <t>Demo(s)</t>
  </si>
  <si>
    <t>Final close‑out</t>
  </si>
  <si>
    <t>Risk escalation for decisioning</t>
  </si>
  <si>
    <t>High Level Milestones</t>
  </si>
  <si>
    <t xml:space="preserve">Pre‑Deployment &amp; Readiness </t>
  </si>
  <si>
    <t>Signoff on cycle refesh process and resources</t>
  </si>
  <si>
    <t xml:space="preserve">Update all documentation for teams on cycle refresh </t>
  </si>
  <si>
    <t>Document cycle refresh process requirements</t>
  </si>
  <si>
    <t>MVP2 scope confirmed and approved</t>
  </si>
  <si>
    <t>Refresh cycle problem statement</t>
  </si>
  <si>
    <t>Detailed requirements/stories for formulary</t>
  </si>
  <si>
    <t>B</t>
  </si>
  <si>
    <t>G</t>
  </si>
  <si>
    <t>F</t>
  </si>
  <si>
    <t>E</t>
  </si>
  <si>
    <t>D</t>
  </si>
  <si>
    <t>Human validation testing approach</t>
  </si>
  <si>
    <t>Data model defined</t>
  </si>
  <si>
    <t>Ground truths for formulary</t>
  </si>
  <si>
    <t>Test Data for benefit category</t>
  </si>
  <si>
    <t>One and done or sprint by sprint</t>
  </si>
  <si>
    <t>One &amp; Done</t>
  </si>
  <si>
    <t>Document high level requirements - reinforcement learning</t>
  </si>
  <si>
    <t>TBD</t>
  </si>
  <si>
    <t>Sprint</t>
  </si>
  <si>
    <t>Sprint?</t>
  </si>
  <si>
    <t xml:space="preserve">Sprint </t>
  </si>
  <si>
    <t>Ongoing Op</t>
  </si>
  <si>
    <t>annual?</t>
  </si>
  <si>
    <t>Weekly</t>
  </si>
  <si>
    <t>Ad hoc</t>
  </si>
  <si>
    <t>Blue Shield Implementation</t>
  </si>
  <si>
    <t>Timeline</t>
  </si>
  <si>
    <t>2/27 + 2 weeks</t>
  </si>
  <si>
    <t>2 weeks x 6 categories; but 3 categories at a time (4 weeks)</t>
  </si>
  <si>
    <t>Document requirements enhancing user-facing test application/UI</t>
  </si>
  <si>
    <t>#</t>
  </si>
  <si>
    <t>High Level Time Horizon</t>
  </si>
  <si>
    <t>2 weeks</t>
  </si>
  <si>
    <t>4 weeks</t>
  </si>
  <si>
    <t>6 weeks? Dependent on above</t>
  </si>
  <si>
    <t>Subprojects</t>
  </si>
  <si>
    <t>LG - Portfolio - B</t>
  </si>
  <si>
    <t>Detailed requirements/stories for each feature set/benefit "project"</t>
  </si>
  <si>
    <t>Ground truths for benefit "project"</t>
  </si>
  <si>
    <t>Document high‑level requirements – virtual blue "project"</t>
  </si>
  <si>
    <t>Detailed requirements/stories for each feature virtual blue "project"</t>
  </si>
  <si>
    <t xml:space="preserve">Define "projects" for delivery </t>
  </si>
  <si>
    <t>IFP &amp; SG</t>
  </si>
  <si>
    <t>Mid &amp; Premier</t>
  </si>
  <si>
    <t>X</t>
  </si>
  <si>
    <t>Test Data for formulary</t>
  </si>
  <si>
    <t>Track for VP+?</t>
  </si>
  <si>
    <t>Define "projects"</t>
  </si>
  <si>
    <t>1 Pre‑Dev / Discovery &amp; Design</t>
  </si>
  <si>
    <t>2. Design</t>
  </si>
  <si>
    <t>Step</t>
  </si>
  <si>
    <t>For VPs?</t>
  </si>
  <si>
    <t xml:space="preserve">Identify "data" </t>
  </si>
  <si>
    <t>Document high‑level requirements i.e. problem statement and business outcomes</t>
  </si>
  <si>
    <t xml:space="preserve">Communicate scope of each project </t>
  </si>
  <si>
    <t xml:space="preserve">Define Data model </t>
  </si>
  <si>
    <t>Educate on Human validation testing</t>
  </si>
  <si>
    <t>Model build / enhancement</t>
  </si>
  <si>
    <t>Define high level requirements for dashboards for business value, product mgmt, and model performance</t>
  </si>
  <si>
    <t>"Iteration" i.e. Annotation and ground truth evaluation</t>
  </si>
  <si>
    <t>Business readiness for Deployment i.e. training, rollout schedule/WFM, change management</t>
  </si>
  <si>
    <t xml:space="preserve">Business readiness for Ongoing Ops i.e. ongoing support model and refresh </t>
  </si>
  <si>
    <t>Provisioning Process Completed</t>
  </si>
  <si>
    <t>Hypercare responsibilities defined; meetings established</t>
  </si>
  <si>
    <t>Communicate go live criteria for each "project"</t>
  </si>
  <si>
    <t>Go‑live decision / release approval for each project</t>
  </si>
  <si>
    <t>Signoff by Business &amp; IT</t>
  </si>
  <si>
    <t>Limited Production Focus Group</t>
  </si>
  <si>
    <t>Post-Limited Production: Solve for any blockers or prioritize nice to haves</t>
  </si>
  <si>
    <t>Limited Production Reporting/Data-driven Reviews</t>
  </si>
  <si>
    <t>Communicate Limited Production Feedback</t>
  </si>
  <si>
    <t>Go-live decision for full production</t>
  </si>
  <si>
    <t>Hypercare period 30-45 days</t>
  </si>
  <si>
    <t>Bi-weekly enhancement reviews (until reinforcement learning is deployed)</t>
  </si>
  <si>
    <t xml:space="preserve">Update all documentation </t>
  </si>
  <si>
    <t>Define/Refine business case with KPIs and success measures</t>
  </si>
  <si>
    <t xml:space="preserve">Detailed requirements on data </t>
  </si>
  <si>
    <t>Define Testing Rubric - success vs. fail; nice to have vs. need to have</t>
  </si>
  <si>
    <r>
      <t xml:space="preserve">Document Ground truths / data dictionary (part of 2.2) </t>
    </r>
    <r>
      <rPr>
        <i/>
        <sz val="11"/>
        <color theme="1"/>
        <rFont val="Aptos Narrow"/>
        <family val="2"/>
        <scheme val="minor"/>
      </rPr>
      <t xml:space="preserve"> include questions the model should NOT respond to</t>
    </r>
  </si>
  <si>
    <t>Detailed requirements for the "project" related to model output</t>
  </si>
  <si>
    <t>Identify stakeholders: SMEs, Data Owners, Testers</t>
  </si>
  <si>
    <t>High Level business case - focus on benefits</t>
  </si>
  <si>
    <t>AI Governance Approval</t>
  </si>
  <si>
    <t>0. Project Initiation</t>
  </si>
  <si>
    <t>Funding approved with cost centers and VP Approval</t>
  </si>
  <si>
    <t>2-4 weeks?</t>
  </si>
  <si>
    <t>Dependency</t>
  </si>
  <si>
    <t>N/A</t>
  </si>
  <si>
    <t xml:space="preserve">Cost Model Assumptoins </t>
  </si>
  <si>
    <t>Real-time accumulator status</t>
  </si>
  <si>
    <t>Real-time utilization of benefits (i.e. how many home health days or PT sessions per claims history)</t>
  </si>
  <si>
    <t xml:space="preserve">Virtual Blue Plan for IFP &amp; SG </t>
  </si>
  <si>
    <t>USPTF Guidelines (change anually)</t>
  </si>
  <si>
    <t>UI enhancements informed by MVP</t>
  </si>
  <si>
    <t>Reporting enhancements informed by MVP 1</t>
  </si>
  <si>
    <t>Operational Cycle/Admin</t>
  </si>
  <si>
    <t xml:space="preserve">Formulary </t>
  </si>
  <si>
    <t>LG - Portfolio - A</t>
  </si>
  <si>
    <t>LG - Portfolio - C</t>
  </si>
  <si>
    <t>LG - Custom - D</t>
  </si>
  <si>
    <t>LG - Custom - E</t>
  </si>
  <si>
    <t>LG - ASO - F</t>
  </si>
  <si>
    <t>LG - ASO - G</t>
  </si>
  <si>
    <t xml:space="preserve">Allowed amounts specific to provider (leverage shawna for what this flow looks like) </t>
  </si>
  <si>
    <t xml:space="preserve">provider network lookup </t>
  </si>
  <si>
    <t>Example of Use Case</t>
  </si>
  <si>
    <t>As a user, if the member is on a virtual blue plan, I need to quote a $0 tier specifying the coverage for virtual visits with providers in the virtual blue network</t>
  </si>
  <si>
    <t>As a user, I need to the model to look up and pull back the applicable age, gender, and eligibility information that qualifies a preventive benefit so that I do not have to manually reference the document and can better service my customer accurately and quickly</t>
  </si>
  <si>
    <t>As a user, I need the model to only respond with the coverage applicable to the tier that the specific drug/medication/prescription falls under, in order to be more accurate and concise in my response to the customer</t>
  </si>
  <si>
    <t>As an operational leader, I need to ensure that annual changes ot 'static" data are updated, tested, and changes are made to continue to respond with accurate quotes; as part of product cycle annual refresh work</t>
  </si>
  <si>
    <t>?</t>
  </si>
  <si>
    <t>8 hours SME</t>
  </si>
  <si>
    <t>24 hours SME</t>
  </si>
  <si>
    <t>16 hours SME</t>
  </si>
  <si>
    <r>
      <t xml:space="preserve">Document Test Data, Scripts, Answer Key (part of 2.2) </t>
    </r>
    <r>
      <rPr>
        <i/>
        <sz val="11"/>
        <color theme="1"/>
        <rFont val="Aptos Narrow"/>
        <family val="2"/>
        <scheme val="minor"/>
      </rPr>
      <t>include questions the model should NOT respond to</t>
    </r>
  </si>
  <si>
    <t xml:space="preserve">As a user, I need a pinned note to remind me to explain/share all required elements of a complete quote per LOS definitoins, if the customer does not specify a site of care, INN or OON, etc.  </t>
  </si>
  <si>
    <t>Mira response in spanish</t>
  </si>
  <si>
    <t>As a user, I want to have Mira respond to me in spanish with the benefit quote so that I can speak to my customers easily in spanish?</t>
  </si>
  <si>
    <t>Spring</t>
  </si>
  <si>
    <t>Knowledge Article / Current Process</t>
  </si>
  <si>
    <t>https://blueshieldca.sharepoint.com/:f:/r/sites/TOCES/Shared%20Documents/AI%20work/Use%20Case%202.%20Benefit%20Quoting/Benefit%20Quoting%20-%20Process%20Documentation/Determining%20Provider%20Network%20Status?csf=1&amp;web=1&amp;e=EWyVx7</t>
  </si>
  <si>
    <t>Researching Allowed Amounts</t>
  </si>
  <si>
    <t>Is a prior authorization required</t>
  </si>
  <si>
    <t>Researching Prior Authorization Requirements</t>
  </si>
  <si>
    <t>Customer Experience - Quoting Pharmacy Prescription Benefits.url</t>
  </si>
  <si>
    <t>Embedded Ind/ Family Deductibleplans for IFP &amp;SG</t>
  </si>
  <si>
    <t>AN-AI plans for IFP</t>
  </si>
  <si>
    <t>Example product - M0040921, M0037521</t>
  </si>
  <si>
    <t>Example product - MK002188</t>
  </si>
  <si>
    <t>As a user, if the member's plan design has Family Embedded Individual, I need to ensure when quoting  deductibles I consider than plans with 1 member (individual coverage) vs more than 1 member (family coverage) have different deductible amounts</t>
  </si>
  <si>
    <t>As a user, when the member is on a plan where the Facets Product Description includes "AN-AI ", that I'm providing benefits for this network, in-network and out of network (3 tiers of networks)</t>
  </si>
  <si>
    <t>Prompt</t>
  </si>
  <si>
    <t>New Source Data?</t>
  </si>
  <si>
    <t>No</t>
  </si>
  <si>
    <t>Yes</t>
  </si>
  <si>
    <t>Other Dev/Config</t>
  </si>
  <si>
    <t>As a user, I need to make sure that fertility can be interpreted and mapped correctly to the Nexus data</t>
  </si>
  <si>
    <t>Prompt or Ground Truth + Prompt</t>
  </si>
  <si>
    <t>Ground Truth + Prompt</t>
  </si>
  <si>
    <t>auto ground truth</t>
  </si>
  <si>
    <t>Yes - annual</t>
  </si>
  <si>
    <t>Yes API</t>
  </si>
  <si>
    <t>In nexus?</t>
  </si>
  <si>
    <t>Helm Provider Tier 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</si>
</sst>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8"/>
      <color rgb="FFFF0000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b/>
      <sz val="11"/>
      <color theme="8" tint="0.39997558519241921"/>
      <name val="Aptos Narrow"/>
      <family val="2"/>
      <scheme val="minor"/>
    </font>
    <font>
      <b/>
      <sz val="8"/>
      <color theme="8" tint="0.39997558519241921"/>
      <name val="Aptos Narrow"/>
      <family val="2"/>
      <scheme val="minor"/>
    </font>
    <font>
      <sz val="10"/>
      <color theme="8" tint="0.39997558519241921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2"/>
      <color rgb="FF000000"/>
      <name val="Aptos Narrow"/>
    </font>
    <font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theme="3" tint="0.749992370372631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168">
    <xf numFmtId="0" fontId="0" fillId="0" borderId="0" xfId="0"/>
    <xf numFmtId="0" fontId="0" fillId="0" borderId="0" xfId="0" applyAlignment="1">
      <alignment vertical="top"/>
    </xf>
    <xf numFmtId="0" fontId="1" fillId="2" borderId="14" xfId="0" applyFont="1" applyFill="1" applyBorder="1" applyAlignment="1">
      <alignment horizontal="center" vertical="top" wrapText="1"/>
    </xf>
    <xf numFmtId="0" fontId="1" fillId="2" borderId="15" xfId="0" applyFont="1" applyFill="1" applyBorder="1" applyAlignment="1">
      <alignment horizontal="center" vertical="top" wrapText="1"/>
    </xf>
    <xf numFmtId="0" fontId="1" fillId="4" borderId="17" xfId="0" applyFont="1" applyFill="1" applyBorder="1" applyAlignment="1">
      <alignment horizontal="center" vertical="top" wrapText="1"/>
    </xf>
    <xf numFmtId="0" fontId="3" fillId="4" borderId="17" xfId="0" applyFont="1" applyFill="1" applyBorder="1" applyAlignment="1">
      <alignment horizontal="center" vertical="top" wrapText="1"/>
    </xf>
    <xf numFmtId="0" fontId="3" fillId="4" borderId="18" xfId="0" applyFont="1" applyFill="1" applyBorder="1" applyAlignment="1">
      <alignment horizontal="center" vertical="top" wrapText="1"/>
    </xf>
    <xf numFmtId="0" fontId="4" fillId="0" borderId="20" xfId="0" applyFont="1" applyBorder="1" applyAlignment="1">
      <alignment vertical="top"/>
    </xf>
    <xf numFmtId="0" fontId="3" fillId="2" borderId="22" xfId="0" applyFont="1" applyFill="1" applyBorder="1" applyAlignment="1">
      <alignment horizontal="center" vertical="top" wrapText="1"/>
    </xf>
    <xf numFmtId="0" fontId="3" fillId="2" borderId="17" xfId="0" applyFont="1" applyFill="1" applyBorder="1" applyAlignment="1">
      <alignment horizontal="center" vertical="top" wrapText="1"/>
    </xf>
    <xf numFmtId="0" fontId="3" fillId="4" borderId="22" xfId="0" applyFont="1" applyFill="1" applyBorder="1" applyAlignment="1">
      <alignment horizontal="center" vertical="top" wrapText="1"/>
    </xf>
    <xf numFmtId="0" fontId="3" fillId="4" borderId="25" xfId="0" applyFont="1" applyFill="1" applyBorder="1" applyAlignment="1">
      <alignment horizontal="center" vertical="top" wrapText="1"/>
    </xf>
    <xf numFmtId="0" fontId="5" fillId="0" borderId="20" xfId="0" applyFont="1" applyBorder="1" applyAlignment="1">
      <alignment vertical="top" wrapText="1"/>
    </xf>
    <xf numFmtId="0" fontId="6" fillId="0" borderId="26" xfId="0" applyFont="1" applyBorder="1" applyAlignment="1">
      <alignment wrapText="1"/>
    </xf>
    <xf numFmtId="0" fontId="6" fillId="2" borderId="22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4" borderId="22" xfId="0" applyFont="1" applyFill="1" applyBorder="1" applyAlignment="1">
      <alignment horizontal="center"/>
    </xf>
    <xf numFmtId="0" fontId="6" fillId="4" borderId="17" xfId="0" applyFont="1" applyFill="1" applyBorder="1" applyAlignment="1">
      <alignment horizontal="center"/>
    </xf>
    <xf numFmtId="0" fontId="6" fillId="4" borderId="24" xfId="0" applyFont="1" applyFill="1" applyBorder="1" applyAlignment="1">
      <alignment horizontal="center"/>
    </xf>
    <xf numFmtId="0" fontId="6" fillId="0" borderId="27" xfId="0" applyFont="1" applyBorder="1" applyAlignment="1">
      <alignment wrapText="1"/>
    </xf>
    <xf numFmtId="0" fontId="6" fillId="0" borderId="28" xfId="0" applyFont="1" applyBorder="1" applyAlignment="1">
      <alignment wrapText="1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4" borderId="29" xfId="0" applyFont="1" applyFill="1" applyBorder="1" applyAlignment="1">
      <alignment horizontal="center"/>
    </xf>
    <xf numFmtId="0" fontId="6" fillId="4" borderId="30" xfId="0" applyFont="1" applyFill="1" applyBorder="1" applyAlignment="1">
      <alignment horizontal="center"/>
    </xf>
    <xf numFmtId="0" fontId="6" fillId="4" borderId="32" xfId="0" applyFont="1" applyFill="1" applyBorder="1" applyAlignment="1">
      <alignment horizont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17" xfId="0" applyFont="1" applyBorder="1" applyAlignment="1">
      <alignment horizontal="left" vertical="center" wrapText="1"/>
    </xf>
    <xf numFmtId="0" fontId="8" fillId="0" borderId="35" xfId="0" applyFont="1" applyBorder="1" applyAlignment="1">
      <alignment vertical="center" wrapText="1"/>
    </xf>
    <xf numFmtId="0" fontId="8" fillId="0" borderId="38" xfId="0" applyFont="1" applyBorder="1" applyAlignment="1">
      <alignment vertical="center" wrapText="1"/>
    </xf>
    <xf numFmtId="0" fontId="8" fillId="0" borderId="39" xfId="0" applyFont="1" applyBorder="1" applyAlignment="1">
      <alignment vertical="center" wrapText="1"/>
    </xf>
    <xf numFmtId="0" fontId="9" fillId="2" borderId="23" xfId="0" applyFont="1" applyFill="1" applyBorder="1" applyAlignment="1">
      <alignment horizontal="center" vertical="top" wrapText="1"/>
    </xf>
    <xf numFmtId="0" fontId="10" fillId="0" borderId="0" xfId="0" applyFont="1"/>
    <xf numFmtId="0" fontId="10" fillId="0" borderId="1" xfId="0" applyFont="1" applyBorder="1"/>
    <xf numFmtId="0" fontId="10" fillId="0" borderId="2" xfId="0" applyFont="1" applyBorder="1"/>
    <xf numFmtId="0" fontId="11" fillId="0" borderId="5" xfId="0" applyFont="1" applyBorder="1" applyAlignment="1">
      <alignment horizontal="center" vertical="top"/>
    </xf>
    <xf numFmtId="0" fontId="11" fillId="0" borderId="6" xfId="0" applyFont="1" applyBorder="1" applyAlignment="1">
      <alignment horizontal="center" vertical="top"/>
    </xf>
    <xf numFmtId="0" fontId="11" fillId="2" borderId="14" xfId="0" applyFont="1" applyFill="1" applyBorder="1" applyAlignment="1">
      <alignment horizontal="center" vertical="top" wrapText="1"/>
    </xf>
    <xf numFmtId="0" fontId="11" fillId="2" borderId="15" xfId="0" applyFont="1" applyFill="1" applyBorder="1" applyAlignment="1">
      <alignment horizontal="center" vertical="top" wrapText="1"/>
    </xf>
    <xf numFmtId="0" fontId="11" fillId="2" borderId="16" xfId="0" applyFont="1" applyFill="1" applyBorder="1" applyAlignment="1">
      <alignment horizontal="center" vertical="top" wrapText="1"/>
    </xf>
    <xf numFmtId="0" fontId="11" fillId="3" borderId="16" xfId="0" applyFont="1" applyFill="1" applyBorder="1" applyAlignment="1">
      <alignment horizontal="center" vertical="top" wrapText="1"/>
    </xf>
    <xf numFmtId="0" fontId="11" fillId="4" borderId="17" xfId="0" applyFont="1" applyFill="1" applyBorder="1" applyAlignment="1">
      <alignment horizontal="center" vertical="top" wrapText="1"/>
    </xf>
    <xf numFmtId="0" fontId="12" fillId="4" borderId="17" xfId="0" applyFont="1" applyFill="1" applyBorder="1" applyAlignment="1">
      <alignment horizontal="center" vertical="top" wrapText="1"/>
    </xf>
    <xf numFmtId="0" fontId="12" fillId="4" borderId="18" xfId="0" applyFont="1" applyFill="1" applyBorder="1" applyAlignment="1">
      <alignment horizontal="center" vertical="top" wrapText="1"/>
    </xf>
    <xf numFmtId="0" fontId="12" fillId="2" borderId="22" xfId="0" applyFont="1" applyFill="1" applyBorder="1" applyAlignment="1">
      <alignment horizontal="center" vertical="top" wrapText="1"/>
    </xf>
    <xf numFmtId="0" fontId="12" fillId="2" borderId="17" xfId="0" applyFont="1" applyFill="1" applyBorder="1" applyAlignment="1">
      <alignment horizontal="center" vertical="top" wrapText="1"/>
    </xf>
    <xf numFmtId="0" fontId="12" fillId="2" borderId="23" xfId="0" applyFont="1" applyFill="1" applyBorder="1" applyAlignment="1">
      <alignment horizontal="center" vertical="top" wrapText="1"/>
    </xf>
    <xf numFmtId="0" fontId="12" fillId="3" borderId="23" xfId="0" applyFont="1" applyFill="1" applyBorder="1" applyAlignment="1">
      <alignment horizontal="center" vertical="top" wrapText="1"/>
    </xf>
    <xf numFmtId="0" fontId="12" fillId="3" borderId="24" xfId="0" applyFont="1" applyFill="1" applyBorder="1" applyAlignment="1">
      <alignment horizontal="center" vertical="top" wrapText="1"/>
    </xf>
    <xf numFmtId="0" fontId="12" fillId="4" borderId="22" xfId="0" applyFont="1" applyFill="1" applyBorder="1" applyAlignment="1">
      <alignment horizontal="center" vertical="top" wrapText="1"/>
    </xf>
    <xf numFmtId="0" fontId="12" fillId="4" borderId="25" xfId="0" applyFont="1" applyFill="1" applyBorder="1" applyAlignment="1">
      <alignment horizontal="center" vertical="top" wrapText="1"/>
    </xf>
    <xf numFmtId="0" fontId="10" fillId="2" borderId="22" xfId="0" applyFont="1" applyFill="1" applyBorder="1" applyAlignment="1">
      <alignment horizontal="center"/>
    </xf>
    <xf numFmtId="0" fontId="10" fillId="2" borderId="17" xfId="0" applyFont="1" applyFill="1" applyBorder="1" applyAlignment="1">
      <alignment horizontal="center"/>
    </xf>
    <xf numFmtId="0" fontId="10" fillId="2" borderId="23" xfId="0" applyFont="1" applyFill="1" applyBorder="1" applyAlignment="1">
      <alignment horizontal="center"/>
    </xf>
    <xf numFmtId="0" fontId="10" fillId="3" borderId="23" xfId="0" applyFont="1" applyFill="1" applyBorder="1" applyAlignment="1">
      <alignment horizontal="center"/>
    </xf>
    <xf numFmtId="0" fontId="10" fillId="3" borderId="24" xfId="0" applyFont="1" applyFill="1" applyBorder="1" applyAlignment="1">
      <alignment horizontal="center"/>
    </xf>
    <xf numFmtId="0" fontId="10" fillId="4" borderId="22" xfId="0" applyFont="1" applyFill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0" fillId="4" borderId="24" xfId="0" applyFont="1" applyFill="1" applyBorder="1" applyAlignment="1">
      <alignment horizontal="center"/>
    </xf>
    <xf numFmtId="0" fontId="10" fillId="2" borderId="29" xfId="0" applyFont="1" applyFill="1" applyBorder="1" applyAlignment="1">
      <alignment horizontal="center"/>
    </xf>
    <xf numFmtId="0" fontId="10" fillId="2" borderId="30" xfId="0" applyFont="1" applyFill="1" applyBorder="1" applyAlignment="1">
      <alignment horizontal="center"/>
    </xf>
    <xf numFmtId="0" fontId="10" fillId="2" borderId="31" xfId="0" applyFont="1" applyFill="1" applyBorder="1" applyAlignment="1">
      <alignment horizontal="center"/>
    </xf>
    <xf numFmtId="0" fontId="10" fillId="3" borderId="31" xfId="0" applyFont="1" applyFill="1" applyBorder="1" applyAlignment="1">
      <alignment horizontal="center"/>
    </xf>
    <xf numFmtId="0" fontId="10" fillId="3" borderId="32" xfId="0" applyFont="1" applyFill="1" applyBorder="1" applyAlignment="1">
      <alignment horizontal="center"/>
    </xf>
    <xf numFmtId="0" fontId="10" fillId="4" borderId="29" xfId="0" applyFont="1" applyFill="1" applyBorder="1" applyAlignment="1">
      <alignment horizontal="center"/>
    </xf>
    <xf numFmtId="0" fontId="10" fillId="4" borderId="30" xfId="0" applyFont="1" applyFill="1" applyBorder="1" applyAlignment="1">
      <alignment horizontal="center"/>
    </xf>
    <xf numFmtId="0" fontId="10" fillId="4" borderId="32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33" xfId="0" applyFont="1" applyBorder="1" applyAlignment="1">
      <alignment horizontal="center"/>
    </xf>
    <xf numFmtId="0" fontId="10" fillId="0" borderId="34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3" fillId="0" borderId="35" xfId="0" applyFont="1" applyBorder="1" applyAlignment="1">
      <alignment vertical="center" wrapText="1"/>
    </xf>
    <xf numFmtId="0" fontId="10" fillId="0" borderId="36" xfId="0" applyFont="1" applyBorder="1"/>
    <xf numFmtId="0" fontId="10" fillId="0" borderId="37" xfId="0" applyFont="1" applyBorder="1"/>
    <xf numFmtId="0" fontId="10" fillId="0" borderId="23" xfId="0" applyFont="1" applyBorder="1"/>
    <xf numFmtId="0" fontId="13" fillId="0" borderId="38" xfId="0" applyFont="1" applyBorder="1" applyAlignment="1">
      <alignment vertical="center" wrapText="1"/>
    </xf>
    <xf numFmtId="0" fontId="13" fillId="0" borderId="39" xfId="0" applyFont="1" applyBorder="1" applyAlignment="1">
      <alignment vertical="center" wrapText="1"/>
    </xf>
    <xf numFmtId="0" fontId="14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7" borderId="0" xfId="0" applyFill="1"/>
    <xf numFmtId="0" fontId="14" fillId="7" borderId="17" xfId="0" applyFont="1" applyFill="1" applyBorder="1" applyAlignment="1">
      <alignment horizontal="center"/>
    </xf>
    <xf numFmtId="0" fontId="14" fillId="7" borderId="17" xfId="0" applyFont="1" applyFill="1" applyBorder="1"/>
    <xf numFmtId="0" fontId="14" fillId="7" borderId="0" xfId="0" applyFont="1" applyFill="1"/>
    <xf numFmtId="0" fontId="0" fillId="7" borderId="17" xfId="0" applyFill="1" applyBorder="1" applyAlignment="1">
      <alignment wrapText="1"/>
    </xf>
    <xf numFmtId="0" fontId="15" fillId="7" borderId="17" xfId="0" applyFont="1" applyFill="1" applyBorder="1" applyAlignment="1">
      <alignment wrapText="1"/>
    </xf>
    <xf numFmtId="0" fontId="0" fillId="7" borderId="0" xfId="0" applyFill="1" applyAlignment="1">
      <alignment wrapText="1"/>
    </xf>
    <xf numFmtId="0" fontId="0" fillId="7" borderId="17" xfId="0" applyFill="1" applyBorder="1"/>
    <xf numFmtId="0" fontId="14" fillId="6" borderId="17" xfId="0" applyFont="1" applyFill="1" applyBorder="1" applyAlignment="1">
      <alignment horizontal="center" vertical="center"/>
    </xf>
    <xf numFmtId="0" fontId="14" fillId="6" borderId="17" xfId="0" applyFont="1" applyFill="1" applyBorder="1" applyAlignment="1">
      <alignment vertical="center"/>
    </xf>
    <xf numFmtId="0" fontId="14" fillId="6" borderId="17" xfId="0" applyFont="1" applyFill="1" applyBorder="1" applyAlignment="1">
      <alignment vertical="center" wrapText="1"/>
    </xf>
    <xf numFmtId="0" fontId="14" fillId="5" borderId="23" xfId="0" applyFont="1" applyFill="1" applyBorder="1" applyAlignment="1">
      <alignment horizontal="center" wrapText="1"/>
    </xf>
    <xf numFmtId="0" fontId="14" fillId="6" borderId="15" xfId="0" applyFont="1" applyFill="1" applyBorder="1" applyAlignment="1">
      <alignment vertical="center" wrapText="1"/>
    </xf>
    <xf numFmtId="0" fontId="14" fillId="5" borderId="37" xfId="0" applyFont="1" applyFill="1" applyBorder="1" applyAlignment="1">
      <alignment horizontal="center" wrapText="1"/>
    </xf>
    <xf numFmtId="0" fontId="14" fillId="5" borderId="36" xfId="0" applyFont="1" applyFill="1" applyBorder="1" applyAlignment="1">
      <alignment horizontal="center" wrapText="1"/>
    </xf>
    <xf numFmtId="0" fontId="16" fillId="7" borderId="17" xfId="0" applyFont="1" applyFill="1" applyBorder="1"/>
    <xf numFmtId="0" fontId="14" fillId="7" borderId="40" xfId="0" applyFont="1" applyFill="1" applyBorder="1" applyAlignment="1">
      <alignment horizontal="center" vertical="center" wrapText="1"/>
    </xf>
    <xf numFmtId="0" fontId="14" fillId="7" borderId="41" xfId="0" applyFont="1" applyFill="1" applyBorder="1" applyAlignment="1">
      <alignment horizontal="center" vertical="center" wrapText="1"/>
    </xf>
    <xf numFmtId="0" fontId="14" fillId="7" borderId="15" xfId="0" applyFont="1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14" fillId="8" borderId="17" xfId="0" applyFont="1" applyFill="1" applyBorder="1" applyAlignment="1">
      <alignment horizontal="center"/>
    </xf>
    <xf numFmtId="0" fontId="14" fillId="8" borderId="17" xfId="0" applyFont="1" applyFill="1" applyBorder="1"/>
    <xf numFmtId="0" fontId="16" fillId="8" borderId="17" xfId="0" applyFont="1" applyFill="1" applyBorder="1" applyAlignment="1">
      <alignment horizontal="center"/>
    </xf>
    <xf numFmtId="0" fontId="0" fillId="8" borderId="17" xfId="0" applyFill="1" applyBorder="1" applyAlignment="1">
      <alignment wrapText="1"/>
    </xf>
    <xf numFmtId="0" fontId="15" fillId="8" borderId="17" xfId="0" applyFont="1" applyFill="1" applyBorder="1" applyAlignment="1">
      <alignment wrapText="1"/>
    </xf>
    <xf numFmtId="0" fontId="0" fillId="8" borderId="0" xfId="0" applyFill="1"/>
    <xf numFmtId="0" fontId="0" fillId="8" borderId="17" xfId="0" applyFill="1" applyBorder="1"/>
    <xf numFmtId="0" fontId="0" fillId="8" borderId="17" xfId="0" applyFill="1" applyBorder="1" applyAlignment="1">
      <alignment horizontal="center"/>
    </xf>
    <xf numFmtId="0" fontId="14" fillId="8" borderId="17" xfId="0" applyFont="1" applyFill="1" applyBorder="1" applyAlignment="1">
      <alignment horizontal="center" vertical="center"/>
    </xf>
    <xf numFmtId="0" fontId="14" fillId="8" borderId="40" xfId="0" applyFont="1" applyFill="1" applyBorder="1" applyAlignment="1">
      <alignment vertical="center"/>
    </xf>
    <xf numFmtId="0" fontId="14" fillId="8" borderId="17" xfId="0" applyFont="1" applyFill="1" applyBorder="1" applyAlignment="1">
      <alignment vertical="center" wrapText="1"/>
    </xf>
    <xf numFmtId="0" fontId="14" fillId="8" borderId="15" xfId="0" applyFont="1" applyFill="1" applyBorder="1" applyAlignment="1">
      <alignment vertical="center" wrapText="1"/>
    </xf>
    <xf numFmtId="0" fontId="14" fillId="8" borderId="0" xfId="0" applyFont="1" applyFill="1"/>
    <xf numFmtId="0" fontId="0" fillId="8" borderId="0" xfId="0" applyFill="1" applyAlignment="1">
      <alignment wrapText="1"/>
    </xf>
    <xf numFmtId="0" fontId="14" fillId="8" borderId="40" xfId="0" applyFont="1" applyFill="1" applyBorder="1" applyAlignment="1">
      <alignment horizontal="center" vertical="center"/>
    </xf>
    <xf numFmtId="0" fontId="14" fillId="8" borderId="15" xfId="0" applyFont="1" applyFill="1" applyBorder="1" applyAlignment="1">
      <alignment horizontal="center" vertical="center"/>
    </xf>
    <xf numFmtId="0" fontId="19" fillId="0" borderId="0" xfId="0" applyFont="1" applyAlignment="1">
      <alignment wrapText="1"/>
    </xf>
    <xf numFmtId="0" fontId="0" fillId="8" borderId="17" xfId="0" applyFill="1" applyBorder="1" applyAlignment="1">
      <alignment vertical="top" wrapText="1"/>
    </xf>
    <xf numFmtId="0" fontId="17" fillId="0" borderId="0" xfId="1"/>
    <xf numFmtId="0" fontId="0" fillId="9" borderId="0" xfId="0" applyFill="1"/>
    <xf numFmtId="0" fontId="0" fillId="9" borderId="0" xfId="0" applyFill="1" applyAlignment="1">
      <alignment horizontal="center"/>
    </xf>
    <xf numFmtId="0" fontId="0" fillId="9" borderId="0" xfId="0" applyFill="1" applyAlignment="1">
      <alignment horizontal="center" wrapText="1"/>
    </xf>
    <xf numFmtId="0" fontId="19" fillId="9" borderId="0" xfId="0" applyFont="1" applyFill="1" applyAlignment="1">
      <alignment wrapText="1"/>
    </xf>
    <xf numFmtId="0" fontId="17" fillId="9" borderId="0" xfId="1" applyFill="1"/>
    <xf numFmtId="0" fontId="0" fillId="10" borderId="0" xfId="0" applyFill="1"/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center" wrapText="1"/>
    </xf>
    <xf numFmtId="0" fontId="19" fillId="10" borderId="0" xfId="0" applyFont="1" applyFill="1" applyAlignment="1">
      <alignment wrapText="1"/>
    </xf>
    <xf numFmtId="0" fontId="20" fillId="10" borderId="0" xfId="0" applyFont="1" applyFill="1"/>
    <xf numFmtId="0" fontId="21" fillId="10" borderId="0" xfId="0" applyFont="1" applyFill="1"/>
    <xf numFmtId="0" fontId="14" fillId="9" borderId="0" xfId="0" applyFont="1" applyFill="1"/>
    <xf numFmtId="0" fontId="14" fillId="10" borderId="0" xfId="0" applyFont="1" applyFill="1"/>
    <xf numFmtId="0" fontId="1" fillId="0" borderId="3" xfId="0" applyFont="1" applyBorder="1" applyAlignment="1">
      <alignment horizontal="center" vertical="top" wrapText="1"/>
    </xf>
    <xf numFmtId="0" fontId="0" fillId="0" borderId="13" xfId="0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11" fillId="0" borderId="4" xfId="0" applyFont="1" applyBorder="1" applyAlignment="1">
      <alignment horizontal="center" vertical="top"/>
    </xf>
    <xf numFmtId="0" fontId="11" fillId="0" borderId="5" xfId="0" applyFont="1" applyBorder="1" applyAlignment="1">
      <alignment horizontal="center" vertical="top"/>
    </xf>
    <xf numFmtId="0" fontId="11" fillId="0" borderId="7" xfId="0" applyFont="1" applyBorder="1" applyAlignment="1">
      <alignment horizontal="center" vertical="top"/>
    </xf>
    <xf numFmtId="0" fontId="10" fillId="0" borderId="8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0" fontId="11" fillId="0" borderId="10" xfId="0" applyFont="1" applyBorder="1" applyAlignment="1">
      <alignment horizontal="center" vertical="top"/>
    </xf>
    <xf numFmtId="0" fontId="11" fillId="0" borderId="11" xfId="0" applyFont="1" applyBorder="1" applyAlignment="1">
      <alignment horizontal="center" vertical="top"/>
    </xf>
    <xf numFmtId="0" fontId="11" fillId="0" borderId="12" xfId="0" applyFont="1" applyBorder="1" applyAlignment="1">
      <alignment horizontal="center" vertical="top"/>
    </xf>
    <xf numFmtId="0" fontId="4" fillId="0" borderId="19" xfId="0" applyFont="1" applyBorder="1" applyAlignment="1">
      <alignment vertical="top" wrapText="1"/>
    </xf>
    <xf numFmtId="0" fontId="2" fillId="0" borderId="10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4" fillId="6" borderId="0" xfId="0" applyFont="1" applyFill="1" applyAlignment="1">
      <alignment horizontal="center"/>
    </xf>
    <xf numFmtId="0" fontId="14" fillId="5" borderId="17" xfId="0" applyFont="1" applyFill="1" applyBorder="1" applyAlignment="1">
      <alignment horizontal="center" wrapText="1"/>
    </xf>
    <xf numFmtId="0" fontId="14" fillId="5" borderId="23" xfId="0" applyFont="1" applyFill="1" applyBorder="1" applyAlignment="1">
      <alignment horizontal="center" wrapText="1"/>
    </xf>
    <xf numFmtId="0" fontId="14" fillId="7" borderId="40" xfId="0" applyFont="1" applyFill="1" applyBorder="1" applyAlignment="1">
      <alignment horizontal="center" vertical="center" wrapText="1"/>
    </xf>
    <xf numFmtId="0" fontId="14" fillId="7" borderId="41" xfId="0" applyFont="1" applyFill="1" applyBorder="1" applyAlignment="1">
      <alignment horizontal="center" vertical="center" wrapText="1"/>
    </xf>
    <xf numFmtId="0" fontId="14" fillId="7" borderId="15" xfId="0" applyFont="1" applyFill="1" applyBorder="1" applyAlignment="1">
      <alignment horizontal="center" vertical="center" wrapText="1"/>
    </xf>
    <xf numFmtId="0" fontId="14" fillId="7" borderId="40" xfId="0" applyFont="1" applyFill="1" applyBorder="1" applyAlignment="1">
      <alignment horizontal="center" vertical="center"/>
    </xf>
    <xf numFmtId="0" fontId="14" fillId="7" borderId="41" xfId="0" applyFont="1" applyFill="1" applyBorder="1" applyAlignment="1">
      <alignment horizontal="center" vertical="center"/>
    </xf>
    <xf numFmtId="0" fontId="14" fillId="7" borderId="15" xfId="0" applyFont="1" applyFill="1" applyBorder="1" applyAlignment="1">
      <alignment horizontal="center" vertical="center"/>
    </xf>
    <xf numFmtId="0" fontId="14" fillId="8" borderId="40" xfId="0" applyFont="1" applyFill="1" applyBorder="1" applyAlignment="1">
      <alignment horizontal="center" vertical="center"/>
    </xf>
    <xf numFmtId="0" fontId="14" fillId="8" borderId="41" xfId="0" applyFont="1" applyFill="1" applyBorder="1" applyAlignment="1">
      <alignment horizontal="center" vertical="center"/>
    </xf>
    <xf numFmtId="0" fontId="14" fillId="8" borderId="15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6</xdr:row>
      <xdr:rowOff>57150</xdr:rowOff>
    </xdr:from>
    <xdr:to>
      <xdr:col>10</xdr:col>
      <xdr:colOff>419438</xdr:colOff>
      <xdr:row>41</xdr:row>
      <xdr:rowOff>30162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F05CAB04-E7C9-5D4F-70A2-86C538679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" y="1128713"/>
          <a:ext cx="11155700" cy="6217443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285750</xdr:colOff>
      <xdr:row>6</xdr:row>
      <xdr:rowOff>23812</xdr:rowOff>
    </xdr:from>
    <xdr:to>
      <xdr:col>35</xdr:col>
      <xdr:colOff>411957</xdr:colOff>
      <xdr:row>38</xdr:row>
      <xdr:rowOff>125412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2DBAE6-F366-4468-888A-8D1DABA64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15688" y="1095375"/>
          <a:ext cx="10442575" cy="5816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ab, Deborah" id="{C85F2C05-5E00-4021-96D2-06C74C178B41}" userId="S::ddab01@blueshieldca.com::3791d7ff-a3b2-40e2-8e11-6407919daa5e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0" dT="2026-02-26T19:10:29.16" personId="{C85F2C05-5E00-4021-96D2-06C74C178B41}" id="{7F6239F4-BF30-448D-9236-839FA0C478CD}">
    <text>Do we define ground truth and test data together?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21" dT="2026-03-03T23:22:06.38" personId="{C85F2C05-5E00-4021-96D2-06C74C178B41}" id="{078F826C-4509-4894-AFCB-6A5476777B5F}">
    <text>Run by Heather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blueshieldca.sharepoint.com/:f:/r/sites/TOCES/Shared%20Documents/AI%20work/Use%20Case%202.%20Benefit%20Quoting/Benefit%20Quoting%20-%20Process%20Documentation/Researching%20Prior%20Authorization%20Requirements?csf=1&amp;web=1&amp;e=dphZQK" TargetMode="External"/><Relationship Id="rId2" Type="http://schemas.openxmlformats.org/officeDocument/2006/relationships/hyperlink" Target="https://blueshieldca.sharepoint.com/:f:/r/sites/TOCES/Shared%20Documents/AI%20work/Use%20Case%202.%20Benefit%20Quoting/Benefit%20Quoting%20-%20Process%20Documentation/Researching%20Allowed%20Amounts?csf=1&amp;web=1&amp;e=SGSgJq" TargetMode="External"/><Relationship Id="rId1" Type="http://schemas.openxmlformats.org/officeDocument/2006/relationships/hyperlink" Target="https://blueshieldca.sharepoint.com/:f:/r/sites/TOCES/Shared%20Documents/AI%20work/Use%20Case%202.%20Benefit%20Quoting/Benefit%20Quoting%20-%20Process%20Documentation/Determining%20Provider%20Network%20Status?csf=1&amp;web=1&amp;e=EWyVx7" TargetMode="External"/><Relationship Id="rId4" Type="http://schemas.openxmlformats.org/officeDocument/2006/relationships/hyperlink" Target="https://blueshieldca.sharepoint.com/:u:/r/sites/TOCES/Shared%20Documents/AI%20work/Use%20Case%202.%20Benefit%20Quoting/MVP2/Customer%20Experience%20-%20Quoting%20Pharmacy%20Prescription%20Benefits.url?csf=1&amp;web=1&amp;e=gNibkJ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DACEB-B7F1-4AC2-B06B-83CE7CD49705}">
  <dimension ref="A1:AK32"/>
  <sheetViews>
    <sheetView topLeftCell="A9" zoomScale="110" zoomScaleNormal="110" workbookViewId="0">
      <selection activeCell="B2" sqref="B2:B4"/>
    </sheetView>
  </sheetViews>
  <sheetFormatPr baseColWidth="10" defaultColWidth="8.83203125" defaultRowHeight="15" customHeight="1" x14ac:dyDescent="0.2"/>
  <cols>
    <col min="1" max="1" width="9.5" customWidth="1"/>
    <col min="2" max="2" width="29.6640625" customWidth="1"/>
    <col min="3" max="3" width="14.6640625" customWidth="1"/>
    <col min="4" max="9" width="17" customWidth="1"/>
    <col min="10" max="10" width="19.33203125" customWidth="1"/>
    <col min="11" max="11" width="13.5" customWidth="1"/>
    <col min="12" max="12" width="14" customWidth="1"/>
    <col min="13" max="13" width="14.1640625" customWidth="1"/>
    <col min="14" max="14" width="14.6640625" customWidth="1"/>
    <col min="15" max="17" width="17" customWidth="1"/>
    <col min="18" max="18" width="14.6640625" style="34" customWidth="1"/>
    <col min="19" max="19" width="17" style="34" customWidth="1"/>
    <col min="20" max="20" width="19.33203125" style="34" customWidth="1"/>
    <col min="21" max="21" width="14.5" style="34" customWidth="1"/>
    <col min="22" max="22" width="17.6640625" style="34" customWidth="1"/>
    <col min="23" max="23" width="13.33203125" style="34" customWidth="1"/>
    <col min="24" max="24" width="13.33203125" style="74" customWidth="1"/>
    <col min="25" max="28" width="13.33203125" style="75" customWidth="1"/>
    <col min="29" max="29" width="13.33203125" style="76" customWidth="1"/>
    <col min="30" max="30" width="13.5" style="34" customWidth="1"/>
    <col min="31" max="31" width="14" style="34" customWidth="1"/>
    <col min="32" max="32" width="14.1640625" style="34" customWidth="1"/>
    <col min="33" max="33" width="12.33203125" customWidth="1"/>
    <col min="34" max="34" width="19.1640625" customWidth="1"/>
    <col min="35" max="35" width="20.83203125" customWidth="1"/>
    <col min="36" max="36" width="18" customWidth="1"/>
  </cols>
  <sheetData>
    <row r="1" spans="1:37" ht="16" thickBot="1" x14ac:dyDescent="0.25">
      <c r="X1" s="35"/>
      <c r="Y1" s="34"/>
      <c r="Z1" s="34"/>
      <c r="AA1" s="34"/>
      <c r="AB1" s="34"/>
      <c r="AC1" s="36"/>
    </row>
    <row r="2" spans="1:37" s="1" customFormat="1" ht="17" thickTop="1" thickBot="1" x14ac:dyDescent="0.25">
      <c r="B2" s="135" t="s">
        <v>0</v>
      </c>
      <c r="C2" s="150" t="s">
        <v>1</v>
      </c>
      <c r="D2" s="151"/>
      <c r="E2" s="151"/>
      <c r="F2" s="151"/>
      <c r="G2" s="152"/>
      <c r="H2" s="153" t="s">
        <v>2</v>
      </c>
      <c r="I2" s="154"/>
      <c r="J2" s="155"/>
      <c r="K2" s="147" t="s">
        <v>3</v>
      </c>
      <c r="L2" s="148"/>
      <c r="M2" s="149"/>
      <c r="N2" s="150" t="s">
        <v>4</v>
      </c>
      <c r="O2" s="151"/>
      <c r="P2" s="151"/>
      <c r="Q2" s="152"/>
      <c r="R2" s="138" t="s">
        <v>1</v>
      </c>
      <c r="S2" s="139"/>
      <c r="T2" s="139"/>
      <c r="U2" s="139"/>
      <c r="V2" s="139"/>
      <c r="W2" s="139"/>
      <c r="X2" s="37"/>
      <c r="Y2" s="38"/>
      <c r="Z2" s="140" t="s">
        <v>5</v>
      </c>
      <c r="AA2" s="141"/>
      <c r="AB2" s="141"/>
      <c r="AC2" s="142"/>
      <c r="AD2" s="143" t="s">
        <v>3</v>
      </c>
      <c r="AE2" s="144"/>
      <c r="AF2" s="145"/>
    </row>
    <row r="3" spans="1:37" s="1" customFormat="1" ht="30" customHeight="1" thickTop="1" x14ac:dyDescent="0.2">
      <c r="B3" s="136"/>
      <c r="C3" s="2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4" t="s">
        <v>14</v>
      </c>
      <c r="L3" s="5" t="s">
        <v>15</v>
      </c>
      <c r="M3" s="6" t="s">
        <v>16</v>
      </c>
      <c r="N3" s="2" t="s">
        <v>17</v>
      </c>
      <c r="O3" s="3" t="s">
        <v>18</v>
      </c>
      <c r="P3" s="3" t="s">
        <v>19</v>
      </c>
      <c r="Q3" s="3" t="s">
        <v>20</v>
      </c>
      <c r="R3" s="39" t="s">
        <v>21</v>
      </c>
      <c r="S3" s="40" t="s">
        <v>22</v>
      </c>
      <c r="T3" s="40" t="s">
        <v>23</v>
      </c>
      <c r="U3" s="40" t="s">
        <v>24</v>
      </c>
      <c r="V3" s="40" t="s">
        <v>25</v>
      </c>
      <c r="W3" s="40" t="s">
        <v>26</v>
      </c>
      <c r="X3" s="40" t="s">
        <v>27</v>
      </c>
      <c r="Y3" s="41" t="s">
        <v>28</v>
      </c>
      <c r="Z3" s="42" t="s">
        <v>29</v>
      </c>
      <c r="AA3" s="42" t="s">
        <v>30</v>
      </c>
      <c r="AB3" s="42" t="s">
        <v>31</v>
      </c>
      <c r="AC3" s="42" t="s">
        <v>31</v>
      </c>
      <c r="AD3" s="43" t="s">
        <v>14</v>
      </c>
      <c r="AE3" s="44" t="s">
        <v>15</v>
      </c>
      <c r="AF3" s="45" t="s">
        <v>32</v>
      </c>
      <c r="AG3" s="146"/>
      <c r="AH3" s="7"/>
      <c r="AI3" s="7"/>
      <c r="AJ3" s="7"/>
      <c r="AK3" s="7"/>
    </row>
    <row r="4" spans="1:37" s="1" customFormat="1" ht="74.5" customHeight="1" thickBot="1" x14ac:dyDescent="0.25">
      <c r="B4" s="137"/>
      <c r="C4" s="8" t="s">
        <v>33</v>
      </c>
      <c r="D4" s="9" t="s">
        <v>34</v>
      </c>
      <c r="E4" s="9" t="s">
        <v>35</v>
      </c>
      <c r="F4" s="9" t="s">
        <v>36</v>
      </c>
      <c r="G4" s="9" t="s">
        <v>37</v>
      </c>
      <c r="H4" s="9" t="s">
        <v>38</v>
      </c>
      <c r="I4" s="9" t="s">
        <v>39</v>
      </c>
      <c r="J4" s="9" t="s">
        <v>40</v>
      </c>
      <c r="K4" s="10" t="s">
        <v>41</v>
      </c>
      <c r="L4" s="5" t="s">
        <v>42</v>
      </c>
      <c r="M4" s="11" t="s">
        <v>43</v>
      </c>
      <c r="N4" s="8" t="s">
        <v>44</v>
      </c>
      <c r="O4" s="9" t="s">
        <v>45</v>
      </c>
      <c r="P4" s="33" t="s">
        <v>46</v>
      </c>
      <c r="Q4" s="9" t="s">
        <v>47</v>
      </c>
      <c r="R4" s="46" t="s">
        <v>48</v>
      </c>
      <c r="S4" s="47" t="s">
        <v>49</v>
      </c>
      <c r="T4" s="47" t="s">
        <v>50</v>
      </c>
      <c r="U4" s="47" t="s">
        <v>51</v>
      </c>
      <c r="V4" s="47" t="s">
        <v>39</v>
      </c>
      <c r="W4" s="47" t="s">
        <v>38</v>
      </c>
      <c r="X4" s="47" t="s">
        <v>52</v>
      </c>
      <c r="Y4" s="48" t="s">
        <v>46</v>
      </c>
      <c r="Z4" s="49" t="s">
        <v>53</v>
      </c>
      <c r="AA4" s="49" t="s">
        <v>54</v>
      </c>
      <c r="AB4" s="49" t="s">
        <v>55</v>
      </c>
      <c r="AC4" s="50" t="s">
        <v>56</v>
      </c>
      <c r="AD4" s="51" t="s">
        <v>57</v>
      </c>
      <c r="AE4" s="44" t="s">
        <v>58</v>
      </c>
      <c r="AF4" s="52" t="s">
        <v>59</v>
      </c>
      <c r="AG4" s="146"/>
      <c r="AH4" s="12"/>
      <c r="AI4" s="12"/>
      <c r="AJ4" s="12"/>
      <c r="AK4" s="12"/>
    </row>
    <row r="5" spans="1:37" ht="17" thickTop="1" x14ac:dyDescent="0.2">
      <c r="A5" t="s">
        <v>60</v>
      </c>
      <c r="B5" s="13" t="s">
        <v>61</v>
      </c>
      <c r="C5" s="14"/>
      <c r="D5" s="15"/>
      <c r="E5" s="15"/>
      <c r="F5" s="15"/>
      <c r="G5" s="15"/>
      <c r="H5" s="15"/>
      <c r="I5" s="15"/>
      <c r="J5" s="15"/>
      <c r="K5" s="16" t="s">
        <v>62</v>
      </c>
      <c r="L5" s="17" t="s">
        <v>63</v>
      </c>
      <c r="M5" s="18" t="s">
        <v>64</v>
      </c>
      <c r="N5" s="14"/>
      <c r="O5" s="15"/>
      <c r="P5" s="15"/>
      <c r="Q5" s="15"/>
      <c r="R5" s="53" t="s">
        <v>64</v>
      </c>
      <c r="S5" s="54" t="s">
        <v>63</v>
      </c>
      <c r="T5" s="54" t="s">
        <v>64</v>
      </c>
      <c r="U5" s="54" t="s">
        <v>63</v>
      </c>
      <c r="V5" s="54"/>
      <c r="W5" s="54" t="s">
        <v>65</v>
      </c>
      <c r="X5" s="54"/>
      <c r="Y5" s="55"/>
      <c r="Z5" s="56" t="s">
        <v>64</v>
      </c>
      <c r="AA5" s="56"/>
      <c r="AB5" s="56" t="s">
        <v>64</v>
      </c>
      <c r="AC5" s="57" t="s">
        <v>64</v>
      </c>
      <c r="AD5" s="58" t="s">
        <v>62</v>
      </c>
      <c r="AE5" s="59" t="s">
        <v>63</v>
      </c>
      <c r="AF5" s="60" t="s">
        <v>64</v>
      </c>
    </row>
    <row r="6" spans="1:37" ht="16" x14ac:dyDescent="0.2">
      <c r="A6" t="s">
        <v>66</v>
      </c>
      <c r="B6" s="19" t="s">
        <v>67</v>
      </c>
      <c r="C6" s="14"/>
      <c r="D6" s="15"/>
      <c r="E6" s="15"/>
      <c r="F6" s="15"/>
      <c r="G6" s="15"/>
      <c r="H6" s="15"/>
      <c r="I6" s="15"/>
      <c r="J6" s="15"/>
      <c r="K6" s="16" t="s">
        <v>63</v>
      </c>
      <c r="L6" s="17" t="s">
        <v>63</v>
      </c>
      <c r="M6" s="18" t="s">
        <v>63</v>
      </c>
      <c r="N6" s="14"/>
      <c r="O6" s="15"/>
      <c r="P6" s="15"/>
      <c r="Q6" s="15"/>
      <c r="R6" s="53" t="s">
        <v>64</v>
      </c>
      <c r="S6" s="54" t="s">
        <v>65</v>
      </c>
      <c r="T6" s="54" t="s">
        <v>62</v>
      </c>
      <c r="U6" s="54" t="s">
        <v>63</v>
      </c>
      <c r="V6" s="54"/>
      <c r="W6" s="54" t="s">
        <v>63</v>
      </c>
      <c r="X6" s="54"/>
      <c r="Y6" s="55"/>
      <c r="Z6" s="56"/>
      <c r="AA6" s="56"/>
      <c r="AB6" s="56"/>
      <c r="AC6" s="57"/>
      <c r="AD6" s="58" t="s">
        <v>63</v>
      </c>
      <c r="AE6" s="59" t="s">
        <v>63</v>
      </c>
      <c r="AF6" s="60" t="s">
        <v>63</v>
      </c>
    </row>
    <row r="7" spans="1:37" ht="16" x14ac:dyDescent="0.2">
      <c r="A7" t="s">
        <v>66</v>
      </c>
      <c r="B7" s="19" t="s">
        <v>68</v>
      </c>
      <c r="C7" s="14"/>
      <c r="D7" s="15"/>
      <c r="E7" s="15"/>
      <c r="F7" s="15"/>
      <c r="G7" s="15"/>
      <c r="H7" s="15"/>
      <c r="I7" s="15"/>
      <c r="J7" s="15"/>
      <c r="K7" s="16" t="s">
        <v>63</v>
      </c>
      <c r="L7" s="17" t="s">
        <v>63</v>
      </c>
      <c r="M7" s="18" t="s">
        <v>63</v>
      </c>
      <c r="N7" s="14"/>
      <c r="O7" s="15"/>
      <c r="P7" s="15"/>
      <c r="Q7" s="15"/>
      <c r="R7" s="53"/>
      <c r="S7" s="54"/>
      <c r="T7" s="54" t="s">
        <v>69</v>
      </c>
      <c r="U7" s="54" t="s">
        <v>69</v>
      </c>
      <c r="V7" s="54"/>
      <c r="W7" s="54"/>
      <c r="X7" s="54"/>
      <c r="Y7" s="55"/>
      <c r="Z7" s="56"/>
      <c r="AA7" s="56"/>
      <c r="AB7" s="56"/>
      <c r="AC7" s="57"/>
      <c r="AD7" s="58" t="s">
        <v>63</v>
      </c>
      <c r="AE7" s="59" t="s">
        <v>63</v>
      </c>
      <c r="AF7" s="60" t="s">
        <v>63</v>
      </c>
    </row>
    <row r="8" spans="1:37" ht="16" x14ac:dyDescent="0.2">
      <c r="A8" t="s">
        <v>66</v>
      </c>
      <c r="B8" s="19" t="s">
        <v>70</v>
      </c>
      <c r="C8" s="14"/>
      <c r="D8" s="15"/>
      <c r="E8" s="15"/>
      <c r="F8" s="15"/>
      <c r="G8" s="15"/>
      <c r="H8" s="15"/>
      <c r="I8" s="15"/>
      <c r="J8" s="15"/>
      <c r="K8" s="16"/>
      <c r="L8" s="17"/>
      <c r="M8" s="18"/>
      <c r="N8" s="14"/>
      <c r="O8" s="15"/>
      <c r="P8" s="15"/>
      <c r="Q8" s="15"/>
      <c r="R8" s="53"/>
      <c r="S8" s="54"/>
      <c r="T8" s="54" t="s">
        <v>69</v>
      </c>
      <c r="U8" s="54"/>
      <c r="V8" s="54"/>
      <c r="W8" s="54"/>
      <c r="X8" s="54"/>
      <c r="Y8" s="55"/>
      <c r="Z8" s="56"/>
      <c r="AA8" s="56"/>
      <c r="AB8" s="56"/>
      <c r="AC8" s="57"/>
      <c r="AD8" s="58"/>
      <c r="AE8" s="59"/>
      <c r="AF8" s="60"/>
    </row>
    <row r="9" spans="1:37" ht="32" x14ac:dyDescent="0.2">
      <c r="A9" t="s">
        <v>71</v>
      </c>
      <c r="B9" s="19" t="s">
        <v>72</v>
      </c>
      <c r="C9" s="14"/>
      <c r="D9" s="15"/>
      <c r="E9" s="15"/>
      <c r="F9" s="15"/>
      <c r="G9" s="15"/>
      <c r="H9" s="15"/>
      <c r="I9" s="15"/>
      <c r="J9" s="15"/>
      <c r="K9" s="16"/>
      <c r="L9" s="17"/>
      <c r="M9" s="18" t="s">
        <v>62</v>
      </c>
      <c r="N9" s="14"/>
      <c r="O9" s="15"/>
      <c r="P9" s="15"/>
      <c r="Q9" s="15"/>
      <c r="R9" s="53" t="s">
        <v>69</v>
      </c>
      <c r="S9" s="54" t="s">
        <v>64</v>
      </c>
      <c r="T9" s="54" t="s">
        <v>64</v>
      </c>
      <c r="U9" s="54" t="s">
        <v>62</v>
      </c>
      <c r="V9" s="54" t="s">
        <v>64</v>
      </c>
      <c r="W9" s="54" t="s">
        <v>62</v>
      </c>
      <c r="X9" s="54" t="s">
        <v>73</v>
      </c>
      <c r="Y9" s="55" t="s">
        <v>65</v>
      </c>
      <c r="Z9" s="56"/>
      <c r="AA9" s="56"/>
      <c r="AB9" s="56"/>
      <c r="AC9" s="57"/>
      <c r="AD9" s="58"/>
      <c r="AE9" s="59"/>
      <c r="AF9" s="60" t="s">
        <v>62</v>
      </c>
    </row>
    <row r="10" spans="1:37" ht="16" x14ac:dyDescent="0.2">
      <c r="A10" t="s">
        <v>74</v>
      </c>
      <c r="B10" s="19" t="s">
        <v>75</v>
      </c>
      <c r="C10" s="14"/>
      <c r="D10" s="15"/>
      <c r="E10" s="15"/>
      <c r="F10" s="15"/>
      <c r="G10" s="15"/>
      <c r="H10" s="15"/>
      <c r="I10" s="15"/>
      <c r="J10" s="15"/>
      <c r="K10" s="16"/>
      <c r="L10" s="17"/>
      <c r="M10" s="18" t="s">
        <v>65</v>
      </c>
      <c r="N10" s="14"/>
      <c r="O10" s="15"/>
      <c r="P10" s="15"/>
      <c r="Q10" s="15"/>
      <c r="R10" s="53" t="s">
        <v>64</v>
      </c>
      <c r="S10" s="54" t="s">
        <v>64</v>
      </c>
      <c r="T10" s="54" t="s">
        <v>63</v>
      </c>
      <c r="U10" s="54" t="s">
        <v>65</v>
      </c>
      <c r="V10" s="54" t="s">
        <v>62</v>
      </c>
      <c r="W10" s="54" t="s">
        <v>63</v>
      </c>
      <c r="X10" s="54"/>
      <c r="Y10" s="55"/>
      <c r="Z10" s="56"/>
      <c r="AA10" s="56"/>
      <c r="AB10" s="56"/>
      <c r="AC10" s="57"/>
      <c r="AD10" s="58"/>
      <c r="AE10" s="59"/>
      <c r="AF10" s="60" t="s">
        <v>65</v>
      </c>
    </row>
    <row r="11" spans="1:37" ht="32" x14ac:dyDescent="0.2">
      <c r="A11" t="s">
        <v>66</v>
      </c>
      <c r="B11" s="19" t="s">
        <v>76</v>
      </c>
      <c r="C11" s="14"/>
      <c r="D11" s="15"/>
      <c r="E11" s="15"/>
      <c r="F11" s="15"/>
      <c r="G11" s="15"/>
      <c r="H11" s="15"/>
      <c r="I11" s="15"/>
      <c r="J11" s="15"/>
      <c r="K11" s="16"/>
      <c r="L11" s="17"/>
      <c r="M11" s="18"/>
      <c r="N11" s="14"/>
      <c r="O11" s="15"/>
      <c r="P11" s="15"/>
      <c r="Q11" s="15"/>
      <c r="R11" s="53" t="s">
        <v>64</v>
      </c>
      <c r="S11" s="54" t="s">
        <v>65</v>
      </c>
      <c r="T11" s="54" t="s">
        <v>65</v>
      </c>
      <c r="U11" s="54" t="s">
        <v>64</v>
      </c>
      <c r="V11" s="54" t="s">
        <v>64</v>
      </c>
      <c r="W11" s="54" t="s">
        <v>65</v>
      </c>
      <c r="X11" s="54"/>
      <c r="Y11" s="55"/>
      <c r="Z11" s="56"/>
      <c r="AA11" s="56"/>
      <c r="AB11" s="56"/>
      <c r="AC11" s="57"/>
      <c r="AD11" s="58"/>
      <c r="AE11" s="59"/>
      <c r="AF11" s="60"/>
    </row>
    <row r="12" spans="1:37" ht="48" x14ac:dyDescent="0.2">
      <c r="A12" t="s">
        <v>71</v>
      </c>
      <c r="B12" s="19" t="s">
        <v>77</v>
      </c>
      <c r="C12" s="14"/>
      <c r="D12" s="15"/>
      <c r="E12" s="15"/>
      <c r="F12" s="15"/>
      <c r="G12" s="15"/>
      <c r="H12" s="15"/>
      <c r="I12" s="15"/>
      <c r="J12" s="15"/>
      <c r="K12" s="16"/>
      <c r="L12" s="17"/>
      <c r="M12" s="18"/>
      <c r="N12" s="14"/>
      <c r="O12" s="15"/>
      <c r="P12" s="15"/>
      <c r="Q12" s="15"/>
      <c r="R12" s="53" t="s">
        <v>64</v>
      </c>
      <c r="S12" s="54" t="s">
        <v>65</v>
      </c>
      <c r="T12" s="54" t="s">
        <v>65</v>
      </c>
      <c r="U12" s="54" t="s">
        <v>64</v>
      </c>
      <c r="V12" s="54" t="s">
        <v>64</v>
      </c>
      <c r="W12" s="54" t="s">
        <v>65</v>
      </c>
      <c r="X12" s="54"/>
      <c r="Y12" s="55"/>
      <c r="Z12" s="56"/>
      <c r="AA12" s="56"/>
      <c r="AB12" s="56"/>
      <c r="AC12" s="57"/>
      <c r="AD12" s="58"/>
      <c r="AE12" s="59"/>
      <c r="AF12" s="60"/>
    </row>
    <row r="13" spans="1:37" ht="16" x14ac:dyDescent="0.2">
      <c r="A13" t="s">
        <v>71</v>
      </c>
      <c r="B13" s="19" t="s">
        <v>78</v>
      </c>
      <c r="C13" s="14"/>
      <c r="D13" s="15"/>
      <c r="E13" s="15"/>
      <c r="F13" s="15"/>
      <c r="G13" s="15"/>
      <c r="H13" s="15"/>
      <c r="I13" s="15"/>
      <c r="J13" s="15"/>
      <c r="K13" s="16"/>
      <c r="L13" s="17"/>
      <c r="M13" s="18" t="s">
        <v>62</v>
      </c>
      <c r="N13" s="14"/>
      <c r="O13" s="15"/>
      <c r="P13" s="15"/>
      <c r="Q13" s="15"/>
      <c r="R13" s="53" t="s">
        <v>64</v>
      </c>
      <c r="S13" s="54" t="s">
        <v>63</v>
      </c>
      <c r="T13" s="54" t="s">
        <v>63</v>
      </c>
      <c r="U13" s="54" t="s">
        <v>62</v>
      </c>
      <c r="V13" s="54" t="s">
        <v>64</v>
      </c>
      <c r="W13" s="54" t="s">
        <v>62</v>
      </c>
      <c r="X13" s="54"/>
      <c r="Y13" s="55"/>
      <c r="Z13" s="56"/>
      <c r="AA13" s="56"/>
      <c r="AB13" s="56"/>
      <c r="AC13" s="57"/>
      <c r="AD13" s="58"/>
      <c r="AE13" s="59"/>
      <c r="AF13" s="60" t="s">
        <v>62</v>
      </c>
    </row>
    <row r="14" spans="1:37" ht="32" x14ac:dyDescent="0.2">
      <c r="A14" t="s">
        <v>74</v>
      </c>
      <c r="B14" s="19" t="s">
        <v>79</v>
      </c>
      <c r="C14" s="14"/>
      <c r="D14" s="15"/>
      <c r="E14" s="15"/>
      <c r="F14" s="15"/>
      <c r="G14" s="15"/>
      <c r="H14" s="15"/>
      <c r="I14" s="15"/>
      <c r="J14" s="15"/>
      <c r="K14" s="16"/>
      <c r="L14" s="17"/>
      <c r="M14" s="18" t="s">
        <v>69</v>
      </c>
      <c r="N14" s="14"/>
      <c r="O14" s="15"/>
      <c r="P14" s="15"/>
      <c r="Q14" s="15"/>
      <c r="R14" s="53" t="s">
        <v>69</v>
      </c>
      <c r="S14" s="54" t="s">
        <v>63</v>
      </c>
      <c r="T14" s="54" t="s">
        <v>63</v>
      </c>
      <c r="U14" s="54" t="s">
        <v>69</v>
      </c>
      <c r="V14" s="54" t="s">
        <v>69</v>
      </c>
      <c r="W14" s="54" t="s">
        <v>63</v>
      </c>
      <c r="X14" s="54"/>
      <c r="Y14" s="55"/>
      <c r="Z14" s="56"/>
      <c r="AA14" s="56"/>
      <c r="AB14" s="56"/>
      <c r="AC14" s="57"/>
      <c r="AD14" s="58"/>
      <c r="AE14" s="59"/>
      <c r="AF14" s="60" t="s">
        <v>69</v>
      </c>
    </row>
    <row r="15" spans="1:37" ht="16" x14ac:dyDescent="0.2">
      <c r="A15" t="s">
        <v>74</v>
      </c>
      <c r="B15" s="19" t="s">
        <v>80</v>
      </c>
      <c r="C15" s="14"/>
      <c r="D15" s="15"/>
      <c r="E15" s="15"/>
      <c r="F15" s="15"/>
      <c r="G15" s="15"/>
      <c r="H15" s="15"/>
      <c r="I15" s="15"/>
      <c r="J15" s="15"/>
      <c r="K15" s="16"/>
      <c r="L15" s="17"/>
      <c r="M15" s="18" t="s">
        <v>69</v>
      </c>
      <c r="N15" s="14"/>
      <c r="O15" s="15"/>
      <c r="P15" s="15"/>
      <c r="Q15" s="15"/>
      <c r="R15" s="53" t="s">
        <v>69</v>
      </c>
      <c r="S15" s="54" t="s">
        <v>65</v>
      </c>
      <c r="T15" s="54" t="s">
        <v>65</v>
      </c>
      <c r="U15" s="54" t="s">
        <v>65</v>
      </c>
      <c r="V15" s="54" t="s">
        <v>65</v>
      </c>
      <c r="W15" s="54" t="s">
        <v>69</v>
      </c>
      <c r="X15" s="54"/>
      <c r="Y15" s="55"/>
      <c r="Z15" s="56"/>
      <c r="AA15" s="56"/>
      <c r="AB15" s="56"/>
      <c r="AC15" s="57"/>
      <c r="AD15" s="58"/>
      <c r="AE15" s="59"/>
      <c r="AF15" s="60" t="s">
        <v>69</v>
      </c>
    </row>
    <row r="16" spans="1:37" ht="16" x14ac:dyDescent="0.2">
      <c r="A16" t="s">
        <v>81</v>
      </c>
      <c r="B16" s="19" t="s">
        <v>82</v>
      </c>
      <c r="C16" s="14"/>
      <c r="D16" s="15"/>
      <c r="E16" s="15"/>
      <c r="F16" s="15"/>
      <c r="G16" s="15"/>
      <c r="H16" s="15"/>
      <c r="I16" s="15"/>
      <c r="J16" s="15"/>
      <c r="K16" s="16"/>
      <c r="L16" s="17"/>
      <c r="M16" s="18" t="s">
        <v>69</v>
      </c>
      <c r="N16" s="14"/>
      <c r="O16" s="15"/>
      <c r="P16" s="15"/>
      <c r="Q16" s="15"/>
      <c r="R16" s="53" t="s">
        <v>69</v>
      </c>
      <c r="S16" s="54" t="s">
        <v>65</v>
      </c>
      <c r="T16" s="54" t="s">
        <v>65</v>
      </c>
      <c r="U16" s="54" t="s">
        <v>65</v>
      </c>
      <c r="V16" s="54" t="s">
        <v>69</v>
      </c>
      <c r="W16" s="54" t="s">
        <v>69</v>
      </c>
      <c r="X16" s="54"/>
      <c r="Y16" s="55"/>
      <c r="Z16" s="56"/>
      <c r="AA16" s="56"/>
      <c r="AB16" s="56"/>
      <c r="AC16" s="57"/>
      <c r="AD16" s="58"/>
      <c r="AE16" s="59"/>
      <c r="AF16" s="60" t="s">
        <v>69</v>
      </c>
    </row>
    <row r="17" spans="1:32" ht="32" x14ac:dyDescent="0.2">
      <c r="A17" t="s">
        <v>81</v>
      </c>
      <c r="B17" s="19" t="s">
        <v>83</v>
      </c>
      <c r="C17" s="14"/>
      <c r="D17" s="15"/>
      <c r="E17" s="15"/>
      <c r="F17" s="15"/>
      <c r="G17" s="15"/>
      <c r="H17" s="15"/>
      <c r="I17" s="15"/>
      <c r="J17" s="15"/>
      <c r="K17" s="16"/>
      <c r="L17" s="17"/>
      <c r="M17" s="18" t="s">
        <v>69</v>
      </c>
      <c r="N17" s="14"/>
      <c r="O17" s="15"/>
      <c r="P17" s="15"/>
      <c r="Q17" s="15"/>
      <c r="R17" s="53" t="s">
        <v>69</v>
      </c>
      <c r="S17" s="54" t="s">
        <v>65</v>
      </c>
      <c r="T17" s="54" t="s">
        <v>65</v>
      </c>
      <c r="U17" s="54" t="s">
        <v>65</v>
      </c>
      <c r="V17" s="54" t="s">
        <v>69</v>
      </c>
      <c r="W17" s="54" t="s">
        <v>69</v>
      </c>
      <c r="X17" s="54"/>
      <c r="Y17" s="55"/>
      <c r="Z17" s="56"/>
      <c r="AA17" s="56"/>
      <c r="AB17" s="56"/>
      <c r="AC17" s="57"/>
      <c r="AD17" s="58"/>
      <c r="AE17" s="59"/>
      <c r="AF17" s="60" t="s">
        <v>69</v>
      </c>
    </row>
    <row r="18" spans="1:32" ht="32" x14ac:dyDescent="0.2">
      <c r="A18" t="s">
        <v>84</v>
      </c>
      <c r="B18" s="19" t="s">
        <v>85</v>
      </c>
      <c r="C18" s="14"/>
      <c r="D18" s="15"/>
      <c r="E18" s="15"/>
      <c r="F18" s="15"/>
      <c r="G18" s="15"/>
      <c r="H18" s="15"/>
      <c r="I18" s="15"/>
      <c r="J18" s="15"/>
      <c r="K18" s="16"/>
      <c r="L18" s="17"/>
      <c r="M18" s="18" t="s">
        <v>62</v>
      </c>
      <c r="N18" s="14"/>
      <c r="O18" s="15"/>
      <c r="P18" s="15"/>
      <c r="Q18" s="15"/>
      <c r="R18" s="53" t="s">
        <v>65</v>
      </c>
      <c r="S18" s="54" t="s">
        <v>69</v>
      </c>
      <c r="T18" s="54" t="s">
        <v>69</v>
      </c>
      <c r="U18" s="54" t="s">
        <v>65</v>
      </c>
      <c r="V18" s="54" t="s">
        <v>65</v>
      </c>
      <c r="W18" s="54" t="s">
        <v>62</v>
      </c>
      <c r="X18" s="54"/>
      <c r="Y18" s="55" t="s">
        <v>64</v>
      </c>
      <c r="Z18" s="56"/>
      <c r="AA18" s="56"/>
      <c r="AB18" s="56"/>
      <c r="AC18" s="57"/>
      <c r="AD18" s="58"/>
      <c r="AE18" s="59"/>
      <c r="AF18" s="60" t="s">
        <v>62</v>
      </c>
    </row>
    <row r="19" spans="1:32" ht="16" x14ac:dyDescent="0.2">
      <c r="A19" t="s">
        <v>74</v>
      </c>
      <c r="B19" s="19" t="s">
        <v>86</v>
      </c>
      <c r="C19" s="14"/>
      <c r="D19" s="15"/>
      <c r="E19" s="15"/>
      <c r="F19" s="15"/>
      <c r="G19" s="15"/>
      <c r="H19" s="15"/>
      <c r="I19" s="15"/>
      <c r="J19" s="15"/>
      <c r="K19" s="16"/>
      <c r="L19" s="17"/>
      <c r="M19" s="18" t="s">
        <v>62</v>
      </c>
      <c r="N19" s="14"/>
      <c r="O19" s="15"/>
      <c r="P19" s="15"/>
      <c r="Q19" s="15"/>
      <c r="R19" s="53" t="s">
        <v>64</v>
      </c>
      <c r="S19" s="54" t="s">
        <v>69</v>
      </c>
      <c r="T19" s="54" t="s">
        <v>69</v>
      </c>
      <c r="U19" s="54" t="s">
        <v>62</v>
      </c>
      <c r="V19" s="54" t="s">
        <v>65</v>
      </c>
      <c r="W19" s="54" t="s">
        <v>62</v>
      </c>
      <c r="X19" s="54"/>
      <c r="Y19" s="55" t="s">
        <v>64</v>
      </c>
      <c r="Z19" s="56"/>
      <c r="AA19" s="56"/>
      <c r="AB19" s="56"/>
      <c r="AC19" s="57"/>
      <c r="AD19" s="58"/>
      <c r="AE19" s="59"/>
      <c r="AF19" s="60" t="s">
        <v>62</v>
      </c>
    </row>
    <row r="20" spans="1:32" ht="16" x14ac:dyDescent="0.2">
      <c r="A20" t="s">
        <v>66</v>
      </c>
      <c r="B20" s="19" t="s">
        <v>87</v>
      </c>
      <c r="C20" s="14"/>
      <c r="D20" s="15"/>
      <c r="E20" s="15"/>
      <c r="F20" s="15"/>
      <c r="G20" s="15"/>
      <c r="H20" s="15"/>
      <c r="I20" s="15"/>
      <c r="J20" s="15"/>
      <c r="K20" s="16" t="s">
        <v>63</v>
      </c>
      <c r="L20" s="17" t="s">
        <v>63</v>
      </c>
      <c r="M20" s="18" t="s">
        <v>62</v>
      </c>
      <c r="N20" s="14"/>
      <c r="O20" s="15"/>
      <c r="P20" s="15"/>
      <c r="Q20" s="15"/>
      <c r="R20" s="53" t="s">
        <v>64</v>
      </c>
      <c r="S20" s="54" t="s">
        <v>62</v>
      </c>
      <c r="T20" s="54" t="s">
        <v>62</v>
      </c>
      <c r="U20" s="54" t="s">
        <v>62</v>
      </c>
      <c r="V20" s="54" t="s">
        <v>88</v>
      </c>
      <c r="W20" s="54" t="s">
        <v>62</v>
      </c>
      <c r="X20" s="54"/>
      <c r="Y20" s="55"/>
      <c r="Z20" s="56" t="s">
        <v>63</v>
      </c>
      <c r="AA20" s="56" t="s">
        <v>63</v>
      </c>
      <c r="AB20" s="56" t="s">
        <v>63</v>
      </c>
      <c r="AC20" s="57" t="s">
        <v>63</v>
      </c>
      <c r="AD20" s="58" t="s">
        <v>63</v>
      </c>
      <c r="AE20" s="59" t="s">
        <v>63</v>
      </c>
      <c r="AF20" s="60" t="s">
        <v>62</v>
      </c>
    </row>
    <row r="21" spans="1:32" ht="16" x14ac:dyDescent="0.2">
      <c r="A21" t="s">
        <v>89</v>
      </c>
      <c r="B21" s="19" t="s">
        <v>90</v>
      </c>
      <c r="C21" s="14"/>
      <c r="D21" s="15"/>
      <c r="E21" s="15"/>
      <c r="F21" s="15"/>
      <c r="G21" s="15"/>
      <c r="H21" s="15"/>
      <c r="I21" s="15"/>
      <c r="J21" s="15"/>
      <c r="K21" s="16"/>
      <c r="L21" s="17"/>
      <c r="M21" s="18"/>
      <c r="N21" s="14"/>
      <c r="O21" s="15"/>
      <c r="P21" s="15"/>
      <c r="Q21" s="15"/>
      <c r="R21" s="53" t="s">
        <v>64</v>
      </c>
      <c r="S21" s="54" t="s">
        <v>62</v>
      </c>
      <c r="T21" s="54" t="s">
        <v>62</v>
      </c>
      <c r="U21" s="54"/>
      <c r="V21" s="54"/>
      <c r="W21" s="54"/>
      <c r="X21" s="54"/>
      <c r="Y21" s="55"/>
      <c r="Z21" s="56"/>
      <c r="AA21" s="56"/>
      <c r="AB21" s="56"/>
      <c r="AC21" s="57"/>
      <c r="AD21" s="58"/>
      <c r="AE21" s="59"/>
      <c r="AF21" s="60"/>
    </row>
    <row r="22" spans="1:32" ht="32" x14ac:dyDescent="0.2">
      <c r="A22" t="s">
        <v>66</v>
      </c>
      <c r="B22" s="19" t="s">
        <v>91</v>
      </c>
      <c r="C22" s="14"/>
      <c r="D22" s="15"/>
      <c r="E22" s="15"/>
      <c r="F22" s="15"/>
      <c r="G22" s="15"/>
      <c r="H22" s="15"/>
      <c r="I22" s="15"/>
      <c r="J22" s="15"/>
      <c r="K22" s="16" t="s">
        <v>62</v>
      </c>
      <c r="L22" s="17" t="s">
        <v>62</v>
      </c>
      <c r="M22" s="18" t="s">
        <v>62</v>
      </c>
      <c r="N22" s="14"/>
      <c r="O22" s="15"/>
      <c r="P22" s="15"/>
      <c r="Q22" s="15"/>
      <c r="R22" s="53" t="s">
        <v>64</v>
      </c>
      <c r="S22" s="54" t="s">
        <v>62</v>
      </c>
      <c r="T22" s="54" t="s">
        <v>62</v>
      </c>
      <c r="U22" s="54" t="s">
        <v>62</v>
      </c>
      <c r="V22" s="54" t="s">
        <v>62</v>
      </c>
      <c r="W22" s="54" t="s">
        <v>62</v>
      </c>
      <c r="X22" s="54"/>
      <c r="Y22" s="55"/>
      <c r="Z22" s="56"/>
      <c r="AA22" s="56"/>
      <c r="AB22" s="56"/>
      <c r="AC22" s="57"/>
      <c r="AD22" s="58" t="s">
        <v>62</v>
      </c>
      <c r="AE22" s="59" t="s">
        <v>62</v>
      </c>
      <c r="AF22" s="60" t="s">
        <v>62</v>
      </c>
    </row>
    <row r="23" spans="1:32" ht="32" x14ac:dyDescent="0.2">
      <c r="A23" t="s">
        <v>89</v>
      </c>
      <c r="B23" s="19" t="s">
        <v>92</v>
      </c>
      <c r="C23" s="14"/>
      <c r="D23" s="15"/>
      <c r="E23" s="15"/>
      <c r="F23" s="15"/>
      <c r="G23" s="15"/>
      <c r="H23" s="15"/>
      <c r="I23" s="15"/>
      <c r="J23" s="15"/>
      <c r="K23" s="16"/>
      <c r="L23" s="17"/>
      <c r="M23" s="18"/>
      <c r="N23" s="14"/>
      <c r="O23" s="15"/>
      <c r="P23" s="15"/>
      <c r="Q23" s="15"/>
      <c r="R23" s="53" t="s">
        <v>65</v>
      </c>
      <c r="S23" s="54" t="s">
        <v>64</v>
      </c>
      <c r="T23" s="54" t="s">
        <v>64</v>
      </c>
      <c r="U23" s="54" t="s">
        <v>64</v>
      </c>
      <c r="V23" s="54" t="s">
        <v>65</v>
      </c>
      <c r="W23" s="54"/>
      <c r="X23" s="54"/>
      <c r="Y23" s="55" t="s">
        <v>65</v>
      </c>
      <c r="Z23" s="56"/>
      <c r="AA23" s="56"/>
      <c r="AB23" s="56"/>
      <c r="AC23" s="57"/>
      <c r="AD23" s="58"/>
      <c r="AE23" s="59"/>
      <c r="AF23" s="60"/>
    </row>
    <row r="24" spans="1:32" ht="16" x14ac:dyDescent="0.2">
      <c r="A24" t="s">
        <v>89</v>
      </c>
      <c r="B24" s="19" t="s">
        <v>93</v>
      </c>
      <c r="C24" s="14"/>
      <c r="D24" s="15"/>
      <c r="E24" s="15"/>
      <c r="F24" s="15"/>
      <c r="G24" s="15"/>
      <c r="H24" s="15"/>
      <c r="I24" s="15"/>
      <c r="J24" s="15"/>
      <c r="K24" s="16" t="s">
        <v>62</v>
      </c>
      <c r="L24" s="17" t="s">
        <v>62</v>
      </c>
      <c r="M24" s="18" t="s">
        <v>62</v>
      </c>
      <c r="N24" s="14"/>
      <c r="O24" s="15"/>
      <c r="P24" s="15"/>
      <c r="Q24" s="15"/>
      <c r="R24" s="53" t="s">
        <v>64</v>
      </c>
      <c r="S24" s="54" t="s">
        <v>62</v>
      </c>
      <c r="T24" s="54" t="s">
        <v>62</v>
      </c>
      <c r="U24" s="54" t="s">
        <v>62</v>
      </c>
      <c r="V24" s="54" t="s">
        <v>64</v>
      </c>
      <c r="W24" s="54" t="s">
        <v>62</v>
      </c>
      <c r="X24" s="54"/>
      <c r="Y24" s="55"/>
      <c r="Z24" s="56" t="s">
        <v>64</v>
      </c>
      <c r="AA24" s="56" t="s">
        <v>64</v>
      </c>
      <c r="AB24" s="56" t="s">
        <v>64</v>
      </c>
      <c r="AC24" s="57" t="s">
        <v>64</v>
      </c>
      <c r="AD24" s="58" t="s">
        <v>62</v>
      </c>
      <c r="AE24" s="59" t="s">
        <v>62</v>
      </c>
      <c r="AF24" s="60" t="s">
        <v>62</v>
      </c>
    </row>
    <row r="25" spans="1:32" ht="16" thickBot="1" x14ac:dyDescent="0.25">
      <c r="B25" s="20"/>
      <c r="C25" s="21"/>
      <c r="D25" s="22"/>
      <c r="E25" s="22"/>
      <c r="F25" s="22"/>
      <c r="G25" s="22"/>
      <c r="H25" s="22"/>
      <c r="I25" s="22"/>
      <c r="J25" s="22"/>
      <c r="K25" s="23"/>
      <c r="L25" s="24"/>
      <c r="M25" s="25"/>
      <c r="N25" s="21"/>
      <c r="O25" s="22"/>
      <c r="P25" s="22"/>
      <c r="Q25" s="22"/>
      <c r="R25" s="61"/>
      <c r="S25" s="62"/>
      <c r="T25" s="62"/>
      <c r="U25" s="62"/>
      <c r="V25" s="62"/>
      <c r="W25" s="62"/>
      <c r="X25" s="62"/>
      <c r="Y25" s="63"/>
      <c r="Z25" s="64"/>
      <c r="AA25" s="64"/>
      <c r="AB25" s="64"/>
      <c r="AC25" s="65"/>
      <c r="AD25" s="66"/>
      <c r="AE25" s="67"/>
      <c r="AF25" s="68"/>
    </row>
    <row r="26" spans="1:32" ht="17" thickTop="1" thickBot="1" x14ac:dyDescent="0.25">
      <c r="B26" s="26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7"/>
      <c r="O26" s="27"/>
      <c r="P26" s="27"/>
      <c r="Q26" s="27"/>
      <c r="R26" s="69"/>
      <c r="S26" s="69"/>
      <c r="T26" s="69"/>
      <c r="U26" s="69"/>
      <c r="V26" s="69"/>
      <c r="W26" s="69"/>
      <c r="X26" s="70"/>
      <c r="Y26" s="71"/>
      <c r="Z26" s="71"/>
      <c r="AA26" s="71"/>
      <c r="AB26" s="71"/>
      <c r="AC26" s="72"/>
      <c r="AD26" s="69"/>
      <c r="AE26" s="69"/>
    </row>
    <row r="27" spans="1:32" ht="98" x14ac:dyDescent="0.2">
      <c r="B27" s="29" t="s">
        <v>94</v>
      </c>
      <c r="C27" s="30" t="s">
        <v>95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30"/>
      <c r="O27" s="28"/>
      <c r="P27" s="28"/>
      <c r="Q27" s="28"/>
      <c r="R27" s="73" t="s">
        <v>95</v>
      </c>
    </row>
    <row r="28" spans="1:32" ht="154" x14ac:dyDescent="0.2">
      <c r="B28" s="29" t="s">
        <v>96</v>
      </c>
      <c r="C28" s="31" t="s">
        <v>97</v>
      </c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31"/>
      <c r="O28" s="28"/>
      <c r="P28" s="28"/>
      <c r="Q28" s="28"/>
      <c r="R28" s="77" t="s">
        <v>97</v>
      </c>
    </row>
    <row r="29" spans="1:32" ht="112" x14ac:dyDescent="0.2">
      <c r="B29" s="29" t="s">
        <v>98</v>
      </c>
      <c r="C29" s="31" t="s">
        <v>99</v>
      </c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31"/>
      <c r="O29" s="28"/>
      <c r="P29" s="28"/>
      <c r="Q29" s="28"/>
      <c r="R29" s="77" t="s">
        <v>99</v>
      </c>
    </row>
    <row r="30" spans="1:32" ht="113" thickBot="1" x14ac:dyDescent="0.25">
      <c r="B30" s="29" t="s">
        <v>100</v>
      </c>
      <c r="C30" s="32" t="s">
        <v>101</v>
      </c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32"/>
      <c r="O30" s="28"/>
      <c r="P30" s="28"/>
      <c r="Q30" s="28"/>
      <c r="R30" s="78" t="s">
        <v>101</v>
      </c>
    </row>
    <row r="31" spans="1:32" x14ac:dyDescent="0.2"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</row>
    <row r="32" spans="1:32" x14ac:dyDescent="0.2"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</row>
  </sheetData>
  <mergeCells count="9">
    <mergeCell ref="B2:B4"/>
    <mergeCell ref="R2:W2"/>
    <mergeCell ref="Z2:AC2"/>
    <mergeCell ref="AD2:AF2"/>
    <mergeCell ref="AG3:AG4"/>
    <mergeCell ref="K2:M2"/>
    <mergeCell ref="C2:G2"/>
    <mergeCell ref="H2:J2"/>
    <mergeCell ref="N2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CBB91-CE54-4BA0-9F44-FE7E2A952B06}">
  <sheetPr>
    <tabColor theme="4" tint="0.39997558519241921"/>
  </sheetPr>
  <dimension ref="B2:M61"/>
  <sheetViews>
    <sheetView topLeftCell="A4" zoomScale="150" zoomScaleNormal="150" workbookViewId="0">
      <selection activeCell="C24" sqref="C24"/>
    </sheetView>
  </sheetViews>
  <sheetFormatPr baseColWidth="10" defaultColWidth="29" defaultRowHeight="15" x14ac:dyDescent="0.2"/>
  <cols>
    <col min="1" max="1" width="5.33203125" style="82" customWidth="1"/>
    <col min="2" max="2" width="5.5" style="82" customWidth="1"/>
    <col min="3" max="3" width="29" style="82"/>
    <col min="4" max="4" width="29" style="82" hidden="1" customWidth="1"/>
    <col min="5" max="5" width="16.5" style="82" customWidth="1"/>
    <col min="6" max="6" width="74.6640625" style="82" customWidth="1"/>
    <col min="7" max="7" width="14.83203125" style="82" customWidth="1"/>
    <col min="8" max="8" width="9.83203125" style="82" customWidth="1"/>
    <col min="9" max="9" width="15.83203125" style="82" customWidth="1"/>
    <col min="10" max="10" width="58.1640625" style="82" customWidth="1"/>
    <col min="11" max="12" width="29" style="82"/>
    <col min="13" max="13" width="98.6640625" style="82" customWidth="1"/>
    <col min="14" max="16384" width="29" style="82"/>
  </cols>
  <sheetData>
    <row r="2" spans="2:13" x14ac:dyDescent="0.2">
      <c r="B2" s="157" t="s">
        <v>198</v>
      </c>
      <c r="C2" s="157"/>
      <c r="D2" s="158"/>
      <c r="E2" s="158"/>
      <c r="F2" s="158"/>
      <c r="G2" s="93"/>
      <c r="H2" s="95"/>
      <c r="I2" s="95"/>
      <c r="J2" s="96"/>
      <c r="L2" s="156" t="s">
        <v>150</v>
      </c>
      <c r="M2" s="156"/>
    </row>
    <row r="3" spans="2:13" ht="32" x14ac:dyDescent="0.2">
      <c r="B3" s="90" t="s">
        <v>231</v>
      </c>
      <c r="C3" s="91" t="s">
        <v>151</v>
      </c>
      <c r="D3" s="91" t="s">
        <v>232</v>
      </c>
      <c r="E3" s="91" t="s">
        <v>247</v>
      </c>
      <c r="F3" s="92" t="s">
        <v>152</v>
      </c>
      <c r="G3" s="94" t="s">
        <v>226</v>
      </c>
      <c r="H3" s="94" t="s">
        <v>9</v>
      </c>
      <c r="I3" s="94" t="s">
        <v>215</v>
      </c>
      <c r="J3" s="94" t="s">
        <v>227</v>
      </c>
      <c r="L3" s="85" t="s">
        <v>153</v>
      </c>
      <c r="M3" s="88" t="s">
        <v>154</v>
      </c>
    </row>
    <row r="4" spans="2:13" ht="16" x14ac:dyDescent="0.2">
      <c r="B4" s="83">
        <v>1</v>
      </c>
      <c r="C4" s="84" t="s">
        <v>153</v>
      </c>
      <c r="D4" s="84" t="s">
        <v>233</v>
      </c>
      <c r="E4" s="84"/>
      <c r="F4" s="86" t="s">
        <v>60</v>
      </c>
      <c r="G4" s="86" t="s">
        <v>62</v>
      </c>
      <c r="H4" s="86"/>
      <c r="I4" s="86" t="s">
        <v>216</v>
      </c>
      <c r="J4" s="87" t="s">
        <v>228</v>
      </c>
      <c r="L4" s="85" t="s">
        <v>71</v>
      </c>
      <c r="M4" s="88" t="s">
        <v>155</v>
      </c>
    </row>
    <row r="5" spans="2:13" ht="16" x14ac:dyDescent="0.2">
      <c r="B5" s="83">
        <f>B4+1</f>
        <v>2</v>
      </c>
      <c r="C5" s="89"/>
      <c r="D5" s="84" t="s">
        <v>233</v>
      </c>
      <c r="E5" s="84"/>
      <c r="F5" s="86" t="s">
        <v>156</v>
      </c>
      <c r="G5" s="86" t="s">
        <v>62</v>
      </c>
      <c r="H5" s="86"/>
      <c r="I5" s="86" t="s">
        <v>216</v>
      </c>
      <c r="J5" s="87" t="s">
        <v>228</v>
      </c>
      <c r="L5" s="85" t="s">
        <v>126</v>
      </c>
      <c r="M5" s="88" t="s">
        <v>157</v>
      </c>
    </row>
    <row r="6" spans="2:13" ht="16" x14ac:dyDescent="0.2">
      <c r="B6" s="83">
        <f>B5+1</f>
        <v>3</v>
      </c>
      <c r="C6" s="89"/>
      <c r="D6" s="84" t="s">
        <v>233</v>
      </c>
      <c r="E6" s="84"/>
      <c r="F6" s="86" t="s">
        <v>158</v>
      </c>
      <c r="G6" s="86" t="s">
        <v>62</v>
      </c>
      <c r="H6" s="86"/>
      <c r="I6" s="86" t="s">
        <v>216</v>
      </c>
      <c r="J6" s="87" t="s">
        <v>228</v>
      </c>
      <c r="L6" s="85" t="s">
        <v>159</v>
      </c>
      <c r="M6" s="88" t="s">
        <v>160</v>
      </c>
    </row>
    <row r="7" spans="2:13" ht="16" x14ac:dyDescent="0.2">
      <c r="B7" s="83"/>
      <c r="C7" s="89"/>
      <c r="D7" s="84"/>
      <c r="E7" s="84"/>
      <c r="F7" s="86" t="s">
        <v>242</v>
      </c>
      <c r="G7" s="86"/>
      <c r="H7" s="86"/>
      <c r="I7" s="86"/>
      <c r="J7" s="87"/>
      <c r="L7" s="85"/>
      <c r="M7" s="88"/>
    </row>
    <row r="8" spans="2:13" ht="16" x14ac:dyDescent="0.2">
      <c r="B8" s="83">
        <f>B5+1</f>
        <v>3</v>
      </c>
      <c r="C8" s="89"/>
      <c r="D8" s="84" t="s">
        <v>233</v>
      </c>
      <c r="E8" s="84"/>
      <c r="F8" s="86" t="s">
        <v>240</v>
      </c>
      <c r="G8" s="86" t="s">
        <v>62</v>
      </c>
      <c r="H8" s="86"/>
      <c r="I8" s="86" t="s">
        <v>216</v>
      </c>
      <c r="J8" s="87" t="s">
        <v>228</v>
      </c>
      <c r="L8" s="85" t="s">
        <v>162</v>
      </c>
      <c r="M8" s="88" t="s">
        <v>163</v>
      </c>
    </row>
    <row r="9" spans="2:13" ht="16" x14ac:dyDescent="0.2">
      <c r="B9" s="83">
        <f>B6+1</f>
        <v>4</v>
      </c>
      <c r="C9" s="89"/>
      <c r="D9" s="84" t="s">
        <v>233</v>
      </c>
      <c r="E9" s="84"/>
      <c r="F9" s="86" t="s">
        <v>161</v>
      </c>
      <c r="G9" s="86" t="s">
        <v>62</v>
      </c>
      <c r="H9" s="86"/>
      <c r="I9" s="86" t="s">
        <v>216</v>
      </c>
      <c r="J9" s="87" t="s">
        <v>228</v>
      </c>
      <c r="L9" s="85" t="s">
        <v>162</v>
      </c>
      <c r="M9" s="88" t="s">
        <v>163</v>
      </c>
    </row>
    <row r="10" spans="2:13" ht="16" x14ac:dyDescent="0.2">
      <c r="B10" s="83">
        <f t="shared" ref="B10:B15" si="0">B9+1</f>
        <v>5</v>
      </c>
      <c r="C10" s="89"/>
      <c r="D10" s="84" t="s">
        <v>233</v>
      </c>
      <c r="E10" s="84"/>
      <c r="F10" s="86" t="s">
        <v>164</v>
      </c>
      <c r="G10" s="86" t="s">
        <v>62</v>
      </c>
      <c r="H10" s="86"/>
      <c r="I10" s="86" t="s">
        <v>216</v>
      </c>
      <c r="J10" s="87" t="s">
        <v>228</v>
      </c>
      <c r="L10" s="85" t="s">
        <v>165</v>
      </c>
      <c r="M10" s="88" t="s">
        <v>166</v>
      </c>
    </row>
    <row r="11" spans="2:13" ht="16" x14ac:dyDescent="0.2">
      <c r="B11" s="83">
        <f t="shared" si="0"/>
        <v>6</v>
      </c>
      <c r="C11" s="89"/>
      <c r="D11" s="84" t="s">
        <v>233</v>
      </c>
      <c r="E11" s="84"/>
      <c r="F11" s="86" t="s">
        <v>204</v>
      </c>
      <c r="G11" s="86" t="s">
        <v>62</v>
      </c>
      <c r="H11" s="86"/>
      <c r="I11" s="86" t="s">
        <v>216</v>
      </c>
      <c r="J11" s="87" t="s">
        <v>228</v>
      </c>
      <c r="L11" s="85" t="s">
        <v>167</v>
      </c>
      <c r="M11" s="88" t="s">
        <v>168</v>
      </c>
    </row>
    <row r="12" spans="2:13" ht="16" x14ac:dyDescent="0.2">
      <c r="B12" s="83">
        <f t="shared" si="0"/>
        <v>7</v>
      </c>
      <c r="C12" s="89"/>
      <c r="D12" s="84" t="s">
        <v>233</v>
      </c>
      <c r="E12" s="84"/>
      <c r="F12" s="86" t="s">
        <v>217</v>
      </c>
      <c r="G12" s="86" t="s">
        <v>62</v>
      </c>
      <c r="H12" s="86"/>
      <c r="I12" s="86" t="s">
        <v>216</v>
      </c>
      <c r="J12" s="87" t="s">
        <v>228</v>
      </c>
    </row>
    <row r="13" spans="2:13" ht="16" x14ac:dyDescent="0.2">
      <c r="B13" s="83">
        <f t="shared" si="0"/>
        <v>8</v>
      </c>
      <c r="C13" s="89"/>
      <c r="D13" s="84" t="s">
        <v>233</v>
      </c>
      <c r="E13" s="84"/>
      <c r="F13" s="86" t="s">
        <v>230</v>
      </c>
      <c r="G13" s="86" t="s">
        <v>62</v>
      </c>
      <c r="H13" s="86"/>
      <c r="I13" s="86" t="s">
        <v>216</v>
      </c>
      <c r="J13" s="87" t="s">
        <v>228</v>
      </c>
    </row>
    <row r="14" spans="2:13" ht="16" x14ac:dyDescent="0.2">
      <c r="B14" s="83">
        <f t="shared" si="0"/>
        <v>9</v>
      </c>
      <c r="C14" s="89"/>
      <c r="D14" s="84" t="s">
        <v>233</v>
      </c>
      <c r="E14" s="84"/>
      <c r="F14" s="86" t="s">
        <v>203</v>
      </c>
      <c r="G14" s="86" t="s">
        <v>62</v>
      </c>
      <c r="H14" s="86"/>
      <c r="I14" s="86" t="s">
        <v>216</v>
      </c>
      <c r="J14" s="87" t="s">
        <v>228</v>
      </c>
    </row>
    <row r="15" spans="2:13" ht="16" x14ac:dyDescent="0.2">
      <c r="B15" s="83">
        <f t="shared" si="0"/>
        <v>10</v>
      </c>
      <c r="C15" s="84" t="s">
        <v>71</v>
      </c>
      <c r="D15" s="97" t="s">
        <v>235</v>
      </c>
      <c r="E15" s="97"/>
      <c r="F15" s="86" t="s">
        <v>212</v>
      </c>
      <c r="G15" s="86"/>
      <c r="H15" s="86" t="s">
        <v>62</v>
      </c>
      <c r="I15" s="86" t="s">
        <v>218</v>
      </c>
      <c r="J15" s="87"/>
    </row>
    <row r="16" spans="2:13" ht="21.5" customHeight="1" x14ac:dyDescent="0.2">
      <c r="B16" s="83">
        <f>B14+1</f>
        <v>10</v>
      </c>
      <c r="C16" s="84"/>
      <c r="D16" s="84" t="s">
        <v>234</v>
      </c>
      <c r="E16" s="84"/>
      <c r="F16" s="86" t="s">
        <v>241</v>
      </c>
      <c r="G16" s="86"/>
      <c r="H16" s="86" t="s">
        <v>62</v>
      </c>
      <c r="I16" s="86" t="s">
        <v>219</v>
      </c>
      <c r="J16" s="87" t="s">
        <v>229</v>
      </c>
    </row>
    <row r="17" spans="2:10" ht="16" customHeight="1" x14ac:dyDescent="0.2">
      <c r="B17" s="83">
        <f>B15+1</f>
        <v>11</v>
      </c>
      <c r="C17" s="84"/>
      <c r="D17" s="84" t="s">
        <v>234</v>
      </c>
      <c r="E17" s="84"/>
      <c r="F17" s="86" t="s">
        <v>238</v>
      </c>
      <c r="G17" s="86"/>
      <c r="H17" s="86" t="s">
        <v>62</v>
      </c>
      <c r="I17" s="86" t="s">
        <v>219</v>
      </c>
      <c r="J17" s="87" t="s">
        <v>229</v>
      </c>
    </row>
    <row r="18" spans="2:10" ht="16" x14ac:dyDescent="0.2">
      <c r="B18" s="83">
        <f t="shared" ref="B18:B61" si="1">B17+1</f>
        <v>12</v>
      </c>
      <c r="C18" s="84"/>
      <c r="D18" s="84" t="s">
        <v>234</v>
      </c>
      <c r="E18" s="84"/>
      <c r="F18" s="86" t="s">
        <v>205</v>
      </c>
      <c r="G18" s="86"/>
      <c r="H18" s="86" t="s">
        <v>62</v>
      </c>
      <c r="I18" s="86" t="s">
        <v>219</v>
      </c>
      <c r="J18" s="87"/>
    </row>
    <row r="19" spans="2:10" ht="16" x14ac:dyDescent="0.2">
      <c r="B19" s="83">
        <f t="shared" si="1"/>
        <v>13</v>
      </c>
      <c r="C19" s="84"/>
      <c r="D19" s="84" t="s">
        <v>233</v>
      </c>
      <c r="E19" s="84"/>
      <c r="F19" s="86" t="s">
        <v>239</v>
      </c>
      <c r="G19" s="86" t="s">
        <v>62</v>
      </c>
      <c r="H19" s="86"/>
      <c r="I19" s="86" t="s">
        <v>218</v>
      </c>
      <c r="J19" s="87"/>
    </row>
    <row r="20" spans="2:10" ht="16" x14ac:dyDescent="0.2">
      <c r="B20" s="83">
        <f t="shared" si="1"/>
        <v>14</v>
      </c>
      <c r="C20" s="84"/>
      <c r="D20" s="84" t="s">
        <v>233</v>
      </c>
      <c r="E20" s="84"/>
      <c r="F20" s="86" t="s">
        <v>213</v>
      </c>
      <c r="G20" s="86" t="s">
        <v>62</v>
      </c>
      <c r="H20" s="86"/>
      <c r="I20" s="86" t="s">
        <v>218</v>
      </c>
      <c r="J20" s="87"/>
    </row>
    <row r="21" spans="2:10" ht="16" x14ac:dyDescent="0.2">
      <c r="B21" s="83">
        <f t="shared" si="1"/>
        <v>15</v>
      </c>
      <c r="C21" s="84"/>
      <c r="D21" s="84" t="s">
        <v>233</v>
      </c>
      <c r="E21" s="84"/>
      <c r="F21" s="86" t="s">
        <v>214</v>
      </c>
      <c r="G21" s="86" t="s">
        <v>62</v>
      </c>
      <c r="H21" s="86"/>
      <c r="I21" s="86" t="s">
        <v>218</v>
      </c>
      <c r="J21" s="87"/>
    </row>
    <row r="22" spans="2:10" ht="16" x14ac:dyDescent="0.2">
      <c r="B22" s="83">
        <f t="shared" si="1"/>
        <v>16</v>
      </c>
      <c r="C22" s="84"/>
      <c r="D22" s="84" t="s">
        <v>233</v>
      </c>
      <c r="E22" s="84"/>
      <c r="F22" s="86" t="s">
        <v>246</v>
      </c>
      <c r="G22" s="86" t="s">
        <v>62</v>
      </c>
      <c r="H22" s="86"/>
      <c r="I22" s="86" t="s">
        <v>218</v>
      </c>
      <c r="J22" s="87"/>
    </row>
    <row r="23" spans="2:10" ht="16" x14ac:dyDescent="0.2">
      <c r="B23" s="83">
        <f t="shared" si="1"/>
        <v>17</v>
      </c>
      <c r="C23" s="89"/>
      <c r="D23" s="89" t="s">
        <v>233</v>
      </c>
      <c r="E23" s="89"/>
      <c r="F23" s="86" t="s">
        <v>169</v>
      </c>
      <c r="G23" s="86"/>
      <c r="H23" s="86" t="s">
        <v>62</v>
      </c>
      <c r="I23" s="86" t="s">
        <v>216</v>
      </c>
      <c r="J23" s="87"/>
    </row>
    <row r="24" spans="2:10" ht="16" x14ac:dyDescent="0.2">
      <c r="B24" s="83">
        <f t="shared" si="1"/>
        <v>18</v>
      </c>
      <c r="C24" s="89"/>
      <c r="D24" s="89" t="s">
        <v>233</v>
      </c>
      <c r="E24" s="89"/>
      <c r="F24" s="86" t="s">
        <v>170</v>
      </c>
      <c r="G24" s="86"/>
      <c r="H24" s="86" t="s">
        <v>62</v>
      </c>
      <c r="I24" s="86" t="s">
        <v>216</v>
      </c>
      <c r="J24" s="87"/>
    </row>
    <row r="25" spans="2:10" ht="16" x14ac:dyDescent="0.2">
      <c r="B25" s="83">
        <f t="shared" si="1"/>
        <v>19</v>
      </c>
      <c r="C25" s="89"/>
      <c r="D25" s="89" t="s">
        <v>233</v>
      </c>
      <c r="E25" s="89"/>
      <c r="F25" s="86" t="s">
        <v>171</v>
      </c>
      <c r="G25" s="86"/>
      <c r="H25" s="86" t="s">
        <v>62</v>
      </c>
      <c r="I25" s="86" t="s">
        <v>218</v>
      </c>
      <c r="J25" s="87"/>
    </row>
    <row r="26" spans="2:10" ht="16" x14ac:dyDescent="0.2">
      <c r="B26" s="83">
        <f t="shared" si="1"/>
        <v>20</v>
      </c>
      <c r="C26" s="89"/>
      <c r="D26" s="89" t="s">
        <v>233</v>
      </c>
      <c r="E26" s="89"/>
      <c r="F26" s="86" t="s">
        <v>202</v>
      </c>
      <c r="G26" s="86"/>
      <c r="H26" s="86" t="s">
        <v>62</v>
      </c>
      <c r="I26" s="86" t="s">
        <v>216</v>
      </c>
      <c r="J26" s="87"/>
    </row>
    <row r="27" spans="2:10" ht="16" x14ac:dyDescent="0.2">
      <c r="B27" s="83">
        <f t="shared" si="1"/>
        <v>21</v>
      </c>
      <c r="C27" s="89"/>
      <c r="D27" s="89" t="s">
        <v>233</v>
      </c>
      <c r="E27" s="89"/>
      <c r="F27" s="86" t="s">
        <v>211</v>
      </c>
      <c r="G27" s="86"/>
      <c r="H27" s="86" t="s">
        <v>62</v>
      </c>
      <c r="I27" s="86" t="s">
        <v>216</v>
      </c>
      <c r="J27" s="87"/>
    </row>
    <row r="28" spans="2:10" ht="16" x14ac:dyDescent="0.2">
      <c r="B28" s="83">
        <f t="shared" si="1"/>
        <v>22</v>
      </c>
      <c r="C28" s="84" t="s">
        <v>126</v>
      </c>
      <c r="D28" s="84" t="s">
        <v>234</v>
      </c>
      <c r="E28" s="84"/>
      <c r="F28" s="86" t="s">
        <v>172</v>
      </c>
      <c r="G28" s="86"/>
      <c r="H28" s="86" t="s">
        <v>62</v>
      </c>
      <c r="I28" s="86" t="s">
        <v>220</v>
      </c>
      <c r="J28" s="87"/>
    </row>
    <row r="29" spans="2:10" ht="16" x14ac:dyDescent="0.2">
      <c r="B29" s="83">
        <f t="shared" si="1"/>
        <v>23</v>
      </c>
      <c r="C29" s="89"/>
      <c r="D29" s="89"/>
      <c r="E29" s="89"/>
      <c r="F29" s="86" t="s">
        <v>173</v>
      </c>
      <c r="G29" s="86"/>
      <c r="H29" s="86" t="s">
        <v>62</v>
      </c>
      <c r="I29" s="86" t="s">
        <v>219</v>
      </c>
      <c r="J29" s="87"/>
    </row>
    <row r="30" spans="2:10" ht="16" x14ac:dyDescent="0.2">
      <c r="B30" s="83">
        <f t="shared" si="1"/>
        <v>24</v>
      </c>
      <c r="C30" s="89"/>
      <c r="D30" s="89"/>
      <c r="E30" s="89"/>
      <c r="F30" s="86" t="s">
        <v>174</v>
      </c>
      <c r="G30" s="86" t="s">
        <v>62</v>
      </c>
      <c r="H30" s="86"/>
      <c r="I30" s="86" t="s">
        <v>219</v>
      </c>
      <c r="J30" s="87"/>
    </row>
    <row r="31" spans="2:10" ht="16" x14ac:dyDescent="0.2">
      <c r="B31" s="83">
        <f t="shared" si="1"/>
        <v>25</v>
      </c>
      <c r="C31" s="89"/>
      <c r="D31" s="89"/>
      <c r="E31" s="89"/>
      <c r="F31" s="86" t="s">
        <v>175</v>
      </c>
      <c r="G31" s="86" t="s">
        <v>62</v>
      </c>
      <c r="H31" s="86"/>
      <c r="I31" s="86" t="s">
        <v>219</v>
      </c>
      <c r="J31" s="87"/>
    </row>
    <row r="32" spans="2:10" ht="16" x14ac:dyDescent="0.2">
      <c r="B32" s="83">
        <f t="shared" si="1"/>
        <v>26</v>
      </c>
      <c r="C32" s="89"/>
      <c r="D32" s="89"/>
      <c r="E32" s="89"/>
      <c r="F32" s="86" t="s">
        <v>176</v>
      </c>
      <c r="G32" s="86"/>
      <c r="H32" s="86" t="s">
        <v>62</v>
      </c>
      <c r="I32" s="86" t="s">
        <v>219</v>
      </c>
      <c r="J32" s="87"/>
    </row>
    <row r="33" spans="2:10" ht="16" x14ac:dyDescent="0.2">
      <c r="B33" s="83">
        <f t="shared" si="1"/>
        <v>27</v>
      </c>
      <c r="C33" s="89"/>
      <c r="D33" s="89"/>
      <c r="E33" s="89"/>
      <c r="F33" s="86" t="s">
        <v>177</v>
      </c>
      <c r="G33" s="86"/>
      <c r="H33" s="86" t="s">
        <v>62</v>
      </c>
      <c r="I33" s="86" t="s">
        <v>221</v>
      </c>
      <c r="J33" s="87"/>
    </row>
    <row r="34" spans="2:10" ht="16" x14ac:dyDescent="0.2">
      <c r="B34" s="83">
        <f t="shared" si="1"/>
        <v>28</v>
      </c>
      <c r="C34" s="89"/>
      <c r="D34" s="89"/>
      <c r="E34" s="89"/>
      <c r="F34" s="86" t="s">
        <v>178</v>
      </c>
      <c r="G34" s="86"/>
      <c r="H34" s="86" t="s">
        <v>62</v>
      </c>
      <c r="I34" s="86" t="s">
        <v>216</v>
      </c>
      <c r="J34" s="87"/>
    </row>
    <row r="35" spans="2:10" ht="16" x14ac:dyDescent="0.2">
      <c r="B35" s="83">
        <f t="shared" si="1"/>
        <v>29</v>
      </c>
      <c r="C35" s="84" t="s">
        <v>199</v>
      </c>
      <c r="D35" s="84"/>
      <c r="E35" s="84"/>
      <c r="F35" s="86" t="s">
        <v>179</v>
      </c>
      <c r="G35" s="86" t="s">
        <v>62</v>
      </c>
      <c r="H35" s="86"/>
      <c r="I35" s="86" t="s">
        <v>216</v>
      </c>
      <c r="J35" s="87"/>
    </row>
    <row r="36" spans="2:10" ht="16" x14ac:dyDescent="0.2">
      <c r="B36" s="83">
        <f t="shared" si="1"/>
        <v>30</v>
      </c>
      <c r="C36" s="89"/>
      <c r="D36" s="89"/>
      <c r="E36" s="89"/>
      <c r="F36" s="86" t="s">
        <v>180</v>
      </c>
      <c r="G36" s="86"/>
      <c r="H36" s="86" t="s">
        <v>62</v>
      </c>
      <c r="I36" s="86" t="s">
        <v>216</v>
      </c>
      <c r="J36" s="87"/>
    </row>
    <row r="37" spans="2:10" ht="16" x14ac:dyDescent="0.2">
      <c r="B37" s="83">
        <f t="shared" si="1"/>
        <v>31</v>
      </c>
      <c r="C37" s="89"/>
      <c r="D37" s="89"/>
      <c r="E37" s="89"/>
      <c r="F37" s="86" t="s">
        <v>181</v>
      </c>
      <c r="G37" s="86"/>
      <c r="H37" s="86" t="s">
        <v>62</v>
      </c>
      <c r="I37" s="86" t="s">
        <v>216</v>
      </c>
      <c r="J37" s="87"/>
    </row>
    <row r="38" spans="2:10" ht="16" x14ac:dyDescent="0.2">
      <c r="B38" s="83">
        <f t="shared" si="1"/>
        <v>32</v>
      </c>
      <c r="C38" s="89"/>
      <c r="D38" s="89"/>
      <c r="E38" s="89"/>
      <c r="F38" s="86" t="s">
        <v>182</v>
      </c>
      <c r="G38" s="86"/>
      <c r="H38" s="86" t="s">
        <v>62</v>
      </c>
      <c r="I38" s="86" t="s">
        <v>216</v>
      </c>
      <c r="J38" s="87"/>
    </row>
    <row r="39" spans="2:10" ht="16" x14ac:dyDescent="0.2">
      <c r="B39" s="83">
        <f t="shared" si="1"/>
        <v>33</v>
      </c>
      <c r="C39" s="89"/>
      <c r="D39" s="89"/>
      <c r="E39" s="89"/>
      <c r="F39" s="86" t="s">
        <v>183</v>
      </c>
      <c r="G39" s="86"/>
      <c r="H39" s="86" t="s">
        <v>62</v>
      </c>
      <c r="I39" s="86" t="s">
        <v>216</v>
      </c>
      <c r="J39" s="87"/>
    </row>
    <row r="40" spans="2:10" ht="16" x14ac:dyDescent="0.2">
      <c r="B40" s="83">
        <f t="shared" si="1"/>
        <v>34</v>
      </c>
      <c r="C40" s="89"/>
      <c r="D40" s="89"/>
      <c r="E40" s="89"/>
      <c r="F40" s="86" t="s">
        <v>139</v>
      </c>
      <c r="G40" s="86" t="s">
        <v>62</v>
      </c>
      <c r="H40" s="86"/>
      <c r="I40" s="86" t="s">
        <v>216</v>
      </c>
      <c r="J40" s="86"/>
    </row>
    <row r="41" spans="2:10" ht="16" x14ac:dyDescent="0.2">
      <c r="B41" s="83">
        <f t="shared" si="1"/>
        <v>35</v>
      </c>
      <c r="C41" s="89"/>
      <c r="D41" s="89"/>
      <c r="E41" s="89"/>
      <c r="F41" s="86" t="s">
        <v>200</v>
      </c>
      <c r="G41" s="86" t="s">
        <v>62</v>
      </c>
      <c r="H41" s="86"/>
      <c r="I41" s="86" t="s">
        <v>216</v>
      </c>
      <c r="J41" s="86"/>
    </row>
    <row r="42" spans="2:10" ht="16" x14ac:dyDescent="0.2">
      <c r="B42" s="83">
        <f t="shared" si="1"/>
        <v>36</v>
      </c>
      <c r="C42" s="84" t="s">
        <v>162</v>
      </c>
      <c r="D42" s="84"/>
      <c r="E42" s="84"/>
      <c r="F42" s="86" t="s">
        <v>184</v>
      </c>
      <c r="G42" s="86"/>
      <c r="H42" s="86" t="s">
        <v>62</v>
      </c>
      <c r="I42" s="86" t="s">
        <v>216</v>
      </c>
      <c r="J42" s="86"/>
    </row>
    <row r="43" spans="2:10" ht="16" x14ac:dyDescent="0.2">
      <c r="B43" s="83">
        <f t="shared" si="1"/>
        <v>37</v>
      </c>
      <c r="C43" s="89"/>
      <c r="D43" s="89"/>
      <c r="E43" s="89"/>
      <c r="F43" s="86" t="s">
        <v>185</v>
      </c>
      <c r="G43" s="86"/>
      <c r="H43" s="86" t="s">
        <v>62</v>
      </c>
      <c r="I43" s="86" t="s">
        <v>216</v>
      </c>
      <c r="J43" s="86"/>
    </row>
    <row r="44" spans="2:10" ht="16" x14ac:dyDescent="0.2">
      <c r="B44" s="83">
        <f t="shared" si="1"/>
        <v>38</v>
      </c>
      <c r="C44" s="89"/>
      <c r="D44" s="89"/>
      <c r="E44" s="89"/>
      <c r="F44" s="86" t="s">
        <v>186</v>
      </c>
      <c r="G44" s="86"/>
      <c r="H44" s="86" t="s">
        <v>62</v>
      </c>
      <c r="I44" s="86" t="s">
        <v>216</v>
      </c>
      <c r="J44" s="86"/>
    </row>
    <row r="45" spans="2:10" ht="16" x14ac:dyDescent="0.2">
      <c r="B45" s="83">
        <f t="shared" si="1"/>
        <v>39</v>
      </c>
      <c r="C45" s="84" t="s">
        <v>165</v>
      </c>
      <c r="D45" s="84"/>
      <c r="E45" s="84"/>
      <c r="F45" s="86" t="s">
        <v>187</v>
      </c>
      <c r="G45" s="86"/>
      <c r="H45" s="86" t="s">
        <v>62</v>
      </c>
      <c r="I45" s="86" t="s">
        <v>216</v>
      </c>
      <c r="J45" s="86"/>
    </row>
    <row r="46" spans="2:10" ht="16" x14ac:dyDescent="0.2">
      <c r="B46" s="83">
        <f t="shared" si="1"/>
        <v>40</v>
      </c>
      <c r="C46" s="89"/>
      <c r="D46" s="89"/>
      <c r="E46" s="89"/>
      <c r="F46" s="86" t="s">
        <v>188</v>
      </c>
      <c r="G46" s="86" t="s">
        <v>62</v>
      </c>
      <c r="H46" s="86"/>
      <c r="I46" s="86" t="s">
        <v>222</v>
      </c>
      <c r="J46" s="86"/>
    </row>
    <row r="47" spans="2:10" ht="16" x14ac:dyDescent="0.2">
      <c r="B47" s="83">
        <f t="shared" si="1"/>
        <v>41</v>
      </c>
      <c r="C47" s="89"/>
      <c r="D47" s="89"/>
      <c r="E47" s="89"/>
      <c r="F47" s="86" t="s">
        <v>189</v>
      </c>
      <c r="G47" s="86"/>
      <c r="H47" s="86" t="s">
        <v>62</v>
      </c>
      <c r="I47" s="86" t="s">
        <v>223</v>
      </c>
      <c r="J47" s="86"/>
    </row>
    <row r="48" spans="2:10" ht="16" x14ac:dyDescent="0.2">
      <c r="B48" s="83">
        <f t="shared" si="1"/>
        <v>42</v>
      </c>
      <c r="C48" s="89"/>
      <c r="D48" s="89"/>
      <c r="E48" s="89"/>
      <c r="F48" s="86" t="s">
        <v>190</v>
      </c>
      <c r="G48" s="86"/>
      <c r="H48" s="86" t="s">
        <v>62</v>
      </c>
      <c r="I48" s="86" t="s">
        <v>216</v>
      </c>
      <c r="J48" s="86"/>
    </row>
    <row r="49" spans="2:10" ht="16" x14ac:dyDescent="0.2">
      <c r="B49" s="83">
        <f t="shared" si="1"/>
        <v>43</v>
      </c>
      <c r="C49" s="84" t="s">
        <v>191</v>
      </c>
      <c r="D49" s="84"/>
      <c r="E49" s="84"/>
      <c r="F49" s="86" t="s">
        <v>192</v>
      </c>
      <c r="G49" s="86" t="s">
        <v>62</v>
      </c>
      <c r="H49" s="86"/>
      <c r="I49" s="86" t="s">
        <v>224</v>
      </c>
      <c r="J49" s="86"/>
    </row>
    <row r="50" spans="2:10" ht="16" x14ac:dyDescent="0.2">
      <c r="B50" s="83">
        <f t="shared" si="1"/>
        <v>44</v>
      </c>
      <c r="C50" s="89"/>
      <c r="D50" s="89"/>
      <c r="E50" s="89"/>
      <c r="F50" s="86" t="s">
        <v>193</v>
      </c>
      <c r="G50" s="86" t="s">
        <v>62</v>
      </c>
      <c r="H50" s="86"/>
      <c r="I50" s="86" t="s">
        <v>216</v>
      </c>
      <c r="J50" s="86"/>
    </row>
    <row r="51" spans="2:10" ht="16" x14ac:dyDescent="0.2">
      <c r="B51" s="83">
        <f t="shared" si="1"/>
        <v>45</v>
      </c>
      <c r="C51" s="89"/>
      <c r="D51" s="89"/>
      <c r="E51" s="89"/>
      <c r="F51" s="86" t="s">
        <v>194</v>
      </c>
      <c r="G51" s="86" t="s">
        <v>62</v>
      </c>
      <c r="H51" s="86"/>
      <c r="I51" s="86" t="s">
        <v>216</v>
      </c>
      <c r="J51" s="86"/>
    </row>
    <row r="52" spans="2:10" ht="16" x14ac:dyDescent="0.2">
      <c r="B52" s="83">
        <f t="shared" si="1"/>
        <v>46</v>
      </c>
      <c r="C52" s="89"/>
      <c r="D52" s="89"/>
      <c r="E52" s="89"/>
      <c r="F52" s="86" t="s">
        <v>195</v>
      </c>
      <c r="G52" s="86" t="s">
        <v>62</v>
      </c>
      <c r="H52" s="86"/>
      <c r="I52" s="86" t="s">
        <v>219</v>
      </c>
      <c r="J52" s="86"/>
    </row>
    <row r="53" spans="2:10" ht="16" x14ac:dyDescent="0.2">
      <c r="B53" s="83">
        <f t="shared" si="1"/>
        <v>47</v>
      </c>
      <c r="C53" s="89"/>
      <c r="D53" s="89"/>
      <c r="E53" s="89"/>
      <c r="F53" s="86" t="s">
        <v>196</v>
      </c>
      <c r="G53" s="86" t="s">
        <v>62</v>
      </c>
      <c r="H53" s="86"/>
      <c r="I53" s="86" t="s">
        <v>216</v>
      </c>
      <c r="J53" s="86"/>
    </row>
    <row r="54" spans="2:10" ht="16" x14ac:dyDescent="0.2">
      <c r="B54" s="83">
        <f t="shared" si="1"/>
        <v>48</v>
      </c>
      <c r="C54" s="89"/>
      <c r="D54" s="89"/>
      <c r="E54" s="89"/>
      <c r="F54" s="86" t="s">
        <v>197</v>
      </c>
      <c r="G54" s="86" t="s">
        <v>62</v>
      </c>
      <c r="H54" s="86"/>
      <c r="I54" s="86" t="s">
        <v>225</v>
      </c>
      <c r="J54" s="86"/>
    </row>
    <row r="55" spans="2:10" ht="16" x14ac:dyDescent="0.2">
      <c r="B55" s="83">
        <f t="shared" si="1"/>
        <v>49</v>
      </c>
      <c r="C55" s="89"/>
      <c r="D55" s="89"/>
      <c r="E55" s="89"/>
      <c r="F55" s="86" t="s">
        <v>201</v>
      </c>
      <c r="G55" s="86" t="s">
        <v>62</v>
      </c>
      <c r="H55" s="86"/>
      <c r="I55" s="86" t="s">
        <v>216</v>
      </c>
      <c r="J55" s="86"/>
    </row>
    <row r="56" spans="2:10" x14ac:dyDescent="0.2">
      <c r="B56" s="83">
        <f t="shared" si="1"/>
        <v>50</v>
      </c>
      <c r="C56" s="89"/>
      <c r="D56" s="89"/>
      <c r="E56" s="89"/>
      <c r="F56" s="89"/>
      <c r="G56" s="89"/>
      <c r="H56" s="89"/>
      <c r="I56" s="89"/>
      <c r="J56" s="89"/>
    </row>
    <row r="57" spans="2:10" x14ac:dyDescent="0.2">
      <c r="B57" s="83">
        <f t="shared" si="1"/>
        <v>51</v>
      </c>
      <c r="C57" s="89"/>
      <c r="D57" s="89"/>
      <c r="E57" s="89"/>
      <c r="F57" s="89"/>
      <c r="G57" s="89"/>
      <c r="H57" s="89"/>
      <c r="I57" s="89"/>
      <c r="J57" s="89"/>
    </row>
    <row r="58" spans="2:10" x14ac:dyDescent="0.2">
      <c r="B58" s="83">
        <f t="shared" si="1"/>
        <v>52</v>
      </c>
      <c r="C58" s="89"/>
      <c r="D58" s="89"/>
      <c r="E58" s="89"/>
      <c r="F58" s="89"/>
      <c r="G58" s="89"/>
      <c r="H58" s="89"/>
      <c r="I58" s="89"/>
      <c r="J58" s="89"/>
    </row>
    <row r="59" spans="2:10" x14ac:dyDescent="0.2">
      <c r="B59" s="83">
        <f t="shared" si="1"/>
        <v>53</v>
      </c>
      <c r="C59" s="89"/>
      <c r="D59" s="89"/>
      <c r="E59" s="89"/>
      <c r="F59" s="89"/>
      <c r="G59" s="89"/>
      <c r="H59" s="89"/>
      <c r="I59" s="89"/>
      <c r="J59" s="89"/>
    </row>
    <row r="60" spans="2:10" x14ac:dyDescent="0.2">
      <c r="B60" s="83">
        <f t="shared" si="1"/>
        <v>54</v>
      </c>
      <c r="C60" s="89"/>
      <c r="D60" s="89"/>
      <c r="E60" s="89"/>
      <c r="F60" s="89"/>
      <c r="G60" s="89"/>
      <c r="H60" s="89"/>
      <c r="I60" s="89"/>
      <c r="J60" s="89"/>
    </row>
    <row r="61" spans="2:10" x14ac:dyDescent="0.2">
      <c r="B61" s="83">
        <f t="shared" si="1"/>
        <v>55</v>
      </c>
      <c r="C61" s="89"/>
      <c r="D61" s="89"/>
      <c r="E61" s="89"/>
      <c r="F61" s="89"/>
      <c r="G61" s="89"/>
      <c r="H61" s="89"/>
      <c r="I61" s="89"/>
      <c r="J61" s="89"/>
    </row>
  </sheetData>
  <mergeCells count="2">
    <mergeCell ref="L2:M2"/>
    <mergeCell ref="B2:F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8FBF-D8CF-4A8B-AB57-E29C9CB1FE2A}">
  <sheetPr>
    <tabColor theme="9"/>
  </sheetPr>
  <dimension ref="B2:O65"/>
  <sheetViews>
    <sheetView zoomScale="120" zoomScaleNormal="120" workbookViewId="0">
      <selection activeCell="K27" sqref="K27"/>
    </sheetView>
  </sheetViews>
  <sheetFormatPr baseColWidth="10" defaultColWidth="29" defaultRowHeight="15" x14ac:dyDescent="0.2"/>
  <cols>
    <col min="1" max="1" width="5.33203125" style="82" customWidth="1"/>
    <col min="2" max="2" width="5.5" style="82" customWidth="1"/>
    <col min="3" max="3" width="29" style="82"/>
    <col min="4" max="4" width="29" style="82" customWidth="1"/>
    <col min="5" max="5" width="14.1640625" style="102" customWidth="1"/>
    <col min="6" max="6" width="7.6640625" style="102" customWidth="1"/>
    <col min="7" max="7" width="6.1640625" style="102" customWidth="1"/>
    <col min="8" max="8" width="97.6640625" style="82" customWidth="1"/>
    <col min="9" max="9" width="14.83203125" style="82" customWidth="1"/>
    <col min="10" max="10" width="9.83203125" style="82" customWidth="1"/>
    <col min="11" max="11" width="15.83203125" style="82" customWidth="1"/>
    <col min="12" max="12" width="58.1640625" style="82" customWidth="1"/>
    <col min="13" max="14" width="29" style="82"/>
    <col min="15" max="15" width="98.6640625" style="82" customWidth="1"/>
    <col min="16" max="16384" width="29" style="82"/>
  </cols>
  <sheetData>
    <row r="2" spans="2:15" x14ac:dyDescent="0.2">
      <c r="B2" s="157" t="s">
        <v>198</v>
      </c>
      <c r="C2" s="157"/>
      <c r="D2" s="158"/>
      <c r="E2" s="158"/>
      <c r="F2" s="158"/>
      <c r="G2" s="158"/>
      <c r="H2" s="158"/>
      <c r="I2" s="93"/>
      <c r="J2" s="95"/>
      <c r="K2" s="95"/>
      <c r="L2" s="96"/>
      <c r="N2" s="156" t="s">
        <v>150</v>
      </c>
      <c r="O2" s="156"/>
    </row>
    <row r="3" spans="2:15" ht="32" x14ac:dyDescent="0.2">
      <c r="B3" s="90" t="s">
        <v>231</v>
      </c>
      <c r="C3" s="91" t="s">
        <v>151</v>
      </c>
      <c r="D3" s="91" t="s">
        <v>232</v>
      </c>
      <c r="E3" s="90" t="s">
        <v>287</v>
      </c>
      <c r="F3" s="90" t="s">
        <v>252</v>
      </c>
      <c r="G3" s="90" t="s">
        <v>251</v>
      </c>
      <c r="H3" s="92" t="s">
        <v>152</v>
      </c>
      <c r="I3" s="94" t="s">
        <v>226</v>
      </c>
      <c r="J3" s="94" t="s">
        <v>9</v>
      </c>
      <c r="K3" s="94" t="s">
        <v>215</v>
      </c>
      <c r="L3" s="94" t="s">
        <v>227</v>
      </c>
      <c r="N3" s="85" t="s">
        <v>153</v>
      </c>
      <c r="O3" s="88" t="s">
        <v>154</v>
      </c>
    </row>
    <row r="4" spans="2:15" s="108" customFormat="1" ht="16" x14ac:dyDescent="0.2">
      <c r="B4" s="111"/>
      <c r="C4" s="165" t="s">
        <v>284</v>
      </c>
      <c r="D4" s="165" t="s">
        <v>233</v>
      </c>
      <c r="E4" s="117" t="s">
        <v>288</v>
      </c>
      <c r="F4" s="111" t="s">
        <v>245</v>
      </c>
      <c r="G4" s="111">
        <v>0.1</v>
      </c>
      <c r="H4" s="86" t="s">
        <v>254</v>
      </c>
      <c r="I4" s="114" t="s">
        <v>62</v>
      </c>
      <c r="J4" s="114"/>
      <c r="K4" s="114" t="s">
        <v>216</v>
      </c>
      <c r="L4" s="114"/>
      <c r="N4" s="115"/>
      <c r="O4" s="116"/>
    </row>
    <row r="5" spans="2:15" s="108" customFormat="1" ht="16" x14ac:dyDescent="0.2">
      <c r="B5" s="111"/>
      <c r="C5" s="166"/>
      <c r="D5" s="167"/>
      <c r="E5" s="118">
        <v>0.1</v>
      </c>
      <c r="F5" s="111" t="s">
        <v>245</v>
      </c>
      <c r="G5" s="111">
        <v>0.2</v>
      </c>
      <c r="H5" s="113" t="s">
        <v>282</v>
      </c>
      <c r="I5" s="114" t="s">
        <v>62</v>
      </c>
      <c r="J5" s="114"/>
      <c r="K5" s="114" t="s">
        <v>216</v>
      </c>
      <c r="L5" s="114"/>
      <c r="N5" s="115"/>
      <c r="O5" s="116"/>
    </row>
    <row r="6" spans="2:15" s="108" customFormat="1" ht="16" x14ac:dyDescent="0.2">
      <c r="B6" s="111"/>
      <c r="C6" s="166"/>
      <c r="D6" s="117" t="s">
        <v>233</v>
      </c>
      <c r="E6" s="117">
        <v>9.1999999999999993</v>
      </c>
      <c r="F6" s="111" t="s">
        <v>245</v>
      </c>
      <c r="G6" s="111">
        <v>0.3</v>
      </c>
      <c r="H6" s="113" t="s">
        <v>289</v>
      </c>
      <c r="I6" s="114"/>
      <c r="J6" s="114" t="s">
        <v>62</v>
      </c>
      <c r="K6" s="114" t="s">
        <v>216</v>
      </c>
      <c r="L6" s="114"/>
      <c r="N6" s="115"/>
      <c r="O6" s="116"/>
    </row>
    <row r="7" spans="2:15" s="108" customFormat="1" ht="16" x14ac:dyDescent="0.2">
      <c r="B7" s="111"/>
      <c r="C7" s="166"/>
      <c r="D7" s="117" t="s">
        <v>233</v>
      </c>
      <c r="E7" s="117">
        <v>0.3</v>
      </c>
      <c r="F7" s="111"/>
      <c r="G7" s="111">
        <v>0.4</v>
      </c>
      <c r="H7" s="113" t="s">
        <v>285</v>
      </c>
      <c r="I7" s="114" t="s">
        <v>62</v>
      </c>
      <c r="J7" s="114"/>
      <c r="K7" s="114" t="s">
        <v>216</v>
      </c>
      <c r="L7" s="114"/>
      <c r="N7" s="115"/>
      <c r="O7" s="116"/>
    </row>
    <row r="8" spans="2:15" s="108" customFormat="1" ht="16" x14ac:dyDescent="0.2">
      <c r="B8" s="111"/>
      <c r="C8" s="166"/>
      <c r="D8" s="117" t="s">
        <v>286</v>
      </c>
      <c r="E8" s="117">
        <v>0.4</v>
      </c>
      <c r="F8" s="111" t="s">
        <v>245</v>
      </c>
      <c r="G8" s="111">
        <v>0.5</v>
      </c>
      <c r="H8" s="113" t="s">
        <v>283</v>
      </c>
      <c r="I8" s="114" t="s">
        <v>62</v>
      </c>
      <c r="J8" s="114" t="s">
        <v>62</v>
      </c>
      <c r="K8" s="114" t="s">
        <v>216</v>
      </c>
      <c r="L8" s="114"/>
      <c r="N8" s="115"/>
      <c r="O8" s="116"/>
    </row>
    <row r="9" spans="2:15" s="108" customFormat="1" x14ac:dyDescent="0.2">
      <c r="B9" s="111"/>
      <c r="C9" s="166"/>
      <c r="D9" s="112"/>
      <c r="E9" s="117"/>
      <c r="F9" s="111"/>
      <c r="G9" s="111"/>
      <c r="H9" s="113"/>
      <c r="I9" s="114"/>
      <c r="J9" s="114"/>
      <c r="K9" s="114"/>
      <c r="L9" s="114"/>
      <c r="N9" s="115"/>
      <c r="O9" s="116"/>
    </row>
    <row r="10" spans="2:15" s="108" customFormat="1" x14ac:dyDescent="0.2">
      <c r="B10" s="111"/>
      <c r="C10" s="166"/>
      <c r="D10" s="112"/>
      <c r="E10" s="117"/>
      <c r="F10" s="111"/>
      <c r="G10" s="111"/>
      <c r="H10" s="113"/>
      <c r="I10" s="114"/>
      <c r="J10" s="114"/>
      <c r="K10" s="114"/>
      <c r="L10" s="114"/>
      <c r="N10" s="115"/>
      <c r="O10" s="116"/>
    </row>
    <row r="11" spans="2:15" s="108" customFormat="1" x14ac:dyDescent="0.2">
      <c r="B11" s="111"/>
      <c r="C11" s="167"/>
      <c r="D11" s="112"/>
      <c r="E11" s="117"/>
      <c r="F11" s="111"/>
      <c r="G11" s="111"/>
      <c r="H11" s="113"/>
      <c r="I11" s="114"/>
      <c r="J11" s="114"/>
      <c r="K11" s="114"/>
      <c r="L11" s="114"/>
      <c r="N11" s="115"/>
      <c r="O11" s="116"/>
    </row>
    <row r="12" spans="2:15" ht="16" x14ac:dyDescent="0.2">
      <c r="B12" s="83"/>
      <c r="C12" s="162" t="s">
        <v>249</v>
      </c>
      <c r="D12" s="159" t="s">
        <v>233</v>
      </c>
      <c r="E12" s="98"/>
      <c r="F12" s="83"/>
      <c r="G12" s="83">
        <v>1.1000000000000001</v>
      </c>
      <c r="H12" s="86" t="s">
        <v>60</v>
      </c>
      <c r="I12" s="86"/>
      <c r="J12" s="86"/>
      <c r="K12" s="86" t="s">
        <v>216</v>
      </c>
      <c r="L12" s="87"/>
      <c r="N12" s="85" t="s">
        <v>71</v>
      </c>
      <c r="O12" s="88" t="s">
        <v>155</v>
      </c>
    </row>
    <row r="13" spans="2:15" ht="16" x14ac:dyDescent="0.2">
      <c r="B13" s="83"/>
      <c r="C13" s="163"/>
      <c r="D13" s="160"/>
      <c r="E13" s="99"/>
      <c r="F13" s="83"/>
      <c r="G13" s="83">
        <v>1.2</v>
      </c>
      <c r="H13" s="86" t="s">
        <v>253</v>
      </c>
      <c r="I13" s="86"/>
      <c r="J13" s="86"/>
      <c r="K13" s="86" t="s">
        <v>216</v>
      </c>
      <c r="L13" s="87"/>
      <c r="N13" s="85" t="s">
        <v>126</v>
      </c>
      <c r="O13" s="88" t="s">
        <v>157</v>
      </c>
    </row>
    <row r="14" spans="2:15" ht="16" x14ac:dyDescent="0.2">
      <c r="B14" s="83"/>
      <c r="C14" s="163"/>
      <c r="D14" s="160"/>
      <c r="E14" s="99"/>
      <c r="F14" s="83"/>
      <c r="G14" s="83">
        <v>1.3</v>
      </c>
      <c r="H14" s="86" t="s">
        <v>281</v>
      </c>
      <c r="I14" s="86"/>
      <c r="J14" s="86"/>
      <c r="K14" s="86" t="s">
        <v>216</v>
      </c>
      <c r="L14" s="87"/>
      <c r="N14" s="85" t="s">
        <v>159</v>
      </c>
      <c r="O14" s="88" t="s">
        <v>160</v>
      </c>
    </row>
    <row r="15" spans="2:15" ht="16" x14ac:dyDescent="0.2">
      <c r="B15" s="83"/>
      <c r="C15" s="163"/>
      <c r="D15" s="160"/>
      <c r="E15" s="99"/>
      <c r="F15" s="83"/>
      <c r="G15" s="83">
        <v>1.4</v>
      </c>
      <c r="H15" s="86" t="s">
        <v>254</v>
      </c>
      <c r="I15" s="86"/>
      <c r="J15" s="86"/>
      <c r="K15" s="86" t="s">
        <v>216</v>
      </c>
      <c r="L15" s="87"/>
      <c r="N15" s="85"/>
      <c r="O15" s="88"/>
    </row>
    <row r="16" spans="2:15" ht="16" x14ac:dyDescent="0.2">
      <c r="B16" s="83"/>
      <c r="C16" s="163"/>
      <c r="D16" s="160"/>
      <c r="E16" s="99"/>
      <c r="F16" s="83" t="s">
        <v>245</v>
      </c>
      <c r="G16" s="83">
        <v>1.5</v>
      </c>
      <c r="H16" s="86" t="s">
        <v>248</v>
      </c>
      <c r="I16" s="86"/>
      <c r="J16" s="86"/>
      <c r="K16" s="86" t="s">
        <v>216</v>
      </c>
      <c r="L16" s="87"/>
      <c r="N16" s="85" t="s">
        <v>162</v>
      </c>
      <c r="O16" s="88" t="s">
        <v>163</v>
      </c>
    </row>
    <row r="17" spans="2:15" ht="16" x14ac:dyDescent="0.2">
      <c r="B17" s="83"/>
      <c r="C17" s="163"/>
      <c r="D17" s="160"/>
      <c r="E17" s="99"/>
      <c r="F17" s="83"/>
      <c r="G17" s="83">
        <v>1.6</v>
      </c>
      <c r="H17" s="86" t="s">
        <v>276</v>
      </c>
      <c r="I17" s="86"/>
      <c r="J17" s="86"/>
      <c r="K17" s="86" t="s">
        <v>216</v>
      </c>
      <c r="L17" s="87"/>
      <c r="N17" s="85"/>
      <c r="O17" s="88"/>
    </row>
    <row r="18" spans="2:15" ht="16" x14ac:dyDescent="0.2">
      <c r="B18" s="83"/>
      <c r="C18" s="163"/>
      <c r="D18" s="160"/>
      <c r="E18" s="99"/>
      <c r="F18" s="83"/>
      <c r="G18" s="83">
        <v>1.7</v>
      </c>
      <c r="H18" s="86" t="s">
        <v>259</v>
      </c>
      <c r="I18" s="86"/>
      <c r="J18" s="86"/>
      <c r="K18" s="86" t="s">
        <v>216</v>
      </c>
      <c r="L18" s="87"/>
      <c r="N18" s="85"/>
      <c r="O18" s="88"/>
    </row>
    <row r="19" spans="2:15" ht="16" x14ac:dyDescent="0.2">
      <c r="B19" s="83"/>
      <c r="C19" s="164"/>
      <c r="D19" s="161"/>
      <c r="E19" s="100"/>
      <c r="F19" s="83" t="s">
        <v>245</v>
      </c>
      <c r="G19" s="83">
        <v>1.8</v>
      </c>
      <c r="H19" s="86" t="s">
        <v>255</v>
      </c>
      <c r="I19" s="86"/>
      <c r="J19" s="86"/>
      <c r="K19" s="86" t="s">
        <v>216</v>
      </c>
      <c r="L19" s="87"/>
    </row>
    <row r="20" spans="2:15" s="108" customFormat="1" ht="16" x14ac:dyDescent="0.2">
      <c r="B20" s="103"/>
      <c r="C20" s="104" t="s">
        <v>250</v>
      </c>
      <c r="D20" s="105" t="s">
        <v>233</v>
      </c>
      <c r="E20" s="105"/>
      <c r="F20" s="105"/>
      <c r="G20" s="105">
        <v>2.1</v>
      </c>
      <c r="H20" s="106" t="s">
        <v>256</v>
      </c>
      <c r="I20" s="106"/>
      <c r="J20" s="106" t="s">
        <v>62</v>
      </c>
      <c r="K20" s="106" t="s">
        <v>319</v>
      </c>
      <c r="L20" s="107"/>
    </row>
    <row r="21" spans="2:15" s="108" customFormat="1" ht="16" x14ac:dyDescent="0.2">
      <c r="B21" s="103"/>
      <c r="C21" s="104"/>
      <c r="D21" s="103" t="s">
        <v>312</v>
      </c>
      <c r="E21" s="103"/>
      <c r="F21" s="103" t="s">
        <v>245</v>
      </c>
      <c r="G21" s="103">
        <v>2.2000000000000002</v>
      </c>
      <c r="H21" s="106" t="s">
        <v>280</v>
      </c>
      <c r="I21" s="106"/>
      <c r="J21" s="106" t="s">
        <v>62</v>
      </c>
      <c r="K21" s="106" t="s">
        <v>219</v>
      </c>
      <c r="L21" s="107" t="s">
        <v>229</v>
      </c>
    </row>
    <row r="22" spans="2:15" s="108" customFormat="1" ht="16" customHeight="1" x14ac:dyDescent="0.2">
      <c r="B22" s="103"/>
      <c r="C22" s="104"/>
      <c r="D22" s="103" t="s">
        <v>313</v>
      </c>
      <c r="E22" s="103"/>
      <c r="F22" s="103"/>
      <c r="G22" s="103">
        <v>2.2999999999999998</v>
      </c>
      <c r="H22" s="120" t="s">
        <v>279</v>
      </c>
      <c r="I22" s="106"/>
      <c r="J22" s="106" t="s">
        <v>62</v>
      </c>
      <c r="K22" s="106" t="s">
        <v>219</v>
      </c>
      <c r="L22" s="107" t="s">
        <v>229</v>
      </c>
    </row>
    <row r="23" spans="2:15" s="108" customFormat="1" ht="16" x14ac:dyDescent="0.2">
      <c r="B23" s="103"/>
      <c r="C23" s="104"/>
      <c r="D23" s="103" t="s">
        <v>314</v>
      </c>
      <c r="E23" s="103"/>
      <c r="F23" s="103"/>
      <c r="G23" s="103">
        <v>2.4</v>
      </c>
      <c r="H23" s="106" t="s">
        <v>315</v>
      </c>
      <c r="I23" s="106"/>
      <c r="J23" s="106" t="s">
        <v>62</v>
      </c>
      <c r="K23" s="106" t="s">
        <v>219</v>
      </c>
      <c r="L23" s="107"/>
    </row>
    <row r="24" spans="2:15" s="108" customFormat="1" ht="16" x14ac:dyDescent="0.2">
      <c r="B24" s="103"/>
      <c r="C24" s="104"/>
      <c r="D24" s="103"/>
      <c r="E24" s="103"/>
      <c r="F24" s="103"/>
      <c r="G24" s="103">
        <v>2.5</v>
      </c>
      <c r="H24" s="106" t="s">
        <v>278</v>
      </c>
      <c r="I24" s="106"/>
      <c r="J24" s="106"/>
      <c r="K24" s="106" t="s">
        <v>219</v>
      </c>
      <c r="L24" s="107"/>
    </row>
    <row r="25" spans="2:15" s="108" customFormat="1" ht="16" x14ac:dyDescent="0.2">
      <c r="B25" s="103"/>
      <c r="C25" s="104"/>
      <c r="D25" s="103"/>
      <c r="E25" s="103"/>
      <c r="F25" s="103" t="s">
        <v>245</v>
      </c>
      <c r="G25" s="103">
        <v>2.6</v>
      </c>
      <c r="H25" s="106" t="s">
        <v>277</v>
      </c>
      <c r="I25" s="106"/>
      <c r="J25" s="106"/>
      <c r="K25" s="106" t="s">
        <v>219</v>
      </c>
      <c r="L25" s="107"/>
    </row>
    <row r="26" spans="2:15" s="108" customFormat="1" ht="16" x14ac:dyDescent="0.2">
      <c r="B26" s="103"/>
      <c r="C26" s="109"/>
      <c r="D26" s="110"/>
      <c r="E26" s="110"/>
      <c r="F26" s="110"/>
      <c r="G26" s="110">
        <v>2.7</v>
      </c>
      <c r="H26" s="106" t="s">
        <v>257</v>
      </c>
      <c r="I26" s="106"/>
      <c r="J26" s="106" t="s">
        <v>62</v>
      </c>
      <c r="K26" s="106" t="s">
        <v>216</v>
      </c>
      <c r="L26" s="107"/>
    </row>
    <row r="27" spans="2:15" s="108" customFormat="1" ht="16" x14ac:dyDescent="0.2">
      <c r="B27" s="103"/>
      <c r="C27" s="109"/>
      <c r="D27" s="110"/>
      <c r="E27" s="110"/>
      <c r="F27" s="110" t="s">
        <v>245</v>
      </c>
      <c r="G27" s="110">
        <v>2.8</v>
      </c>
      <c r="H27" s="106" t="s">
        <v>265</v>
      </c>
      <c r="I27" s="106"/>
      <c r="J27" s="106"/>
      <c r="K27" s="106"/>
      <c r="L27" s="107"/>
    </row>
    <row r="28" spans="2:15" ht="16" x14ac:dyDescent="0.2">
      <c r="B28" s="83"/>
      <c r="C28" s="84" t="s">
        <v>126</v>
      </c>
      <c r="D28" s="101"/>
      <c r="E28" s="101"/>
      <c r="F28" s="101"/>
      <c r="G28" s="101">
        <v>3.1</v>
      </c>
      <c r="H28" s="86" t="s">
        <v>171</v>
      </c>
      <c r="I28" s="86"/>
      <c r="J28" s="86" t="s">
        <v>62</v>
      </c>
      <c r="K28" s="86" t="s">
        <v>218</v>
      </c>
      <c r="L28" s="87"/>
    </row>
    <row r="29" spans="2:15" ht="16" x14ac:dyDescent="0.2">
      <c r="B29" s="83"/>
      <c r="C29" s="84"/>
      <c r="D29" s="83"/>
      <c r="E29" s="83"/>
      <c r="F29" s="83"/>
      <c r="G29" s="83">
        <v>3.2</v>
      </c>
      <c r="H29" s="86" t="s">
        <v>172</v>
      </c>
      <c r="I29" s="86"/>
      <c r="J29" s="86" t="s">
        <v>62</v>
      </c>
      <c r="K29" s="86" t="s">
        <v>220</v>
      </c>
      <c r="L29" s="87"/>
    </row>
    <row r="30" spans="2:15" ht="16" x14ac:dyDescent="0.2">
      <c r="B30" s="83"/>
      <c r="C30" s="89"/>
      <c r="D30" s="101"/>
      <c r="E30" s="101"/>
      <c r="F30" s="101" t="s">
        <v>245</v>
      </c>
      <c r="G30" s="101">
        <v>3.3</v>
      </c>
      <c r="H30" s="86" t="s">
        <v>258</v>
      </c>
      <c r="I30" s="86"/>
      <c r="J30" s="86" t="s">
        <v>62</v>
      </c>
      <c r="K30" s="86" t="s">
        <v>219</v>
      </c>
      <c r="L30" s="87"/>
    </row>
    <row r="31" spans="2:15" ht="16" x14ac:dyDescent="0.2">
      <c r="B31" s="83"/>
      <c r="C31" s="89"/>
      <c r="D31" s="101"/>
      <c r="E31" s="101"/>
      <c r="F31" s="101" t="s">
        <v>245</v>
      </c>
      <c r="G31" s="101">
        <v>3.4</v>
      </c>
      <c r="H31" s="86" t="s">
        <v>260</v>
      </c>
      <c r="I31" s="86"/>
      <c r="J31" s="86"/>
      <c r="K31" s="86" t="s">
        <v>219</v>
      </c>
      <c r="L31" s="87"/>
    </row>
    <row r="32" spans="2:15" ht="16" x14ac:dyDescent="0.2">
      <c r="B32" s="83"/>
      <c r="C32" s="89"/>
      <c r="D32" s="101"/>
      <c r="E32" s="101"/>
      <c r="F32" s="101" t="s">
        <v>245</v>
      </c>
      <c r="G32" s="101">
        <v>3.5</v>
      </c>
      <c r="H32" s="86" t="s">
        <v>175</v>
      </c>
      <c r="I32" s="86"/>
      <c r="J32" s="86"/>
      <c r="K32" s="86" t="s">
        <v>219</v>
      </c>
      <c r="L32" s="87"/>
    </row>
    <row r="33" spans="2:12" s="108" customFormat="1" ht="16" x14ac:dyDescent="0.2">
      <c r="B33" s="103"/>
      <c r="C33" s="104" t="s">
        <v>199</v>
      </c>
      <c r="D33" s="103"/>
      <c r="E33" s="103"/>
      <c r="F33" s="103" t="s">
        <v>245</v>
      </c>
      <c r="G33" s="103">
        <v>4.0999999999999996</v>
      </c>
      <c r="H33" s="106" t="s">
        <v>261</v>
      </c>
      <c r="I33" s="106"/>
      <c r="J33" s="106"/>
      <c r="K33" s="106" t="s">
        <v>216</v>
      </c>
      <c r="L33" s="107"/>
    </row>
    <row r="34" spans="2:12" s="108" customFormat="1" ht="16" x14ac:dyDescent="0.2">
      <c r="B34" s="103"/>
      <c r="C34" s="104"/>
      <c r="D34" s="103"/>
      <c r="E34" s="103"/>
      <c r="F34" s="103"/>
      <c r="G34" s="103">
        <v>4.2</v>
      </c>
      <c r="H34" s="106" t="s">
        <v>262</v>
      </c>
      <c r="I34" s="106"/>
      <c r="J34" s="106"/>
      <c r="K34" s="106"/>
      <c r="L34" s="107"/>
    </row>
    <row r="35" spans="2:12" s="108" customFormat="1" ht="16" x14ac:dyDescent="0.2">
      <c r="B35" s="103"/>
      <c r="C35" s="109"/>
      <c r="D35" s="110"/>
      <c r="E35" s="110"/>
      <c r="F35" s="110"/>
      <c r="G35" s="110">
        <v>4.3</v>
      </c>
      <c r="H35" s="106" t="s">
        <v>180</v>
      </c>
      <c r="I35" s="106"/>
      <c r="J35" s="106" t="s">
        <v>62</v>
      </c>
      <c r="K35" s="106" t="s">
        <v>216</v>
      </c>
      <c r="L35" s="107"/>
    </row>
    <row r="36" spans="2:12" s="108" customFormat="1" ht="16" x14ac:dyDescent="0.2">
      <c r="B36" s="103"/>
      <c r="C36" s="109"/>
      <c r="D36" s="110"/>
      <c r="E36" s="110"/>
      <c r="F36" s="110"/>
      <c r="G36" s="110">
        <v>4.4000000000000004</v>
      </c>
      <c r="H36" s="106" t="s">
        <v>263</v>
      </c>
      <c r="I36" s="106"/>
      <c r="J36" s="106" t="s">
        <v>62</v>
      </c>
      <c r="K36" s="106" t="s">
        <v>216</v>
      </c>
      <c r="L36" s="107"/>
    </row>
    <row r="37" spans="2:12" s="108" customFormat="1" ht="16" x14ac:dyDescent="0.2">
      <c r="B37" s="103"/>
      <c r="C37" s="109"/>
      <c r="D37" s="110"/>
      <c r="E37" s="110"/>
      <c r="F37" s="110"/>
      <c r="G37" s="110">
        <v>4.5</v>
      </c>
      <c r="H37" s="106" t="s">
        <v>264</v>
      </c>
      <c r="I37" s="106"/>
      <c r="J37" s="106" t="s">
        <v>62</v>
      </c>
      <c r="K37" s="106" t="s">
        <v>216</v>
      </c>
      <c r="L37" s="107"/>
    </row>
    <row r="38" spans="2:12" s="108" customFormat="1" ht="16" x14ac:dyDescent="0.2">
      <c r="B38" s="103"/>
      <c r="C38" s="109"/>
      <c r="D38" s="110"/>
      <c r="E38" s="110"/>
      <c r="F38" s="110"/>
      <c r="G38" s="110">
        <v>4.5999999999999996</v>
      </c>
      <c r="H38" s="106" t="s">
        <v>266</v>
      </c>
      <c r="I38" s="106"/>
      <c r="J38" s="106" t="s">
        <v>62</v>
      </c>
      <c r="K38" s="106" t="s">
        <v>216</v>
      </c>
      <c r="L38" s="107"/>
    </row>
    <row r="39" spans="2:12" s="108" customFormat="1" ht="16" x14ac:dyDescent="0.2">
      <c r="B39" s="103"/>
      <c r="C39" s="109"/>
      <c r="D39" s="110"/>
      <c r="E39" s="110"/>
      <c r="F39" s="110" t="s">
        <v>245</v>
      </c>
      <c r="G39" s="110">
        <v>4.7</v>
      </c>
      <c r="H39" s="106" t="s">
        <v>267</v>
      </c>
      <c r="I39" s="106"/>
      <c r="J39" s="106"/>
      <c r="K39" s="106" t="s">
        <v>216</v>
      </c>
      <c r="L39" s="106"/>
    </row>
    <row r="40" spans="2:12" ht="16" x14ac:dyDescent="0.2">
      <c r="B40" s="83"/>
      <c r="C40" s="84" t="s">
        <v>162</v>
      </c>
      <c r="D40" s="83"/>
      <c r="E40" s="83"/>
      <c r="F40" s="83" t="s">
        <v>245</v>
      </c>
      <c r="G40" s="83">
        <v>5.0999999999999996</v>
      </c>
      <c r="H40" s="86" t="s">
        <v>184</v>
      </c>
      <c r="I40" s="86"/>
      <c r="J40" s="86" t="s">
        <v>62</v>
      </c>
      <c r="K40" s="86" t="s">
        <v>216</v>
      </c>
      <c r="L40" s="86"/>
    </row>
    <row r="41" spans="2:12" ht="16" x14ac:dyDescent="0.2">
      <c r="B41" s="83"/>
      <c r="C41" s="84"/>
      <c r="D41" s="83"/>
      <c r="E41" s="83"/>
      <c r="F41" s="83"/>
      <c r="G41" s="83">
        <v>5.2</v>
      </c>
      <c r="H41" s="86" t="s">
        <v>268</v>
      </c>
      <c r="I41" s="86"/>
      <c r="J41" s="86"/>
      <c r="K41" s="86"/>
      <c r="L41" s="86"/>
    </row>
    <row r="42" spans="2:12" ht="16" x14ac:dyDescent="0.2">
      <c r="B42" s="83"/>
      <c r="C42" s="89"/>
      <c r="D42" s="101"/>
      <c r="E42" s="101"/>
      <c r="F42" s="101"/>
      <c r="G42" s="101">
        <v>5.3</v>
      </c>
      <c r="H42" s="86" t="s">
        <v>270</v>
      </c>
      <c r="I42" s="86"/>
      <c r="J42" s="86" t="s">
        <v>62</v>
      </c>
      <c r="K42" s="86" t="s">
        <v>216</v>
      </c>
      <c r="L42" s="86"/>
    </row>
    <row r="43" spans="2:12" ht="16" x14ac:dyDescent="0.2">
      <c r="B43" s="83"/>
      <c r="C43" s="89"/>
      <c r="D43" s="101"/>
      <c r="E43" s="101"/>
      <c r="F43" s="101"/>
      <c r="G43" s="101">
        <v>5.4</v>
      </c>
      <c r="H43" s="86" t="s">
        <v>269</v>
      </c>
      <c r="I43" s="86"/>
      <c r="J43" s="86"/>
      <c r="K43" s="86"/>
      <c r="L43" s="86"/>
    </row>
    <row r="44" spans="2:12" ht="16" x14ac:dyDescent="0.2">
      <c r="B44" s="83"/>
      <c r="C44" s="89"/>
      <c r="D44" s="101"/>
      <c r="E44" s="101"/>
      <c r="F44" s="101" t="s">
        <v>245</v>
      </c>
      <c r="G44" s="101">
        <v>5.5</v>
      </c>
      <c r="H44" s="86" t="s">
        <v>271</v>
      </c>
      <c r="I44" s="86"/>
      <c r="J44" s="86"/>
      <c r="K44" s="86"/>
      <c r="L44" s="86"/>
    </row>
    <row r="45" spans="2:12" ht="16" x14ac:dyDescent="0.2">
      <c r="B45" s="83"/>
      <c r="C45" s="89"/>
      <c r="D45" s="101"/>
      <c r="E45" s="101"/>
      <c r="F45" s="101" t="s">
        <v>245</v>
      </c>
      <c r="G45" s="101">
        <v>5.5</v>
      </c>
      <c r="H45" s="86" t="s">
        <v>272</v>
      </c>
      <c r="I45" s="86"/>
      <c r="J45" s="86"/>
      <c r="K45" s="86"/>
      <c r="L45" s="86"/>
    </row>
    <row r="46" spans="2:12" ht="16" x14ac:dyDescent="0.2">
      <c r="B46" s="83"/>
      <c r="C46" s="89"/>
      <c r="D46" s="101"/>
      <c r="E46" s="101"/>
      <c r="F46" s="101"/>
      <c r="G46" s="101">
        <v>5.6</v>
      </c>
      <c r="H46" s="86" t="s">
        <v>185</v>
      </c>
      <c r="I46" s="86"/>
      <c r="J46" s="86"/>
      <c r="K46" s="86"/>
      <c r="L46" s="86"/>
    </row>
    <row r="47" spans="2:12" ht="16" x14ac:dyDescent="0.2">
      <c r="B47" s="83"/>
      <c r="C47" s="89"/>
      <c r="D47" s="101"/>
      <c r="E47" s="101"/>
      <c r="F47" s="101"/>
      <c r="G47" s="101">
        <v>5.7</v>
      </c>
      <c r="H47" s="86" t="s">
        <v>273</v>
      </c>
      <c r="I47" s="86"/>
      <c r="J47" s="86" t="s">
        <v>62</v>
      </c>
      <c r="K47" s="86" t="s">
        <v>216</v>
      </c>
      <c r="L47" s="86"/>
    </row>
    <row r="48" spans="2:12" ht="16" x14ac:dyDescent="0.2">
      <c r="B48" s="83"/>
      <c r="C48" s="89"/>
      <c r="D48" s="101"/>
      <c r="E48" s="101"/>
      <c r="F48" s="101" t="s">
        <v>245</v>
      </c>
      <c r="G48" s="101">
        <v>5.8</v>
      </c>
      <c r="H48" s="86" t="s">
        <v>190</v>
      </c>
      <c r="I48" s="86"/>
      <c r="J48" s="86" t="s">
        <v>62</v>
      </c>
      <c r="K48" s="86" t="s">
        <v>216</v>
      </c>
      <c r="L48" s="86"/>
    </row>
    <row r="49" spans="2:12" s="108" customFormat="1" ht="16" x14ac:dyDescent="0.2">
      <c r="B49" s="103"/>
      <c r="C49" s="104" t="s">
        <v>165</v>
      </c>
      <c r="D49" s="103"/>
      <c r="E49" s="103"/>
      <c r="F49" s="103" t="s">
        <v>245</v>
      </c>
      <c r="G49" s="103">
        <v>6.1</v>
      </c>
      <c r="H49" s="106" t="s">
        <v>187</v>
      </c>
      <c r="I49" s="106"/>
      <c r="J49" s="106" t="s">
        <v>62</v>
      </c>
      <c r="K49" s="106" t="s">
        <v>216</v>
      </c>
      <c r="L49" s="106"/>
    </row>
    <row r="50" spans="2:12" s="108" customFormat="1" ht="16" x14ac:dyDescent="0.2">
      <c r="B50" s="103"/>
      <c r="C50" s="109"/>
      <c r="D50" s="110"/>
      <c r="E50" s="110"/>
      <c r="F50" s="110"/>
      <c r="G50" s="110">
        <v>6.2</v>
      </c>
      <c r="H50" s="106" t="s">
        <v>188</v>
      </c>
      <c r="I50" s="106"/>
      <c r="J50" s="106"/>
      <c r="K50" s="106" t="s">
        <v>222</v>
      </c>
      <c r="L50" s="106"/>
    </row>
    <row r="51" spans="2:12" s="108" customFormat="1" ht="16" x14ac:dyDescent="0.2">
      <c r="B51" s="103"/>
      <c r="C51" s="109"/>
      <c r="D51" s="110"/>
      <c r="E51" s="110"/>
      <c r="F51" s="110"/>
      <c r="G51" s="110">
        <v>6.3</v>
      </c>
      <c r="H51" s="106" t="s">
        <v>189</v>
      </c>
      <c r="I51" s="106"/>
      <c r="J51" s="106" t="s">
        <v>62</v>
      </c>
      <c r="K51" s="106" t="s">
        <v>223</v>
      </c>
      <c r="L51" s="106"/>
    </row>
    <row r="52" spans="2:12" s="108" customFormat="1" ht="16" x14ac:dyDescent="0.2">
      <c r="B52" s="103"/>
      <c r="C52" s="109"/>
      <c r="D52" s="110"/>
      <c r="E52" s="110"/>
      <c r="F52" s="110"/>
      <c r="G52" s="110">
        <v>6.4</v>
      </c>
      <c r="H52" s="106" t="s">
        <v>274</v>
      </c>
      <c r="I52" s="106"/>
      <c r="J52" s="106"/>
      <c r="K52" s="106"/>
      <c r="L52" s="106"/>
    </row>
    <row r="53" spans="2:12" ht="16" x14ac:dyDescent="0.2">
      <c r="B53" s="83"/>
      <c r="C53" s="84" t="s">
        <v>191</v>
      </c>
      <c r="D53" s="83"/>
      <c r="E53" s="83"/>
      <c r="F53" s="83"/>
      <c r="G53" s="83" t="s">
        <v>62</v>
      </c>
      <c r="H53" s="86" t="s">
        <v>192</v>
      </c>
      <c r="I53" s="86"/>
      <c r="J53" s="86"/>
      <c r="K53" s="86" t="s">
        <v>224</v>
      </c>
      <c r="L53" s="86"/>
    </row>
    <row r="54" spans="2:12" ht="16" x14ac:dyDescent="0.2">
      <c r="B54" s="83"/>
      <c r="C54" s="89"/>
      <c r="D54" s="89"/>
      <c r="E54" s="101"/>
      <c r="F54" s="101" t="s">
        <v>245</v>
      </c>
      <c r="G54" s="101" t="s">
        <v>206</v>
      </c>
      <c r="H54" s="86" t="s">
        <v>193</v>
      </c>
      <c r="I54" s="86"/>
      <c r="J54" s="86"/>
      <c r="K54" s="86" t="s">
        <v>216</v>
      </c>
      <c r="L54" s="86"/>
    </row>
    <row r="55" spans="2:12" ht="16" x14ac:dyDescent="0.2">
      <c r="B55" s="83"/>
      <c r="C55" s="89"/>
      <c r="D55" s="89"/>
      <c r="E55" s="101"/>
      <c r="F55" s="101" t="s">
        <v>245</v>
      </c>
      <c r="G55" s="101" t="s">
        <v>65</v>
      </c>
      <c r="H55" s="86" t="s">
        <v>194</v>
      </c>
      <c r="I55" s="86"/>
      <c r="J55" s="86"/>
      <c r="K55" s="86" t="s">
        <v>216</v>
      </c>
      <c r="L55" s="86"/>
    </row>
    <row r="56" spans="2:12" ht="16" x14ac:dyDescent="0.2">
      <c r="B56" s="83"/>
      <c r="C56" s="89"/>
      <c r="D56" s="89"/>
      <c r="E56" s="101"/>
      <c r="F56" s="101" t="s">
        <v>245</v>
      </c>
      <c r="G56" s="101" t="s">
        <v>210</v>
      </c>
      <c r="H56" s="86" t="s">
        <v>195</v>
      </c>
      <c r="I56" s="86"/>
      <c r="J56" s="86"/>
      <c r="K56" s="86" t="s">
        <v>219</v>
      </c>
      <c r="L56" s="86"/>
    </row>
    <row r="57" spans="2:12" ht="16" x14ac:dyDescent="0.2">
      <c r="B57" s="83"/>
      <c r="C57" s="89"/>
      <c r="D57" s="89"/>
      <c r="E57" s="101"/>
      <c r="F57" s="101" t="s">
        <v>245</v>
      </c>
      <c r="G57" s="101" t="s">
        <v>209</v>
      </c>
      <c r="H57" s="86" t="s">
        <v>196</v>
      </c>
      <c r="I57" s="86"/>
      <c r="J57" s="86"/>
      <c r="K57" s="86" t="s">
        <v>216</v>
      </c>
      <c r="L57" s="86"/>
    </row>
    <row r="58" spans="2:12" ht="16" x14ac:dyDescent="0.2">
      <c r="B58" s="83"/>
      <c r="C58" s="89"/>
      <c r="D58" s="89"/>
      <c r="E58" s="101"/>
      <c r="F58" s="101"/>
      <c r="G58" s="101" t="s">
        <v>208</v>
      </c>
      <c r="H58" s="86" t="s">
        <v>197</v>
      </c>
      <c r="I58" s="86"/>
      <c r="J58" s="86"/>
      <c r="K58" s="86" t="s">
        <v>225</v>
      </c>
      <c r="L58" s="86"/>
    </row>
    <row r="59" spans="2:12" ht="16" x14ac:dyDescent="0.2">
      <c r="B59" s="83"/>
      <c r="C59" s="89"/>
      <c r="D59" s="89"/>
      <c r="E59" s="101"/>
      <c r="F59" s="101"/>
      <c r="G59" s="101" t="s">
        <v>207</v>
      </c>
      <c r="H59" s="86" t="s">
        <v>275</v>
      </c>
      <c r="I59" s="86"/>
      <c r="J59" s="86"/>
      <c r="K59" s="86" t="s">
        <v>216</v>
      </c>
      <c r="L59" s="86"/>
    </row>
    <row r="60" spans="2:12" x14ac:dyDescent="0.2">
      <c r="B60" s="83"/>
      <c r="C60" s="89"/>
      <c r="D60" s="89"/>
      <c r="E60" s="101"/>
      <c r="F60" s="101"/>
      <c r="G60" s="101"/>
      <c r="H60" s="89"/>
      <c r="I60" s="89"/>
      <c r="J60" s="89"/>
      <c r="K60" s="89"/>
      <c r="L60" s="89"/>
    </row>
    <row r="61" spans="2:12" x14ac:dyDescent="0.2">
      <c r="B61" s="83"/>
      <c r="C61" s="89"/>
      <c r="D61" s="89"/>
      <c r="E61" s="101"/>
      <c r="F61" s="101"/>
      <c r="G61" s="101"/>
      <c r="H61" s="89"/>
      <c r="I61" s="89"/>
      <c r="J61" s="89"/>
      <c r="K61" s="89"/>
      <c r="L61" s="89"/>
    </row>
    <row r="62" spans="2:12" x14ac:dyDescent="0.2">
      <c r="B62" s="83"/>
      <c r="C62" s="89"/>
      <c r="D62" s="89"/>
      <c r="E62" s="101"/>
      <c r="F62" s="101"/>
      <c r="G62" s="101"/>
      <c r="H62" s="89"/>
      <c r="I62" s="89"/>
      <c r="J62" s="89"/>
      <c r="K62" s="89"/>
      <c r="L62" s="89"/>
    </row>
    <row r="63" spans="2:12" x14ac:dyDescent="0.2">
      <c r="B63" s="83"/>
      <c r="C63" s="89"/>
      <c r="D63" s="89"/>
      <c r="E63" s="101"/>
      <c r="F63" s="101"/>
      <c r="G63" s="101"/>
      <c r="H63" s="89"/>
      <c r="I63" s="89"/>
      <c r="J63" s="89"/>
      <c r="K63" s="89"/>
      <c r="L63" s="89"/>
    </row>
    <row r="64" spans="2:12" x14ac:dyDescent="0.2">
      <c r="B64" s="83"/>
      <c r="C64" s="89"/>
      <c r="D64" s="89"/>
      <c r="E64" s="101"/>
      <c r="F64" s="101"/>
      <c r="G64" s="101"/>
      <c r="H64" s="89"/>
      <c r="I64" s="89"/>
      <c r="J64" s="89"/>
      <c r="K64" s="89"/>
      <c r="L64" s="89"/>
    </row>
    <row r="65" spans="2:12" x14ac:dyDescent="0.2">
      <c r="B65" s="83"/>
      <c r="C65" s="89"/>
      <c r="D65" s="89"/>
      <c r="E65" s="101"/>
      <c r="F65" s="101"/>
      <c r="G65" s="101"/>
      <c r="H65" s="89"/>
      <c r="I65" s="89"/>
      <c r="J65" s="89"/>
      <c r="K65" s="89"/>
      <c r="L65" s="89"/>
    </row>
  </sheetData>
  <mergeCells count="6">
    <mergeCell ref="B2:H2"/>
    <mergeCell ref="N2:O2"/>
    <mergeCell ref="D12:D19"/>
    <mergeCell ref="C12:C19"/>
    <mergeCell ref="C4:C11"/>
    <mergeCell ref="D4:D5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EC1DC-96FF-49D7-ACAC-B87AC4DD7EEB}">
  <dimension ref="A2:J24"/>
  <sheetViews>
    <sheetView tabSelected="1" zoomScale="120" zoomScaleNormal="120" workbookViewId="0">
      <selection activeCell="B9" sqref="B9"/>
    </sheetView>
  </sheetViews>
  <sheetFormatPr baseColWidth="10" defaultColWidth="8.83203125" defaultRowHeight="15" x14ac:dyDescent="0.2"/>
  <cols>
    <col min="1" max="1" width="4.1640625" customWidth="1"/>
    <col min="2" max="2" width="52" customWidth="1"/>
    <col min="3" max="3" width="7.5" style="81" customWidth="1"/>
    <col min="4" max="4" width="9.83203125" style="80" customWidth="1"/>
    <col min="5" max="5" width="13.1640625" style="80" customWidth="1"/>
    <col min="6" max="6" width="9.83203125" style="80" customWidth="1"/>
    <col min="7" max="7" width="16.6640625" style="80" customWidth="1"/>
    <col min="8" max="8" width="9.83203125" style="80" customWidth="1"/>
    <col min="9" max="9" width="87.5" customWidth="1"/>
    <col min="10" max="10" width="79.6640625" customWidth="1"/>
  </cols>
  <sheetData>
    <row r="2" spans="1:10" ht="39.5" customHeight="1" x14ac:dyDescent="0.2">
      <c r="B2" s="79" t="s">
        <v>236</v>
      </c>
      <c r="C2" s="81" t="s">
        <v>243</v>
      </c>
      <c r="D2" s="80" t="s">
        <v>244</v>
      </c>
      <c r="E2" s="80" t="s">
        <v>338</v>
      </c>
      <c r="F2" s="80" t="s">
        <v>333</v>
      </c>
      <c r="G2" s="80" t="s">
        <v>336</v>
      </c>
      <c r="I2" t="s">
        <v>306</v>
      </c>
      <c r="J2" t="s">
        <v>320</v>
      </c>
    </row>
    <row r="3" spans="1:10" s="122" customFormat="1" ht="23" customHeight="1" x14ac:dyDescent="0.2">
      <c r="A3" s="122">
        <f t="shared" ref="A3:A18" si="0">ROW() - ROW($A$3) + 1</f>
        <v>1</v>
      </c>
      <c r="B3" s="133" t="s">
        <v>292</v>
      </c>
      <c r="C3" s="123" t="s">
        <v>245</v>
      </c>
      <c r="D3" s="124" t="s">
        <v>245</v>
      </c>
      <c r="E3" s="124" t="s">
        <v>332</v>
      </c>
      <c r="F3" s="124" t="s">
        <v>334</v>
      </c>
      <c r="G3" s="124"/>
      <c r="H3" s="124"/>
      <c r="I3" s="125" t="s">
        <v>307</v>
      </c>
    </row>
    <row r="4" spans="1:10" s="127" customFormat="1" ht="23" customHeight="1" x14ac:dyDescent="0.2">
      <c r="A4" s="127">
        <v>2</v>
      </c>
      <c r="B4" s="134" t="s">
        <v>326</v>
      </c>
      <c r="C4" s="128" t="s">
        <v>245</v>
      </c>
      <c r="D4" s="129" t="s">
        <v>245</v>
      </c>
      <c r="E4" s="129" t="s">
        <v>332</v>
      </c>
      <c r="F4" s="129" t="s">
        <v>334</v>
      </c>
      <c r="G4" s="129"/>
      <c r="H4" s="129"/>
      <c r="I4" s="130" t="s">
        <v>330</v>
      </c>
      <c r="J4" s="131" t="s">
        <v>328</v>
      </c>
    </row>
    <row r="5" spans="1:10" s="127" customFormat="1" ht="23" customHeight="1" x14ac:dyDescent="0.2">
      <c r="A5" s="127">
        <v>3</v>
      </c>
      <c r="B5" s="134" t="s">
        <v>327</v>
      </c>
      <c r="C5" s="128" t="s">
        <v>245</v>
      </c>
      <c r="D5" s="129" t="s">
        <v>311</v>
      </c>
      <c r="E5" s="129" t="s">
        <v>332</v>
      </c>
      <c r="F5" s="129" t="s">
        <v>334</v>
      </c>
      <c r="G5" s="129"/>
      <c r="H5" s="129"/>
      <c r="I5" s="130" t="s">
        <v>331</v>
      </c>
      <c r="J5" s="132" t="s">
        <v>329</v>
      </c>
    </row>
    <row r="6" spans="1:10" ht="23" customHeight="1" x14ac:dyDescent="0.2">
      <c r="A6">
        <f t="shared" si="0"/>
        <v>4</v>
      </c>
      <c r="B6" t="s">
        <v>293</v>
      </c>
      <c r="C6" s="81" t="s">
        <v>245</v>
      </c>
      <c r="D6" s="80" t="s">
        <v>245</v>
      </c>
      <c r="F6" s="80" t="s">
        <v>335</v>
      </c>
      <c r="I6" s="119" t="s">
        <v>308</v>
      </c>
    </row>
    <row r="7" spans="1:10" ht="23" customHeight="1" x14ac:dyDescent="0.2">
      <c r="A7">
        <f t="shared" si="0"/>
        <v>5</v>
      </c>
      <c r="B7" t="s">
        <v>294</v>
      </c>
      <c r="C7" s="81" t="s">
        <v>245</v>
      </c>
      <c r="D7" s="80" t="s">
        <v>245</v>
      </c>
      <c r="E7" s="80" t="s">
        <v>288</v>
      </c>
      <c r="G7" s="80" t="s">
        <v>335</v>
      </c>
      <c r="I7" s="119" t="s">
        <v>316</v>
      </c>
    </row>
    <row r="8" spans="1:10" ht="23" customHeight="1" x14ac:dyDescent="0.2">
      <c r="A8">
        <f t="shared" si="0"/>
        <v>6</v>
      </c>
      <c r="B8" t="s">
        <v>295</v>
      </c>
      <c r="C8" s="81" t="s">
        <v>245</v>
      </c>
      <c r="D8" s="80" t="s">
        <v>245</v>
      </c>
      <c r="E8" s="80" t="s">
        <v>288</v>
      </c>
      <c r="G8" s="80" t="s">
        <v>335</v>
      </c>
      <c r="I8" s="119" t="s">
        <v>218</v>
      </c>
    </row>
    <row r="9" spans="1:10" ht="23" customHeight="1" x14ac:dyDescent="0.2">
      <c r="A9">
        <f t="shared" si="0"/>
        <v>7</v>
      </c>
      <c r="B9" t="s">
        <v>296</v>
      </c>
      <c r="C9" s="81" t="s">
        <v>245</v>
      </c>
      <c r="D9" s="80" t="s">
        <v>245</v>
      </c>
      <c r="G9" s="80" t="s">
        <v>340</v>
      </c>
      <c r="I9" s="119" t="s">
        <v>310</v>
      </c>
    </row>
    <row r="10" spans="1:10" s="122" customFormat="1" ht="25.5" customHeight="1" x14ac:dyDescent="0.2">
      <c r="A10" s="122">
        <f t="shared" si="0"/>
        <v>8</v>
      </c>
      <c r="B10" s="122" t="s">
        <v>297</v>
      </c>
      <c r="C10" s="123" t="s">
        <v>245</v>
      </c>
      <c r="D10" s="124" t="s">
        <v>245</v>
      </c>
      <c r="E10" s="124" t="s">
        <v>339</v>
      </c>
      <c r="F10" s="124" t="s">
        <v>341</v>
      </c>
      <c r="G10" s="124"/>
      <c r="H10" s="124"/>
      <c r="I10" s="125" t="s">
        <v>309</v>
      </c>
      <c r="J10" s="126" t="s">
        <v>325</v>
      </c>
    </row>
    <row r="11" spans="1:10" s="122" customFormat="1" ht="26.5" customHeight="1" x14ac:dyDescent="0.2">
      <c r="A11" s="122">
        <f t="shared" si="0"/>
        <v>9</v>
      </c>
      <c r="B11" s="133" t="s">
        <v>298</v>
      </c>
      <c r="C11" s="123"/>
      <c r="D11" s="124" t="s">
        <v>245</v>
      </c>
      <c r="E11" s="124" t="s">
        <v>339</v>
      </c>
      <c r="F11" s="124" t="s">
        <v>334</v>
      </c>
      <c r="G11" s="124"/>
      <c r="H11" s="124"/>
      <c r="I11" s="125" t="s">
        <v>337</v>
      </c>
    </row>
    <row r="12" spans="1:10" s="122" customFormat="1" ht="23" customHeight="1" x14ac:dyDescent="0.2">
      <c r="A12" s="122">
        <f t="shared" si="0"/>
        <v>10</v>
      </c>
      <c r="B12" s="133" t="s">
        <v>237</v>
      </c>
      <c r="C12" s="123"/>
      <c r="D12" s="124" t="s">
        <v>245</v>
      </c>
      <c r="E12" s="124" t="s">
        <v>339</v>
      </c>
      <c r="F12" s="124" t="s">
        <v>334</v>
      </c>
      <c r="G12" s="124"/>
      <c r="H12" s="124"/>
      <c r="I12" s="125"/>
    </row>
    <row r="13" spans="1:10" s="122" customFormat="1" ht="23" customHeight="1" x14ac:dyDescent="0.2">
      <c r="A13" s="122">
        <f t="shared" si="0"/>
        <v>11</v>
      </c>
      <c r="B13" s="133" t="s">
        <v>299</v>
      </c>
      <c r="C13" s="123"/>
      <c r="D13" s="124" t="s">
        <v>245</v>
      </c>
      <c r="E13" s="124" t="s">
        <v>339</v>
      </c>
      <c r="F13" s="124" t="s">
        <v>334</v>
      </c>
      <c r="G13" s="124"/>
      <c r="H13" s="124"/>
      <c r="I13" s="125"/>
    </row>
    <row r="14" spans="1:10" ht="23" customHeight="1" x14ac:dyDescent="0.2">
      <c r="A14">
        <f t="shared" si="0"/>
        <v>12</v>
      </c>
      <c r="B14" s="79" t="s">
        <v>300</v>
      </c>
      <c r="D14" s="80" t="s">
        <v>245</v>
      </c>
      <c r="E14" s="124" t="s">
        <v>339</v>
      </c>
      <c r="F14" s="80" t="s">
        <v>334</v>
      </c>
      <c r="I14" s="119"/>
    </row>
    <row r="15" spans="1:10" ht="23" customHeight="1" x14ac:dyDescent="0.2">
      <c r="A15">
        <f t="shared" si="0"/>
        <v>13</v>
      </c>
      <c r="B15" s="79" t="s">
        <v>301</v>
      </c>
      <c r="D15" s="80" t="s">
        <v>245</v>
      </c>
      <c r="E15" s="124" t="s">
        <v>339</v>
      </c>
      <c r="F15" s="80" t="s">
        <v>334</v>
      </c>
      <c r="I15" s="119"/>
    </row>
    <row r="16" spans="1:10" ht="23" customHeight="1" x14ac:dyDescent="0.2">
      <c r="A16">
        <f t="shared" si="0"/>
        <v>14</v>
      </c>
      <c r="B16" s="79" t="s">
        <v>302</v>
      </c>
      <c r="D16" s="80" t="s">
        <v>245</v>
      </c>
      <c r="E16" s="124" t="s">
        <v>339</v>
      </c>
      <c r="F16" s="80" t="s">
        <v>334</v>
      </c>
      <c r="I16" s="119"/>
    </row>
    <row r="17" spans="1:10" ht="23" customHeight="1" x14ac:dyDescent="0.2">
      <c r="A17">
        <f t="shared" si="0"/>
        <v>15</v>
      </c>
      <c r="B17" s="79" t="s">
        <v>303</v>
      </c>
      <c r="D17" s="80" t="s">
        <v>245</v>
      </c>
      <c r="E17" s="124" t="s">
        <v>339</v>
      </c>
      <c r="F17" s="80" t="s">
        <v>334</v>
      </c>
      <c r="I17" s="119"/>
    </row>
    <row r="18" spans="1:10" ht="23" customHeight="1" x14ac:dyDescent="0.2">
      <c r="A18">
        <f t="shared" si="0"/>
        <v>16</v>
      </c>
      <c r="B18" t="s">
        <v>317</v>
      </c>
      <c r="C18" s="81" t="s">
        <v>245</v>
      </c>
      <c r="D18" s="80" t="s">
        <v>245</v>
      </c>
      <c r="F18" s="80" t="s">
        <v>311</v>
      </c>
      <c r="I18" s="119" t="s">
        <v>318</v>
      </c>
    </row>
    <row r="19" spans="1:10" ht="23" customHeight="1" x14ac:dyDescent="0.2">
      <c r="A19">
        <v>15</v>
      </c>
      <c r="B19" t="s">
        <v>290</v>
      </c>
      <c r="F19" s="80" t="s">
        <v>342</v>
      </c>
      <c r="I19" s="119"/>
    </row>
    <row r="20" spans="1:10" ht="23" customHeight="1" x14ac:dyDescent="0.2">
      <c r="A20">
        <v>16</v>
      </c>
      <c r="B20" t="s">
        <v>291</v>
      </c>
      <c r="F20" s="80" t="s">
        <v>342</v>
      </c>
      <c r="I20" s="119"/>
    </row>
    <row r="21" spans="1:10" ht="23" customHeight="1" x14ac:dyDescent="0.2">
      <c r="A21">
        <v>17</v>
      </c>
      <c r="B21" t="s">
        <v>304</v>
      </c>
      <c r="F21" s="80" t="s">
        <v>335</v>
      </c>
      <c r="I21" s="119"/>
      <c r="J21" s="121" t="s">
        <v>322</v>
      </c>
    </row>
    <row r="22" spans="1:10" ht="23" customHeight="1" x14ac:dyDescent="0.2">
      <c r="A22">
        <v>18</v>
      </c>
      <c r="B22" t="s">
        <v>344</v>
      </c>
      <c r="F22" s="80" t="s">
        <v>342</v>
      </c>
      <c r="I22" s="119"/>
      <c r="J22" s="121"/>
    </row>
    <row r="23" spans="1:10" ht="23" customHeight="1" x14ac:dyDescent="0.2">
      <c r="A23">
        <v>19</v>
      </c>
      <c r="B23" t="s">
        <v>305</v>
      </c>
      <c r="F23" s="80" t="s">
        <v>335</v>
      </c>
      <c r="J23" s="121" t="s">
        <v>321</v>
      </c>
    </row>
    <row r="24" spans="1:10" ht="23" customHeight="1" x14ac:dyDescent="0.2">
      <c r="A24">
        <v>20</v>
      </c>
      <c r="B24" t="s">
        <v>323</v>
      </c>
      <c r="F24" s="80" t="s">
        <v>343</v>
      </c>
      <c r="J24" s="121" t="s">
        <v>324</v>
      </c>
    </row>
  </sheetData>
  <hyperlinks>
    <hyperlink ref="J23" r:id="rId1" xr:uid="{451FF6A2-F57F-4A14-AC21-FD49E35CEDDB}"/>
    <hyperlink ref="J21" r:id="rId2" display="../../../../../../:f:/r/sites/TOCES/Shared Documents/AI work/Use Case 2. Benefit Quoting/Benefit Quoting - Process Documentation/Researching Allowed Amounts?csf=1&amp;web=1&amp;e=SGSgJq" xr:uid="{0DA26445-FE16-4EC8-A6CF-BCF65E865342}"/>
    <hyperlink ref="J24" r:id="rId3" display="../../../../../../:f:/r/sites/TOCES/Shared Documents/AI work/Use Case 2. Benefit Quoting/Benefit Quoting - Process Documentation/Researching Prior Authorization Requirements?csf=1&amp;web=1&amp;e=dphZQK" xr:uid="{853F9C7A-4021-4ABC-9252-2D6A49D8746A}"/>
    <hyperlink ref="J10" r:id="rId4" display="../../../../../../:u:/r/sites/TOCES/Shared Documents/AI work/Use Case 2. Benefit Quoting/MVP2/Customer Experience - Quoting Pharmacy Prescription Benefits.url?csf=1&amp;web=1&amp;e=gNibkJ" xr:uid="{06E4DF63-B258-4491-8A52-92BC0EF082A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7CB28-13EB-449F-B94C-EB5CEF13EE6F}">
  <dimension ref="B2:R78"/>
  <sheetViews>
    <sheetView topLeftCell="A42" zoomScaleNormal="100" workbookViewId="0">
      <selection activeCell="I74" sqref="I74"/>
    </sheetView>
  </sheetViews>
  <sheetFormatPr baseColWidth="10" defaultColWidth="8.83203125" defaultRowHeight="15" x14ac:dyDescent="0.2"/>
  <cols>
    <col min="3" max="3" width="22.6640625" customWidth="1"/>
    <col min="4" max="4" width="61.83203125" customWidth="1"/>
    <col min="17" max="17" width="24.5" customWidth="1"/>
  </cols>
  <sheetData>
    <row r="2" spans="2:2" x14ac:dyDescent="0.2">
      <c r="B2" t="e" vm="1">
        <v>#VALUE!</v>
      </c>
    </row>
    <row r="46" spans="3:17" x14ac:dyDescent="0.2">
      <c r="C46" t="s">
        <v>102</v>
      </c>
      <c r="Q46" t="s">
        <v>103</v>
      </c>
    </row>
    <row r="47" spans="3:17" x14ac:dyDescent="0.2">
      <c r="C47" t="s">
        <v>104</v>
      </c>
      <c r="D47" t="s">
        <v>105</v>
      </c>
      <c r="Q47" t="s">
        <v>106</v>
      </c>
    </row>
    <row r="48" spans="3:17" x14ac:dyDescent="0.2">
      <c r="D48" t="s">
        <v>107</v>
      </c>
      <c r="Q48" t="s">
        <v>108</v>
      </c>
    </row>
    <row r="49" spans="3:18" x14ac:dyDescent="0.2">
      <c r="D49" t="s">
        <v>109</v>
      </c>
      <c r="Q49" t="s">
        <v>110</v>
      </c>
    </row>
    <row r="50" spans="3:18" x14ac:dyDescent="0.2">
      <c r="D50" t="s">
        <v>111</v>
      </c>
      <c r="Q50" t="s">
        <v>112</v>
      </c>
    </row>
    <row r="51" spans="3:18" x14ac:dyDescent="0.2">
      <c r="C51" t="s">
        <v>113</v>
      </c>
      <c r="D51" t="s">
        <v>114</v>
      </c>
      <c r="Q51" t="s">
        <v>115</v>
      </c>
    </row>
    <row r="52" spans="3:18" x14ac:dyDescent="0.2">
      <c r="D52" t="s">
        <v>116</v>
      </c>
      <c r="Q52" t="s">
        <v>117</v>
      </c>
    </row>
    <row r="53" spans="3:18" x14ac:dyDescent="0.2">
      <c r="D53" t="s">
        <v>118</v>
      </c>
      <c r="R53" t="s">
        <v>119</v>
      </c>
    </row>
    <row r="54" spans="3:18" x14ac:dyDescent="0.2">
      <c r="D54" t="s">
        <v>120</v>
      </c>
      <c r="R54" t="s">
        <v>121</v>
      </c>
    </row>
    <row r="55" spans="3:18" x14ac:dyDescent="0.2">
      <c r="D55" t="s">
        <v>122</v>
      </c>
      <c r="R55" t="s">
        <v>123</v>
      </c>
    </row>
    <row r="56" spans="3:18" x14ac:dyDescent="0.2">
      <c r="D56" t="s">
        <v>124</v>
      </c>
    </row>
    <row r="57" spans="3:18" x14ac:dyDescent="0.2">
      <c r="D57" t="s">
        <v>125</v>
      </c>
    </row>
    <row r="58" spans="3:18" x14ac:dyDescent="0.2">
      <c r="C58" t="s">
        <v>126</v>
      </c>
      <c r="D58" t="s">
        <v>127</v>
      </c>
    </row>
    <row r="59" spans="3:18" x14ac:dyDescent="0.2">
      <c r="D59" t="s">
        <v>128</v>
      </c>
    </row>
    <row r="60" spans="3:18" x14ac:dyDescent="0.2">
      <c r="D60" t="s">
        <v>129</v>
      </c>
    </row>
    <row r="61" spans="3:18" x14ac:dyDescent="0.2">
      <c r="D61" t="s">
        <v>130</v>
      </c>
    </row>
    <row r="62" spans="3:18" x14ac:dyDescent="0.2">
      <c r="D62" t="s">
        <v>131</v>
      </c>
    </row>
    <row r="63" spans="3:18" x14ac:dyDescent="0.2">
      <c r="D63" t="s">
        <v>132</v>
      </c>
    </row>
    <row r="64" spans="3:18" ht="15.75" customHeight="1" x14ac:dyDescent="0.2">
      <c r="C64" t="s">
        <v>133</v>
      </c>
      <c r="D64" t="s">
        <v>134</v>
      </c>
    </row>
    <row r="65" spans="3:4" x14ac:dyDescent="0.2">
      <c r="D65" t="s">
        <v>135</v>
      </c>
    </row>
    <row r="66" spans="3:4" x14ac:dyDescent="0.2">
      <c r="D66" t="s">
        <v>136</v>
      </c>
    </row>
    <row r="67" spans="3:4" x14ac:dyDescent="0.2">
      <c r="D67" t="s">
        <v>137</v>
      </c>
    </row>
    <row r="68" spans="3:4" x14ac:dyDescent="0.2">
      <c r="D68" t="s">
        <v>138</v>
      </c>
    </row>
    <row r="69" spans="3:4" x14ac:dyDescent="0.2">
      <c r="D69" t="s">
        <v>139</v>
      </c>
    </row>
    <row r="70" spans="3:4" x14ac:dyDescent="0.2">
      <c r="C70" t="s">
        <v>140</v>
      </c>
      <c r="D70" t="s">
        <v>141</v>
      </c>
    </row>
    <row r="71" spans="3:4" x14ac:dyDescent="0.2">
      <c r="D71" t="s">
        <v>142</v>
      </c>
    </row>
    <row r="72" spans="3:4" x14ac:dyDescent="0.2">
      <c r="D72" t="s">
        <v>143</v>
      </c>
    </row>
    <row r="73" spans="3:4" x14ac:dyDescent="0.2">
      <c r="D73" t="s">
        <v>144</v>
      </c>
    </row>
    <row r="74" spans="3:4" x14ac:dyDescent="0.2">
      <c r="D74" t="s">
        <v>145</v>
      </c>
    </row>
    <row r="75" spans="3:4" x14ac:dyDescent="0.2">
      <c r="D75" t="s">
        <v>146</v>
      </c>
    </row>
    <row r="76" spans="3:4" x14ac:dyDescent="0.2">
      <c r="C76" t="s">
        <v>66</v>
      </c>
      <c r="D76" t="s">
        <v>147</v>
      </c>
    </row>
    <row r="77" spans="3:4" x14ac:dyDescent="0.2">
      <c r="D77" t="s">
        <v>148</v>
      </c>
    </row>
    <row r="78" spans="3:4" x14ac:dyDescent="0.2">
      <c r="D78" t="s">
        <v>149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92431232209F4F8BFDB601B433C69A" ma:contentTypeVersion="13" ma:contentTypeDescription="Create a new document." ma:contentTypeScope="" ma:versionID="a6c801ba1aafb238f37d735fb847c026">
  <xsd:schema xmlns:xsd="http://www.w3.org/2001/XMLSchema" xmlns:xs="http://www.w3.org/2001/XMLSchema" xmlns:p="http://schemas.microsoft.com/office/2006/metadata/properties" xmlns:ns2="479ba6d9-c359-4e4d-b3a6-ade2680484b5" xmlns:ns3="6f3ddeab-cfda-45e9-9dd5-fc00842ae8d4" targetNamespace="http://schemas.microsoft.com/office/2006/metadata/properties" ma:root="true" ma:fieldsID="64f9e586f7bcc43a6cea7ef46ae1122c" ns2:_="" ns3:_="">
    <xsd:import namespace="479ba6d9-c359-4e4d-b3a6-ade2680484b5"/>
    <xsd:import namespace="6f3ddeab-cfda-45e9-9dd5-fc00842ae8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9ba6d9-c359-4e4d-b3a6-ade2680484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17d4224-802a-4f39-af5d-1b2d989a72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3ddeab-cfda-45e9-9dd5-fc00842ae8d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c4c8ef1-d530-491d-8a3e-6b4042d15601}" ma:internalName="TaxCatchAll" ma:showField="CatchAllData" ma:web="6f3ddeab-cfda-45e9-9dd5-fc00842ae8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3ddeab-cfda-45e9-9dd5-fc00842ae8d4" xsi:nil="true"/>
    <lcf76f155ced4ddcb4097134ff3c332f xmlns="479ba6d9-c359-4e4d-b3a6-ade2680484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DF1717-CC52-48D4-B898-4007A07369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C0F207-DAE6-45C3-A80D-C9B76DCCBF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9ba6d9-c359-4e4d-b3a6-ade2680484b5"/>
    <ds:schemaRef ds:uri="6f3ddeab-cfda-45e9-9dd5-fc00842ae8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3A12A6-8E32-4F33-8014-FC6FDED0AC3F}">
  <ds:schemaRefs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6f3ddeab-cfda-45e9-9dd5-fc00842ae8d4"/>
    <ds:schemaRef ds:uri="http://schemas.openxmlformats.org/package/2006/metadata/core-properties"/>
    <ds:schemaRef ds:uri="http://www.w3.org/XML/1998/namespace"/>
    <ds:schemaRef ds:uri="479ba6d9-c359-4e4d-b3a6-ade2680484b5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RACI</vt:lpstr>
      <vt:lpstr>High Level Milestones_KD</vt:lpstr>
      <vt:lpstr>Generic Lifecycle</vt:lpstr>
      <vt:lpstr>Projects</vt:lpstr>
      <vt:lpstr>accenture</vt:lpstr>
    </vt:vector>
  </TitlesOfParts>
  <Manager/>
  <Company>Blue Shield of California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Dab, Deborah</dc:creator>
  <cp:keywords/>
  <dc:description/>
  <cp:lastModifiedBy>Jackson, Jason</cp:lastModifiedBy>
  <cp:revision/>
  <dcterms:created xsi:type="dcterms:W3CDTF">2026-02-25T20:44:02Z</dcterms:created>
  <dcterms:modified xsi:type="dcterms:W3CDTF">2026-03-06T20:59:48Z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0x0101008992431232209F4F8BFDB601B433C69A</vt:lpwstr>
  </property>
  <property fmtid="{D5CDD505-2E9C-101B-9397-08002B2CF9AE}" pid="3" name="MediaServiceImageTags">
    <vt:lpwstr/>
  </property>
</Properties>
</file>