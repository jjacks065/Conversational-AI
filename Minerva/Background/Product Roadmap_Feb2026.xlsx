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jjacks20/jjacks/Minerva/Background/"/>
    </mc:Choice>
  </mc:AlternateContent>
  <xr:revisionPtr revIDLastSave="0" documentId="8_{11954E73-CB95-014A-99A3-F0DB9041ADB4}" xr6:coauthVersionLast="47" xr6:coauthVersionMax="47" xr10:uidLastSave="{00000000-0000-0000-0000-000000000000}"/>
  <bookViews>
    <workbookView xWindow="39740" yWindow="380" windowWidth="40880" windowHeight="22040" xr2:uid="{573D7C79-ADE3-4313-8CED-8C78A8C64F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 r="E35" i="1" s="1"/>
</calcChain>
</file>

<file path=xl/sharedStrings.xml><?xml version="1.0" encoding="utf-8"?>
<sst xmlns="http://schemas.openxmlformats.org/spreadsheetml/2006/main" count="73" uniqueCount="58">
  <si>
    <t>Phase</t>
  </si>
  <si>
    <t>Go Live Date</t>
  </si>
  <si>
    <t>Products/Membership</t>
  </si>
  <si>
    <t>Features</t>
  </si>
  <si>
    <t>Channel</t>
  </si>
  <si>
    <t>Proof of Concept</t>
  </si>
  <si>
    <t>Minimal Viable Product</t>
  </si>
  <si>
    <t>Product Enhancements (Phase 2)</t>
  </si>
  <si>
    <t>Product Enhancements (Phase 3)</t>
  </si>
  <si>
    <t>Customer Service Quality Assurance Team</t>
  </si>
  <si>
    <t>Customer Service Representatives (Member, Provider, Broker/Employer)</t>
  </si>
  <si>
    <t>Customer Service Representatives (Member, Provider)</t>
  </si>
  <si>
    <t>136 IFP &amp; Small Group Products</t>
  </si>
  <si>
    <t>240 IFP and Small Group Products 
(90% of IFP &amp; SG)
2500 Mid-Market &amp; Premier Products
(90% of Large Group)</t>
  </si>
  <si>
    <r>
      <t>Blue Shield Bronze 60 HDHP PPO</t>
    </r>
    <r>
      <rPr>
        <sz val="16"/>
        <rFont val="Arial"/>
        <family val="2"/>
      </rPr>
      <t>​</t>
    </r>
  </si>
  <si>
    <r>
      <t>Blue Shield Gold 80 Trio HMO</t>
    </r>
    <r>
      <rPr>
        <sz val="16"/>
        <rFont val="Arial"/>
        <family val="2"/>
      </rPr>
      <t>​</t>
    </r>
  </si>
  <si>
    <r>
      <t>Blue Shield Silver 70 Off-Exchange Trio HMO</t>
    </r>
    <r>
      <rPr>
        <sz val="16"/>
        <rFont val="Arial"/>
        <family val="2"/>
      </rPr>
      <t>​</t>
    </r>
  </si>
  <si>
    <t>3 IFP Products
(8% of membership)</t>
  </si>
  <si>
    <t>Data Aspects</t>
  </si>
  <si>
    <t>Plan Year / Annual Changes
No PHI</t>
  </si>
  <si>
    <t xml:space="preserve">Full Product </t>
  </si>
  <si>
    <t>Product Enhancements (Phase 4)</t>
  </si>
  <si>
    <t>240 IFP and Small Group Products 
(90% of IFP &amp; SG)
1500 Mid-Market &amp; Premier Fully Insured Portfolio Products 
(16% of Large Group)
Includes Virtual Blue Plans</t>
  </si>
  <si>
    <t>Responses based on product Evidence of Coverage agreements</t>
  </si>
  <si>
    <t>Responses based on product Evidence of Coverage agreements and formularies</t>
  </si>
  <si>
    <t xml:space="preserve">Responses personalized based on member-specific information and product EOC and formularies </t>
  </si>
  <si>
    <t>Responses about benefit coverage against the EOC</t>
  </si>
  <si>
    <t>Responses about benefit coverage against the EOC and drug coverage against the formulary</t>
  </si>
  <si>
    <t xml:space="preserve">Plan Year / Annual Changes
No PHI
</t>
  </si>
  <si>
    <t>Responses personalized based on member-specific data and provider-specific data</t>
  </si>
  <si>
    <t>Real-time data accumulator
Real-time data facets
Real-time AuthAccel
Provider Data/Fee Schedules Allowed Amounts
PHI</t>
  </si>
  <si>
    <t>Self-service in the IVR and in Digital</t>
  </si>
  <si>
    <t>241 IFP and Small Group Products 
(90% of IFP &amp; SG)
2500 Mid-Market &amp; Premier Products
(90% of Large Group)</t>
  </si>
  <si>
    <t>Problem being solved</t>
  </si>
  <si>
    <t>Human performance is time consuming and underperforming on accuracy</t>
  </si>
  <si>
    <t>Q4 2026</t>
  </si>
  <si>
    <t>Q2 2027</t>
  </si>
  <si>
    <t>Enable customers to understand cost and coverage information without talking to a live human agent, but being able to be connected to one as requested</t>
  </si>
  <si>
    <t xml:space="preserve">Members struggle to understand coverage or what to expect when a claim comes through for a procedure or service or doctor appointment
Human customer service reps must handle complexity of connecting the name of a procedure with all related benefits and sites of service, and summarizing accurately </t>
  </si>
  <si>
    <t>Value Levers</t>
  </si>
  <si>
    <t>Proof of Tech</t>
  </si>
  <si>
    <t>2 minutes of handle time reduction across 1 in every 3 benefit calls
&gt;95% accuracy (up from high 80s)</t>
  </si>
  <si>
    <t>2 minutes of handle time reduction across 1 in every 3 benefit calls (possibly higher penetration, data will inform)
&gt;95% accuracy (up from high 80s)</t>
  </si>
  <si>
    <t>TBD higher penetration and longer handle time reduction for benefit and eligibility calls
higher penetration and longer handle time reduction for drug coverage inquiries to Pharm Techs and to Customer Experience
&gt;95% accuracy</t>
  </si>
  <si>
    <t>2 minutes of handle time reduction across 1 in every 3 benefit calls (possibly higher penetration, data will inform)
Handle time reduction or reduction in handoffs to Pharamcy Call Center across Drug Coverage inquiries
Potential reduction in other call categories if expectations set appropriately prior to a claim
&gt;95% accuracy (up from high 80s)</t>
  </si>
  <si>
    <t>Call Containment or significant handle time reduction through self-service for benefit and eligibility calls, drug coverage-related calls, and possible claims-related calls, appeals
Member experience improvements</t>
  </si>
  <si>
    <t>Cost</t>
  </si>
  <si>
    <t>DRAFT</t>
  </si>
  <si>
    <t>Do we combine these? I just don’t know timetable yet wth complexity of plans</t>
  </si>
  <si>
    <t>$25K for CE</t>
  </si>
  <si>
    <t>$100K for CE</t>
  </si>
  <si>
    <t>Cumulative Benefit</t>
  </si>
  <si>
    <t>$10,000,000??</t>
  </si>
  <si>
    <t xml:space="preserve">Proof of Concept </t>
  </si>
  <si>
    <t>MVP - Static Data</t>
  </si>
  <si>
    <t>Enhancing Static Coverage Data</t>
  </si>
  <si>
    <t>Adding dynamic coverage data</t>
  </si>
  <si>
    <t xml:space="preserve">Enabling self-service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</si>
</sst>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7" x14ac:knownFonts="1">
    <font>
      <sz val="11"/>
      <color theme="1"/>
      <name val="Aptos Narrow"/>
      <family val="2"/>
      <scheme val="minor"/>
    </font>
    <font>
      <b/>
      <sz val="11"/>
      <color theme="1"/>
      <name val="Aptos Narrow"/>
      <family val="2"/>
      <scheme val="minor"/>
    </font>
    <font>
      <sz val="16"/>
      <color rgb="FF000000"/>
      <name val="Arial"/>
      <family val="2"/>
    </font>
    <font>
      <sz val="16"/>
      <name val="Arial"/>
      <family val="2"/>
    </font>
    <font>
      <sz val="10"/>
      <color rgb="FF000000"/>
      <name val="Century Gothic"/>
      <family val="2"/>
    </font>
    <font>
      <b/>
      <sz val="10"/>
      <color rgb="FF000000"/>
      <name val="Century Gothic"/>
      <family val="2"/>
    </font>
    <font>
      <sz val="8"/>
      <name val="Aptos Narrow"/>
      <family val="2"/>
      <scheme val="minor"/>
    </font>
  </fonts>
  <fills count="6">
    <fill>
      <patternFill patternType="none"/>
    </fill>
    <fill>
      <patternFill patternType="gray125"/>
    </fill>
    <fill>
      <patternFill patternType="solid">
        <fgColor rgb="FFFFFFFF"/>
        <bgColor rgb="FF000000"/>
      </patternFill>
    </fill>
    <fill>
      <patternFill patternType="solid">
        <fgColor rgb="FFFFFF00"/>
        <bgColor rgb="FF000000"/>
      </patternFill>
    </fill>
    <fill>
      <patternFill patternType="solid">
        <fgColor rgb="FFFCE4D6"/>
        <bgColor rgb="FF000000"/>
      </patternFill>
    </fill>
    <fill>
      <patternFill patternType="solid">
        <fgColor theme="6" tint="0.79998168889431442"/>
        <bgColor indexed="64"/>
      </patternFill>
    </fill>
  </fills>
  <borders count="4">
    <border>
      <left/>
      <right/>
      <top/>
      <bottom/>
      <diagonal/>
    </border>
    <border>
      <left/>
      <right style="thin">
        <color indexed="64"/>
      </right>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vertical="top"/>
    </xf>
    <xf numFmtId="0" fontId="2" fillId="0" borderId="0" xfId="0" applyFont="1" applyAlignment="1">
      <alignment horizontal="left" vertical="center" wrapText="1"/>
    </xf>
    <xf numFmtId="3" fontId="0" fillId="0" borderId="0" xfId="0" applyNumberFormat="1"/>
    <xf numFmtId="3" fontId="4" fillId="2" borderId="0" xfId="0" applyNumberFormat="1" applyFont="1" applyFill="1"/>
    <xf numFmtId="3" fontId="4" fillId="2" borderId="1" xfId="0" applyNumberFormat="1" applyFont="1" applyFill="1" applyBorder="1"/>
    <xf numFmtId="3" fontId="5" fillId="3" borderId="2" xfId="0" applyNumberFormat="1" applyFont="1" applyFill="1" applyBorder="1"/>
    <xf numFmtId="3" fontId="5" fillId="4" borderId="2" xfId="0" applyNumberFormat="1" applyFont="1" applyFill="1" applyBorder="1"/>
    <xf numFmtId="0" fontId="0" fillId="0" borderId="3" xfId="0" applyBorder="1" applyAlignment="1">
      <alignment vertical="top" wrapText="1"/>
    </xf>
    <xf numFmtId="0" fontId="0" fillId="0" borderId="3" xfId="0" applyBorder="1" applyAlignment="1">
      <alignment vertical="top"/>
    </xf>
    <xf numFmtId="0" fontId="0" fillId="0" borderId="3" xfId="0" applyBorder="1" applyAlignment="1">
      <alignment horizontal="left" vertical="top" wrapText="1"/>
    </xf>
    <xf numFmtId="0" fontId="1" fillId="0" borderId="0" xfId="0" applyFont="1"/>
    <xf numFmtId="6" fontId="0" fillId="0" borderId="0" xfId="0" applyNumberFormat="1"/>
    <xf numFmtId="0" fontId="0" fillId="5" borderId="0" xfId="0" applyFill="1"/>
    <xf numFmtId="6" fontId="0" fillId="5" borderId="0" xfId="0" applyNumberFormat="1" applyFill="1"/>
    <xf numFmtId="0" fontId="0" fillId="5" borderId="3" xfId="0" applyFill="1" applyBorder="1" applyAlignment="1">
      <alignment vertical="top" wrapText="1"/>
    </xf>
    <xf numFmtId="0" fontId="0" fillId="5" borderId="3" xfId="0" applyFill="1" applyBorder="1" applyAlignment="1">
      <alignment vertical="top"/>
    </xf>
    <xf numFmtId="17" fontId="0" fillId="5" borderId="3" xfId="0" applyNumberFormat="1" applyFill="1" applyBorder="1" applyAlignment="1">
      <alignment vertical="top"/>
    </xf>
    <xf numFmtId="17" fontId="0" fillId="5" borderId="3" xfId="0" applyNumberFormat="1" applyFill="1" applyBorder="1" applyAlignment="1">
      <alignment horizontal="right" vertical="top"/>
    </xf>
    <xf numFmtId="0" fontId="1" fillId="0" borderId="0" xfId="0" applyFont="1" applyAlignment="1">
      <alignment vertical="top" wrapText="1"/>
    </xf>
    <xf numFmtId="0" fontId="1" fillId="5" borderId="3" xfId="0" applyFont="1" applyFill="1" applyBorder="1" applyAlignment="1">
      <alignment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282575</xdr:colOff>
      <xdr:row>15</xdr:row>
      <xdr:rowOff>101600</xdr:rowOff>
    </xdr:from>
    <xdr:to>
      <xdr:col>6</xdr:col>
      <xdr:colOff>2344128</xdr:colOff>
      <xdr:row>28</xdr:row>
      <xdr:rowOff>132921</xdr:rowOff>
    </xdr:to>
    <xdr:pic>
      <xdr:nvPicPr>
        <xdr:cNvPr id="2" name="Picture 1">
          <a:extLst>
            <a:ext uri="{FF2B5EF4-FFF2-40B4-BE49-F238E27FC236}">
              <a16:creationId xmlns:a16="http://schemas.microsoft.com/office/drawing/2014/main" id="{5372FF65-A8DF-F283-D0DB-AED7FE066666}"/>
            </a:ext>
          </a:extLst>
        </xdr:cNvPr>
        <xdr:cNvPicPr>
          <a:picLocks noChangeAspect="1"/>
        </xdr:cNvPicPr>
      </xdr:nvPicPr>
      <xdr:blipFill>
        <a:blip xmlns:r="http://schemas.openxmlformats.org/officeDocument/2006/relationships" r:embed="rId1"/>
        <a:stretch>
          <a:fillRect/>
        </a:stretch>
      </xdr:blipFill>
      <xdr:spPr>
        <a:xfrm>
          <a:off x="2282825" y="2635250"/>
          <a:ext cx="11278578" cy="2383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9FA98-F83E-4F7F-8A12-B032776926BA}">
  <dimension ref="A1:J38"/>
  <sheetViews>
    <sheetView tabSelected="1" workbookViewId="0">
      <selection activeCell="D8" sqref="D8"/>
    </sheetView>
  </sheetViews>
  <sheetFormatPr baseColWidth="10" defaultColWidth="8.83203125" defaultRowHeight="15" x14ac:dyDescent="0.2"/>
  <cols>
    <col min="2" max="2" width="19.83203125" bestFit="1" customWidth="1"/>
    <col min="3" max="3" width="25.83203125" customWidth="1"/>
    <col min="4" max="4" width="37.6640625" customWidth="1"/>
    <col min="5" max="5" width="35.5" customWidth="1"/>
    <col min="6" max="6" width="33.1640625" customWidth="1"/>
    <col min="7" max="7" width="42.5" customWidth="1"/>
    <col min="8" max="8" width="36.6640625" customWidth="1"/>
  </cols>
  <sheetData>
    <row r="1" spans="1:10" x14ac:dyDescent="0.2">
      <c r="A1" s="13" t="s">
        <v>47</v>
      </c>
    </row>
    <row r="2" spans="1:10" x14ac:dyDescent="0.2">
      <c r="E2" t="s">
        <v>48</v>
      </c>
      <c r="F2" t="s">
        <v>49</v>
      </c>
      <c r="G2" t="s">
        <v>50</v>
      </c>
    </row>
    <row r="3" spans="1:10" x14ac:dyDescent="0.2">
      <c r="B3" t="s">
        <v>46</v>
      </c>
      <c r="C3" s="14">
        <v>350000</v>
      </c>
      <c r="D3" s="14">
        <v>325000</v>
      </c>
      <c r="E3" s="14"/>
      <c r="F3" s="14">
        <v>325000</v>
      </c>
      <c r="G3" s="14">
        <v>1000000</v>
      </c>
    </row>
    <row r="4" spans="1:10" x14ac:dyDescent="0.2">
      <c r="B4" s="15" t="s">
        <v>51</v>
      </c>
      <c r="C4" s="16">
        <v>1</v>
      </c>
      <c r="D4" s="16">
        <v>270000</v>
      </c>
      <c r="E4" s="16"/>
      <c r="F4" s="16">
        <v>1000000</v>
      </c>
      <c r="G4" s="16">
        <v>3500000</v>
      </c>
      <c r="H4" s="15" t="s">
        <v>52</v>
      </c>
    </row>
    <row r="5" spans="1:10" s="2" customFormat="1" ht="16" x14ac:dyDescent="0.2">
      <c r="A5" s="1"/>
      <c r="B5" s="17" t="s">
        <v>0</v>
      </c>
      <c r="C5" s="17" t="s">
        <v>5</v>
      </c>
      <c r="D5" s="17" t="s">
        <v>6</v>
      </c>
      <c r="E5" s="17" t="s">
        <v>7</v>
      </c>
      <c r="F5" s="17" t="s">
        <v>8</v>
      </c>
      <c r="G5" s="17" t="s">
        <v>21</v>
      </c>
      <c r="H5" s="17" t="s">
        <v>20</v>
      </c>
      <c r="I5" s="1"/>
      <c r="J5" s="1"/>
    </row>
    <row r="6" spans="1:10" s="23" customFormat="1" ht="16" x14ac:dyDescent="0.2">
      <c r="A6" s="21"/>
      <c r="B6" s="22"/>
      <c r="C6" s="22" t="s">
        <v>53</v>
      </c>
      <c r="D6" s="22" t="s">
        <v>54</v>
      </c>
      <c r="E6" s="22" t="s">
        <v>55</v>
      </c>
      <c r="F6" s="22" t="s">
        <v>55</v>
      </c>
      <c r="G6" s="22" t="s">
        <v>56</v>
      </c>
      <c r="H6" s="22" t="s">
        <v>57</v>
      </c>
      <c r="I6" s="21"/>
      <c r="J6" s="21"/>
    </row>
    <row r="7" spans="1:10" x14ac:dyDescent="0.2">
      <c r="A7" s="3"/>
      <c r="B7" s="18" t="s">
        <v>1</v>
      </c>
      <c r="C7" s="19">
        <v>45809</v>
      </c>
      <c r="D7" s="19">
        <v>46113</v>
      </c>
      <c r="E7" s="19">
        <v>46204</v>
      </c>
      <c r="F7" s="19">
        <v>46266</v>
      </c>
      <c r="G7" s="20" t="s">
        <v>35</v>
      </c>
      <c r="H7" s="20" t="s">
        <v>36</v>
      </c>
      <c r="I7" s="3"/>
      <c r="J7" s="3"/>
    </row>
    <row r="8" spans="1:10" ht="126" customHeight="1" x14ac:dyDescent="0.2">
      <c r="A8" s="3"/>
      <c r="B8" s="11" t="s">
        <v>2</v>
      </c>
      <c r="C8" s="10" t="s">
        <v>17</v>
      </c>
      <c r="D8" s="11" t="s">
        <v>12</v>
      </c>
      <c r="E8" s="10" t="s">
        <v>22</v>
      </c>
      <c r="F8" s="12" t="s">
        <v>13</v>
      </c>
      <c r="G8" s="12" t="s">
        <v>13</v>
      </c>
      <c r="H8" s="12" t="s">
        <v>32</v>
      </c>
      <c r="I8" s="3"/>
      <c r="J8" s="3"/>
    </row>
    <row r="9" spans="1:10" ht="67.5" customHeight="1" x14ac:dyDescent="0.2">
      <c r="A9" s="3"/>
      <c r="B9" s="11" t="s">
        <v>3</v>
      </c>
      <c r="C9" s="10" t="s">
        <v>26</v>
      </c>
      <c r="D9" s="10" t="s">
        <v>26</v>
      </c>
      <c r="E9" s="10" t="s">
        <v>27</v>
      </c>
      <c r="F9" s="10" t="s">
        <v>27</v>
      </c>
      <c r="G9" s="10" t="s">
        <v>29</v>
      </c>
      <c r="H9" s="10" t="s">
        <v>29</v>
      </c>
      <c r="I9" s="3"/>
      <c r="J9" s="3"/>
    </row>
    <row r="10" spans="1:10" ht="80" x14ac:dyDescent="0.2">
      <c r="A10" s="3"/>
      <c r="B10" s="11" t="s">
        <v>18</v>
      </c>
      <c r="C10" s="10" t="s">
        <v>19</v>
      </c>
      <c r="D10" s="10" t="s">
        <v>19</v>
      </c>
      <c r="E10" s="10" t="s">
        <v>19</v>
      </c>
      <c r="F10" s="10" t="s">
        <v>28</v>
      </c>
      <c r="G10" s="10" t="s">
        <v>30</v>
      </c>
      <c r="H10" s="10" t="s">
        <v>30</v>
      </c>
      <c r="I10" s="3"/>
      <c r="J10" s="3"/>
    </row>
    <row r="11" spans="1:10" s="2" customFormat="1" ht="32" x14ac:dyDescent="0.2">
      <c r="A11" s="1"/>
      <c r="B11" s="10" t="s">
        <v>4</v>
      </c>
      <c r="C11" s="10" t="s">
        <v>9</v>
      </c>
      <c r="D11" s="10" t="s">
        <v>11</v>
      </c>
      <c r="E11" s="10" t="s">
        <v>10</v>
      </c>
      <c r="F11" s="10" t="s">
        <v>10</v>
      </c>
      <c r="G11" s="10" t="s">
        <v>10</v>
      </c>
      <c r="H11" s="10" t="s">
        <v>31</v>
      </c>
      <c r="I11" s="1"/>
      <c r="J11" s="1"/>
    </row>
    <row r="12" spans="1:10" s="2" customFormat="1" ht="144" x14ac:dyDescent="0.2">
      <c r="A12" s="1"/>
      <c r="B12" s="10" t="s">
        <v>33</v>
      </c>
      <c r="C12" s="10" t="s">
        <v>34</v>
      </c>
      <c r="D12" s="10" t="s">
        <v>38</v>
      </c>
      <c r="E12" s="10" t="s">
        <v>38</v>
      </c>
      <c r="F12" s="10" t="s">
        <v>38</v>
      </c>
      <c r="G12" s="10"/>
      <c r="H12" s="10" t="s">
        <v>37</v>
      </c>
      <c r="I12" s="1"/>
      <c r="J12" s="1"/>
    </row>
    <row r="13" spans="1:10" s="2" customFormat="1" ht="208" x14ac:dyDescent="0.2">
      <c r="A13" s="1"/>
      <c r="B13" s="10" t="s">
        <v>39</v>
      </c>
      <c r="C13" s="10" t="s">
        <v>40</v>
      </c>
      <c r="D13" s="10" t="s">
        <v>41</v>
      </c>
      <c r="E13" s="10" t="s">
        <v>42</v>
      </c>
      <c r="F13" s="10" t="s">
        <v>44</v>
      </c>
      <c r="G13" s="10" t="s">
        <v>43</v>
      </c>
      <c r="H13" s="10" t="s">
        <v>45</v>
      </c>
      <c r="I13" s="1"/>
      <c r="J13" s="1"/>
    </row>
    <row r="14" spans="1:10" x14ac:dyDescent="0.2">
      <c r="A14" s="3"/>
      <c r="B14" s="3"/>
      <c r="C14" s="3"/>
      <c r="D14" s="3"/>
      <c r="E14" s="3"/>
      <c r="F14" s="3"/>
      <c r="G14" s="3"/>
      <c r="H14" s="3"/>
      <c r="I14" s="3"/>
      <c r="J14" s="3"/>
    </row>
    <row r="15" spans="1:10" ht="48" x14ac:dyDescent="0.2">
      <c r="A15" s="3"/>
      <c r="B15" s="3" t="s">
        <v>3</v>
      </c>
      <c r="C15" s="1" t="s">
        <v>23</v>
      </c>
      <c r="D15" s="1" t="s">
        <v>23</v>
      </c>
      <c r="E15" s="1" t="s">
        <v>24</v>
      </c>
      <c r="F15" s="1" t="s">
        <v>24</v>
      </c>
      <c r="G15" s="1" t="s">
        <v>25</v>
      </c>
      <c r="H15" s="3"/>
      <c r="I15" s="3"/>
      <c r="J15" s="3"/>
    </row>
    <row r="32" spans="3:4" ht="42" x14ac:dyDescent="0.2">
      <c r="C32" s="4" t="s">
        <v>14</v>
      </c>
      <c r="D32" s="6">
        <v>23763</v>
      </c>
    </row>
    <row r="33" spans="3:5" ht="42" x14ac:dyDescent="0.2">
      <c r="C33" s="4" t="s">
        <v>15</v>
      </c>
      <c r="D33" s="6">
        <v>15241</v>
      </c>
    </row>
    <row r="34" spans="3:5" ht="63" x14ac:dyDescent="0.2">
      <c r="C34" s="4" t="s">
        <v>16</v>
      </c>
      <c r="D34" s="7">
        <v>14251</v>
      </c>
    </row>
    <row r="35" spans="3:5" x14ac:dyDescent="0.2">
      <c r="D35" s="5">
        <f>SUM(D32:D34)</f>
        <v>53255</v>
      </c>
      <c r="E35">
        <f>D35/D36</f>
        <v>7.9926459552754014E-2</v>
      </c>
    </row>
    <row r="36" spans="3:5" ht="16" thickBot="1" x14ac:dyDescent="0.25">
      <c r="D36" s="8">
        <v>666300</v>
      </c>
      <c r="E36" s="8"/>
    </row>
    <row r="37" spans="3:5" ht="17" thickTop="1" thickBot="1" x14ac:dyDescent="0.25">
      <c r="D37" s="9"/>
      <c r="E37" s="9"/>
    </row>
    <row r="38" spans="3:5" ht="16" thickTop="1" x14ac:dyDescent="0.2"/>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f3ddeab-cfda-45e9-9dd5-fc00842ae8d4" xsi:nil="true"/>
    <lcf76f155ced4ddcb4097134ff3c332f xmlns="479ba6d9-c359-4e4d-b3a6-ade2680484b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92431232209F4F8BFDB601B433C69A" ma:contentTypeVersion="13" ma:contentTypeDescription="Create a new document." ma:contentTypeScope="" ma:versionID="a6c801ba1aafb238f37d735fb847c026">
  <xsd:schema xmlns:xsd="http://www.w3.org/2001/XMLSchema" xmlns:xs="http://www.w3.org/2001/XMLSchema" xmlns:p="http://schemas.microsoft.com/office/2006/metadata/properties" xmlns:ns2="479ba6d9-c359-4e4d-b3a6-ade2680484b5" xmlns:ns3="6f3ddeab-cfda-45e9-9dd5-fc00842ae8d4" targetNamespace="http://schemas.microsoft.com/office/2006/metadata/properties" ma:root="true" ma:fieldsID="64f9e586f7bcc43a6cea7ef46ae1122c" ns2:_="" ns3:_="">
    <xsd:import namespace="479ba6d9-c359-4e4d-b3a6-ade2680484b5"/>
    <xsd:import namespace="6f3ddeab-cfda-45e9-9dd5-fc00842ae8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9ba6d9-c359-4e4d-b3a6-ade2680484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17d4224-802a-4f39-af5d-1b2d989a72c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deab-cfda-45e9-9dd5-fc00842ae8d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c4c8ef1-d530-491d-8a3e-6b4042d15601}" ma:internalName="TaxCatchAll" ma:showField="CatchAllData" ma:web="6f3ddeab-cfda-45e9-9dd5-fc00842ae8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F4BABE-AA78-4C98-A8E0-AF7BCDE35589}">
  <ds:schemaRefs>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http://purl.org/dc/dcmitype/"/>
    <ds:schemaRef ds:uri="6f3ddeab-cfda-45e9-9dd5-fc00842ae8d4"/>
    <ds:schemaRef ds:uri="http://purl.org/dc/terms/"/>
    <ds:schemaRef ds:uri="http://schemas.microsoft.com/office/2006/documentManagement/types"/>
    <ds:schemaRef ds:uri="479ba6d9-c359-4e4d-b3a6-ade2680484b5"/>
    <ds:schemaRef ds:uri="http://purl.org/dc/elements/1.1/"/>
  </ds:schemaRefs>
</ds:datastoreItem>
</file>

<file path=customXml/itemProps2.xml><?xml version="1.0" encoding="utf-8"?>
<ds:datastoreItem xmlns:ds="http://schemas.openxmlformats.org/officeDocument/2006/customXml" ds:itemID="{8CD2C2DE-C0C5-4EED-9F28-039E683093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9ba6d9-c359-4e4d-b3a6-ade2680484b5"/>
    <ds:schemaRef ds:uri="6f3ddeab-cfda-45e9-9dd5-fc00842ae8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0F4EE3-186E-4BA4-938D-F8B381C864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Blue Shield of California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 Deborah</dc:creator>
  <cp:lastModifiedBy>Jackson, Jason</cp:lastModifiedBy>
  <dcterms:created xsi:type="dcterms:W3CDTF">2026-02-27T17:27:41Z</dcterms:created>
  <dcterms:modified xsi:type="dcterms:W3CDTF">2026-03-06T20:56:52Z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0x0101008992431232209F4F8BFDB601B433C69A</vt:lpwstr>
  </property>
  <property fmtid="{D5CDD505-2E9C-101B-9397-08002B2CF9AE}" pid="3" name="MediaServiceImageTags">
    <vt:lpwstr/>
  </property>
</Properties>
</file>