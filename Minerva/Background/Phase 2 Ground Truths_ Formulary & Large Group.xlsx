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blueshieldca-my.sharepoint.com/personal/hgaede01_blueshieldca_com/Documents/Documents/"/>
    </mc:Choice>
  </mc:AlternateContent>
  <xr:revisionPtr revIDLastSave="0" documentId="8_{984053F1-9A9E-4709-8C78-18B7BC179691}" xr6:coauthVersionLast="47" xr6:coauthVersionMax="47" xr10:uidLastSave="{00000000-0000-0000-0000-000000000000}"/>
  <bookViews>
    <workbookView xWindow="-13035" yWindow="-16320" windowWidth="29040" windowHeight="15720" xr2:uid="{00000000-000D-0000-FFFF-FFFF00000000}"/>
  </bookViews>
  <sheets>
    <sheet name="Mid Portifolio Test Qs" sheetId="4" r:id="rId1"/>
    <sheet name="Sheet2" sheetId="15" r:id="rId2"/>
    <sheet name="Evaluation Criteria_draft " sheetId="12" r:id="rId3"/>
    <sheet name="Large Group Portfolio_New" sheetId="2" r:id="rId4"/>
    <sheet name="LG_Language and Products" sheetId="3" r:id="rId5"/>
    <sheet name="Rx Formulary Add_Changes" sheetId="1" r:id="rId6"/>
    <sheet name="Sheet4" sheetId="11" r:id="rId7"/>
    <sheet name="Sheet1" sheetId="14" r:id="rId8"/>
    <sheet name="Human Grading" sheetId="13" r:id="rId9"/>
  </sheets>
  <definedNames>
    <definedName name="_xlnm._FilterDatabase" localSheetId="3" hidden="1">'Large Group Portfolio_New'!$A$1:$H$46</definedName>
    <definedName name="_xlnm._FilterDatabase" localSheetId="0" hidden="1">'Mid Portifolio Test Qs'!$A$1:$X$333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4" i="4" l="1"/>
  <c r="B321" i="4"/>
  <c r="B320" i="4"/>
  <c r="B318" i="4"/>
  <c r="B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29" i="4"/>
  <c r="B330" i="4"/>
  <c r="B331" i="4"/>
  <c r="B332" i="4"/>
  <c r="B333" i="4"/>
</calcChain>
</file>

<file path=xl/sharedStrings.xml><?xml version="1.0" encoding="utf-8"?>
<sst xmlns="http://schemas.openxmlformats.org/spreadsheetml/2006/main" count="5775" uniqueCount="1383">
  <si>
    <t>Question #</t>
  </si>
  <si>
    <t>Test Question #</t>
  </si>
  <si>
    <t>Context or Test</t>
  </si>
  <si>
    <t>Product ID</t>
  </si>
  <si>
    <t>Assigned Product ID for Secret Shopper</t>
  </si>
  <si>
    <t>Effective Date</t>
  </si>
  <si>
    <t>Plan Name</t>
  </si>
  <si>
    <t>Product Type</t>
  </si>
  <si>
    <t>Plan Design</t>
  </si>
  <si>
    <t>Med Network</t>
  </si>
  <si>
    <t>Drug Formulary</t>
  </si>
  <si>
    <t>Benefit Category</t>
  </si>
  <si>
    <t xml:space="preserve">Benefit </t>
  </si>
  <si>
    <t>Question</t>
  </si>
  <si>
    <t>Minerva Score</t>
  </si>
  <si>
    <t>Minerva System Failure</t>
  </si>
  <si>
    <t>Minerva Response Time</t>
  </si>
  <si>
    <t>Response for Product ID (Column D)</t>
  </si>
  <si>
    <t>New Response with Product ID (Column E)</t>
  </si>
  <si>
    <t>Response for Product ID (Column E)</t>
  </si>
  <si>
    <t>Needs Updated Response based on Assigned Product ID (Column D)</t>
  </si>
  <si>
    <t>Minerva Response Validated as Accurate</t>
  </si>
  <si>
    <t>Minerva Response Correction to Answer</t>
  </si>
  <si>
    <t>Resolved - Yes/ No</t>
  </si>
  <si>
    <t>Audit Notes</t>
  </si>
  <si>
    <t>Test</t>
  </si>
  <si>
    <t>M0044977</t>
  </si>
  <si>
    <t>same as D</t>
  </si>
  <si>
    <t>Full PPO Combined Deductible 30-750 80/60</t>
  </si>
  <si>
    <t>PPO</t>
  </si>
  <si>
    <t>Combined Deductible</t>
  </si>
  <si>
    <t>Full</t>
  </si>
  <si>
    <t>Plus Formulary</t>
  </si>
  <si>
    <t>Acupuncture Benefits</t>
  </si>
  <si>
    <t>Acupuncture Services</t>
  </si>
  <si>
    <t>Can I go to an Acupuncturist? How would that be covered?</t>
  </si>
  <si>
    <t>16.698</t>
  </si>
  <si>
    <t xml:space="preserve">Brief Answer
Yes — acupuncture is covered under Acupuncture Services. For a participating provider, the cost is $25 per visit; for a non-participating provider, the cost is 40% coinsurance after the deductible. The service is limited to 20 visits per member per calendar year and is administered by ASH .
──────────────────────────────────────────────────
Detailed Explanation
Acupuncture Services
For in-network providers: 
- The plan has a $750 deductible per person, not to exceed $2,250 per family . 
- However, Acupuncture Services is not subject to the deductible . 
- The copay for Acupuncture evaluation and treatment by a Dr of Medicine is $25 per visit . 
- The service applies to the plan’s out-of-pocket maximum of $6,250 per person, not to exceed $12,500 per family . 
- Limit: 20 visits per member per calendar year . 
- Additional details:
 - Acupuncture services must be provided by a Physician, licensed acupuncturist, or other appropriately licensed or certified Health Care Provider .
 - The plan’s acupuncture services administrator is ASH .
For out-of-network providers: 
- The plan has a $750 deductible per person, not to exceed $2,250 per family . 
- Acupuncture Services is subject to this deductible . 
- The coinsurance is 40% of the allowed amount, and the plan will reimburse the remaining 60% of the allowed amount for Acupuncture evaluation and treatment by a Dr of Medicine . 
- The service applies to the plan’s out-of-pocket maximum of $10,750 per person, not to exceed $21,500 per family . 
- Limit: 20 visits per member per calendar year . 
- An out-of-network provider has the right to bill for the balance. What this means is that the member may be responsible for the difference between the allowed amount and billed amount. 
Administrator information: 
- This member's acupuncture benefits are administered by ASH. For questions about acupuncture, ASH participating providers, or acupuncture benefits, contact ASH at (800) 678-9133.  
- Website information is not available in the current plan document .
</t>
  </si>
  <si>
    <t>Yes</t>
  </si>
  <si>
    <t>M0043044</t>
  </si>
  <si>
    <t>M0045355</t>
  </si>
  <si>
    <t>Value Formulary</t>
  </si>
  <si>
    <t>Do I have benefits for acupuncture?</t>
  </si>
  <si>
    <t xml:space="preserve">Brief Answer 
Yes—this PPO plan covers acupuncture evaluation and treatment (with limits). In-network acupuncture has a $25 copay per visit, and out-of-network acupuncture is covered at 40% coinsurance (and is subject to the medical deductible).
──────────────────────────────────────────────────
Detailed Explanation
Acupuncture Services — Acupuncture evaluation and treatment by a Dr of Medicine:
In-Network Provider 
For in-network providers: 
the plan has a $750 deductible per person, not to exceed $2,250 per family.  
However, Acupuncture evaluation and treatment by a Dr of Medicine is not subject to the deductible.  
The copay for Acupuncture evaluation and treatment by a Dr of Medicine services is $25.  
The service applies to the plan's out-of-pocket maximum amount of $6,250, not to exceed $12,500 per family. When the plan's out-of-pocket maximum amount is satisfied, the health plan will reimburse 100% of the allowed amount.  
This plan has a limit of Up to a maximum of 20 visits per member per calendar year for any combination of Covered Services by a Doctor of Medicine or certified acupuncturist.  
Additional details: 
- Blue Shield has contracted with American Specialty Health Plans of California, Inc. (ASH Plans) to administer acupuncture services.  
- Acupuncture services must be provided by a Physician, licensed acupuncturist, or other appropriately licensed or certified Health Care Provider.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Acupuncture evaluation and treatment by a Dr of Medicine is subject to this deductible. Once the deductible is met,  
The coinsurance is 40% of the allowed amount, and the plan will reimburse the remaining 60% of the allowed amount for Acupuncture evaluation and treatment by a Dr of Medicine.  
The service applies to the plan's out-of-pocket maximum amount of $10,750, not to exceed $21,500 per family. When the plan's out-of-pocket maximum amount is satisfied, the health plan will reimburse 100% of the allowed amount.  
This plan has a limit of Up to a maximum of 20 visits per member per calendar year for any combination of Covered Services by a Doctor of Medicine or certified acupuncturist.  
This member's Acupuncture Services benefits are administered by ASH. For questions about Acupuncture Services, ASH participating providers, or Acupuncture Services benefits, contact ASH at (800) 678-9133. [If vendor website is available: You can also visit the vendor website is not available in the current plan document for more information.] 
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
</t>
  </si>
  <si>
    <t>Brief Answer 
Yes—this plan includes an acupuncture rider, so acupuncture is covered when the Member uses an American Specialty Health (ASH) Participating Provider. The cost share is $10 per visit, with a 30-visit limit per Member per calendar year.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Acupuncture Services (Rider) — Acupuncture evaluation and treatment by a Dr of Medicine:
#### In-Network Provider
For in-network providers, [2] 
The plan has a $1,500 deductible per person, not to exceed $3,000 per family. [3] 
The copay for Acupuncture evaluation and treatment by a Dr of Medicine services is $10. [2] 
The service applies to the plan's out-of-pocket maximum amount of $3,000 individual, not to exceed $6,000 per family. When the plan's out-of-pocket maximum amount is satisfied, the health plan will reimburse 100% of the allowed amount. [4] 
This plan has a limit of 30 visits per member per calendar year. [5]
Additional details: [1] 
- Benefits must be received from an ASH Plans Participating Provider. 
- No PCP referral is required for these rider benefits. 
- All covered benefits (except the initial examination and treatment by an ASH Participating Provider, and Emergency Services) must be determined Medically Necessary by ASH Plans. 
- Covered benefits received from providers who are not ASH Participating Providers are not covered, except for Emergency Services and certain circumstances where there are no ASH Participating Providers in a county. 
- Benefits are available for Medically Necessary acupuncture for Musculoskeletal and Related Disorders, including (examples): headaches, osteoarthritis-related joint pain, back/neck pain, and nausea associated with pregnancy/surgery/chemotherapy. 
- Benefits must be provided in an office setting. 
#### Out-of-Network Provider
For out-of-network providers, the member is responsible for 100% of the provider's billed amount, as the plan only covers in-network providers. [1]
Vendor / Administrator:
This member's acupuncture benefits are administered by ASH. For questions about acupuncture, ASH participating providers, or acupuncture benefits, contact ASH at (800) 678-9133. [2]
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 [6]
──────────────────────────────────────────────────
Sources &amp; Citations:
--- TABLE ---
Ref | Benefit/Service | Cost Share | Source
[1] | Acupuncture Services (rider rules/requirements) | N/A | eocCategories &gt; Acupuncture Services &gt; content
[2] | Acupuncture evaluation and treatment by a Dr of Medicine | $10 per visit; vendor ASH | eocCategories &gt; Acupuncture Services &gt; benefitSubCategories[Acupuncture Services] &gt; benefits[Acupuncture evaluation and treatment by a Dr of Medicine] &gt; providerCostShares[HMO Provider]
[3] | Medical Deductible (Facility) | $1,500 individual / $3,000 family | planCostShares[costShareType=Medical Deductible] &gt; providerCostShares[HMO Provider] &gt; coveredParties
[4] | Out-of-Pocket Maximum | $3,000 individual / $6,000 family | planCostShares[costShareType=OOP Maximum] &gt; providerCostShares[HMO Provider] &gt; coveredParties
[5] | Acupuncture visit limit | 30 visits per member per calendar year | eocCategories &gt; Acupuncture Services &gt; benefitSubCategories[Acupuncture Services] &gt; benefits[...] &gt; providerCostShares[HMO Provider] &gt; limitText
[6] | ChooseHealthy discount program script (acupuncture/chiropractic/massage) | N/A | RULES_JSON &gt; levels[6] &gt; rules[ruleNumber=23] &gt; scriptOutput</t>
  </si>
  <si>
    <t>Benefit Category: Acupuncture Services
HMO Provider: $10 per visit, Subject to Deductible – No, Applies to Annual Copay Max – Yes
OOPM HMO Provider: $3,000 ind/ $6,000 family
Max: 30 visits per member per calendar year. Limit Combined With Acu/Chiro</t>
  </si>
  <si>
    <t>M0041550</t>
  </si>
  <si>
    <t>Local Access+ HMO® Facility Deductible 15-10%/1500</t>
  </si>
  <si>
    <t>HMO</t>
  </si>
  <si>
    <t>Facility Deductible</t>
  </si>
  <si>
    <t>Local Access+</t>
  </si>
  <si>
    <t>Is there a limit to the number of acupuncture sessions I can have in a year?</t>
  </si>
  <si>
    <t xml:space="preserve">Brief Answer 
Acupuncture is not covered under this plan, so there is no covered annual session limit—the Member would be responsible for the full billed charges.
──────────────────────────────────────────────────
Detailed Explanation
The Acupuncture Services benefit is listed as Not Covered under this plan, so the plan does not provide any covered sessions to apply a yearly limit to. The Acupuncture Services benefit is not a benefit of this health plan. The member would be responsible for 100% of the billed amount. 
</t>
  </si>
  <si>
    <t>Brief Answer 
Yes. Acupuncture is limited to 20 visits per member per calendar year (for any combination of covered acupuncture services by a Doctor of Medicine or certified acupuncturist). [1]
──────────────────────────────────────────────────
Detailed Explanation
Acupuncture Services — Acupuncture evaluation and treatment by a Dr of Medicine:
#### In-Network Provider
For in-network providers, 
The plan has a $750 deductible per person, not to exceed $2,250 per family. [3] 
However, Acupuncture evaluation and treatment by a Dr of Medicine is not subject to the deductible. [6] 
The copay for Acupuncture evaluation and treatment by a Dr of Medicine services is $25 per visit. [6] 
The service applies to the plan's out-of-pocket maximum amount of $6,250 individual out-of-pocket maximum, not to exceed $12,500 per family. When the plan's out-of-pocket maximum amount is satisfied, the health plan will reimburse 100% of the allowed amount. [4] 
This plan has a limit of Up to a maximum of 20 visits per member per calendar year for any combination of Covered Services by a Doctor of Medicine or certified acupuncturist. [1]
Additional details:
- Acupuncture services must be provided by a Physician, licensed acupuncturist, or other appropriately licensed or certified Health Care Provider. [10]
- Benefits are available for acupuncture evaluation and treatment. [10]
#### Out-of-Network Provider
For out-of-network providers, .
An out-of-network provider has the right to bill for the balance. What this means is that the member may be responsible for the difference between the allowed amount and billed amount. 
The plan has a $750 deductible per person, not to exceed $2,250 per family. [3] 
Acupuncture evaluation and treatment by a Dr of Medicine is subject to this deductible. Once the deductible is met, [2] 
The coinsurance is 40% of the allowed amount, and the plan will reimburse the remaining 60% of the allowed amount for Acupuncture evaluation and treatment by a Dr of Medicine services. [2] 
The service applies to the plan's out-of-pocket maximum amount of $10,750 individual out-of-pocket maximum, not to exceed $21,500 per family. When the plan's out-of-pocket maximum amount is satisfied, the health plan will reimburse 100% of the allowed amount. [5] 
This plan has a limit of Up to a maximum of 20 visits per member per calendar year for any combination of Covered Services by a Doctor of Medicine or certified acupuncturist. [2]
This member's acupuncture benefits are administered by ASH. For questions about acupuncture, ASH participating providers, or acupuncture benefits, contact ASH at (800) 678-9133. [8]
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
──────────────────────────────────────────────────
Sources &amp; Citations
--- TABLE ---
Ref | Benefit/Service | Cost Share | Source
[1] | Acupuncture evaluation and treatment by a Dr of Medicine (In-Network) | Limit: 20 visits per member per calendar year | eocCategories &gt; Acupuncture Services &gt; Acupuncture Services &gt; Acupuncture evaluation and treatment by a Dr of Medicine &gt; providerCostShares (Participating Provider) &gt; limitText / limitValue
[2] | Acupuncture evaluation and treatment by a Dr of Medicine (Out-of-Network) | 40% Coinsurance; Limit: 20 visits per member per calendar year | eocCategories &gt; Acupuncture Services &gt; Acupuncture Services &gt; Acupuncture evaluation and treatment by a Dr of Medicine &gt; providerCostShares (Non-Participating Provider) &gt; coinsurancePct / limitText
[3] | Medical Deductible (Combined) | $750 individual / $2,250 family | planCostShares &gt; (costShareType: Medical Deductible) &gt; providerCostShares (Participating Provider) &gt; coveredParties (Individual/Family) &gt; amount
[4] | Out-of-Pocket Maximum (In-Network) | $6,250 individual / $12,500 family | planCostShares &gt; (costShareType: OOP Maximum) &gt; providerCostShares (Participating Provider) &gt; coveredParties (Individual/Family) &gt; amount
[5] | Out-of-Pocket Maximum (Out-of-Network) | $10,750 individual / $21,500 family | planCostShares &gt; (costShareType: OOP Maximum) &gt; providerCostShares (Non-Participating Provider) &gt; coveredParties (Individual/Family) &gt; amount
[6] | Acupuncture evaluation and treatment by a Dr of Medicine (In-Network) | $25 per visit | eocCategories &gt; Acupuncture Services &gt; Acupuncture Services &gt; Acupuncture evaluation and treatment by a Dr of Medicine &gt; providerCostShares (Participating Provider) &gt; copayAmt / costShareText / subjectToDeductible
[8] | Acupuncture vendor/administrator | Vendor: ASH; Phone: (800) 678-9133 | eocCategories &gt; Acupuncture Services &gt; Acupuncture Services &gt; Acupuncture evaluation and treatment by a Dr of Medicine &gt; providerCostShares (Participating Provider) &gt; vendor / vendorPhoneNumber
[10] | Acupuncture Services (category details) | Coverage description | eocCategories &gt; Acupuncture Services &gt; content</t>
  </si>
  <si>
    <t xml:space="preserve">Benefit: Acupuncture Services
Par: $25 copay, No ded, OOPM $6,250 ind/ $ 12,500 fam
Non-Par: $40% coins, Ded $750 ind/ $2,250 fami, OOPM $10,750 ind, $21,500 fam
Maximum - Up to a maximum of 20 visits per member per calendar year for any combination of Covered Services by a Doctor of Medicine or certified acupuncturist.
</t>
  </si>
  <si>
    <t xml:space="preserve">Context </t>
  </si>
  <si>
    <t>M0043097</t>
  </si>
  <si>
    <t>Virtual Blue℠ PPO Split Deductible 20-1500 80/60</t>
  </si>
  <si>
    <t>Virtual Plan</t>
  </si>
  <si>
    <t>Tandem</t>
  </si>
  <si>
    <t>Can I go to an Acupuncturist for pain managment?</t>
  </si>
  <si>
    <t>Brief Answer 
Yes—this PPO plan covers acupuncture evaluation and treatment when provided by a participating (in-network) provider, up to a 20-visit calendar-year limit. Out-of-network acupuncture is covered, but it’s subject to the medical deductible and has higher cost share.
──────────────────────────────────────────────────
Detailed Explanation
Acupuncture Services (Acupuncture evaluation and treatment):
In-Network Provider 
For in-network providers: 
the plan has a $1,500 deductible per person, not to exceed $3,000 per family.  
However, Acupuncture evaluation and treatment by a Dr of Medicine is not subject to the deductible.  
The copay for Acupuncture evaluation and treatment by a Dr of Medicine services is $25.  
The service applies to the plan's out-of-pocket maximum amount of $5,500, not to exceed $11,000 per family. When the plan's out-of-pocket maximum amount is satisfied, the health plan will reimburse 100% of the allowed amount.  
This plan has a limit of Up to a maximum of 20 visits per member per calendar year for any combination of Covered Services by a Doctor of Medicine or certified acupuncturist.  
Additional details: 
- Acupuncture services are available for evaluation and treatment.  
- Services must be provided by a Physician, licensed acupuncturist, or other appropriately licensed or certified Health Care Provider.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Acupuncture evaluation and treatment by a Dr of Medicine is subject to this deductible. Once the deductible is met,  
The coinsurance is 40% of the allowed amount, and the plan will reimburse the remaining 60% of the allowed amount for Acupuncture evaluation and treatment by a Dr of Medicine.  
The service applies to the plan's out-of-pocket maximum amount of $10,000, not to exceed $20,000 per family. When the plan's out-of-pocket maximum amount is satisfied, the health plan will reimburse 100% of the allowed amount.  
This plan has a limit of Up to a maximum of 20 visits per member per calendar year for any combination of Covered Services by a Doctor of Medicine or certified acupuncturist.  
This member's Acupuncture Services benefits are administered by ASH. For questions about Acupuncture Services, ASH participating providers, or Acupuncture Services benefits, contact ASH at (800) 678-9133. 
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t>
  </si>
  <si>
    <t>Access+ HMO® Facility Deductible 20-25%/1500</t>
  </si>
  <si>
    <t>Access+</t>
  </si>
  <si>
    <t>Allergy Testing and Immunotherapy Benefits</t>
  </si>
  <si>
    <t>Allergy injections
Preparation and provision of allergy serum</t>
  </si>
  <si>
    <t>Are benefits provided for outpatient allergy desensitization treatments?</t>
  </si>
  <si>
    <t xml:space="preserve">Brief Answer 
Yes. The plan provides benefits for outpatient allergy desensitization (immunotherapy) treatments, such as allergy serum injections and allergy injections.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Allergy desensitization / immunotherapy (outpatient):
1) Allergy injections (immunotherapy injections)
In-Network Provider 
For in-network providers:  
The plan has a $1,500 deductible, not to exceed $3,000 per family. However, Allergy injections is not subject to the deductible.  
The copay for Allergy injections services is $20 per visit.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2) Preparation and provision of allergy serum (part of immunotherapy)
In-Network Provider 
For in-network providers:  
The plan has a $1,500 deductible, not to exceed $3,000 per family. However, Preparation and provision of allergy serum is not subject to the deductible.  
The coinsurance is 50% of the allowed amount, and the plan will reimburse the remaining 50% of the allowed amount for Preparation and provision of allergy serum.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Additional details:
- The plan covers allergy testing and immunotherapy services, including allergy testing on/under the skin, preparation and provision of allergy serum, and allergy serum injections.  
- This benefit does not include blood testing for allergies. </t>
  </si>
  <si>
    <t xml:space="preserve">Missing Deductible </t>
  </si>
  <si>
    <t>Added The plan has a $1,500 deductible, not to exceed $3,000 per family.</t>
  </si>
  <si>
    <t>M0043537</t>
  </si>
  <si>
    <t>Allergy testing</t>
  </si>
  <si>
    <t>Is coverage provided for outpatient allergy testing?</t>
  </si>
  <si>
    <t xml:space="preserve">Brief Answer 
Yes. Outpatient allergy testing is covered under the plan, with a $20 copay per visit when provided by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Allergy testing (outpatient):
In-Network Provider 
For in-network providers:  
the plan has a $1,500 deductible per person, not to exceed $3,000 per family.  
However, Allergy testing is not subject to the deductible.  
The copay for Allergy testing services is $20.  
The service applies to the plan's out-of-pocket maximum amount of $3,000, not to exceed $6,000 per family. When the plan's out-of-pocket maximum amount is satisfied, the health plan will reimburse 100% of the allowed amount. 
Additional details:
- Covered allergy testing includes skin testing such as prick/puncture, patch, and scratch tests. 
- This benefit does not include blood testing for allergies. 
Out-of-Network Provider 
For out-of-network providers, the member is responsible for 100% of the provider's billed amount, as the plan only covers in-network providers. 
</t>
  </si>
  <si>
    <t>M0044993</t>
  </si>
  <si>
    <t>Full PPO Combined Deductible 20-250 80/60</t>
  </si>
  <si>
    <t>My doctor is recommending immunotherapy. Is that covered?</t>
  </si>
  <si>
    <t>Brief Answer 
Yes—immunotherapy is covered under the plan’s Allergy Testing and Immunotherapy Benefits. Coverage is subject to the medical deductible and then coinsurance applies, and the service also applies to the plan’s out-of-pocket maximum.
──────────────────────────────────────────────────
Detailed Explanation
Allergy Testing and Immunotherapy Benefits — Immunotherapy (Allergy injections):
In-Network Provider 
For in-network providers: 
the plan has a $250 deductible per person, not to exceed $750 per family.  
Allergy injections is subject to this deductible. Once the deductible is met,  
The coinsurance is 20% of the allowed amount, and the plan will reimburse the remaining 80% of the allowed amount for Allergy injections.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Allergy injections is subject to this deductible. Once the deductible is met,  
The coinsurance is 40% of the allowed amount, and the plan will reimburse the remaining 60% of the allowed amount for Allergy injections.  
The service applies to the plan's out-of-pocket maximum amount of $10,250, not to exceed $20,500 per family. When the plan's out-of-pocket maximum amount is satisfied, the health plan will reimburse 100% of the allowed amount. 
────────────────────────────────────────────</t>
  </si>
  <si>
    <t>M0043636</t>
  </si>
  <si>
    <t>Full EPO 25-2500 80%</t>
  </si>
  <si>
    <t>EPO</t>
  </si>
  <si>
    <t>Per Admission</t>
  </si>
  <si>
    <t>Ambulance Services</t>
  </si>
  <si>
    <t xml:space="preserve">Emergency Transport
</t>
  </si>
  <si>
    <t>My husband had to be taken to the emergency room by Ambulance over the weekend. Can you help me understand the coverage for that?</t>
  </si>
  <si>
    <t xml:space="preserve">Brief Answer 
For this plan, both Emergency Room care and Ambulance services are covered, and the plan shows the same cost share whether the provider is participating or non-participating for these emergency services. The ER facility has a $150 copay per visit + 20% coinsurance, and ER physician services are 20% coinsurance; ambulance is 20% coinsurance (air or surface). 
──────────────────────────────────────────────────
Detailed Explanation
Exclusive Provider Organization (EPO) Disclaimer:
This is an Exclusive Provider Organization (EPO) plan. You must receive all Covered Benefits from a Participating Provider,  the exception is with Emergency or Urgent Services.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A) Emergency Room (ER):
In-Network Provider
For in-network providers:  
the plan has a $2,500 deductible per person, not to exceed $5,000 per family.  
However, Emergency room hospital is not subject to the deductible.  
- Emergency room hospital (facility): The copay for Emergency room hospital services is $150 per visit.  
- Emergency room hospital (facility): The coinsurance is 20% of the allowed amount, and the plan will reimburse the remaining 80% of the allowed amount for Emergency room hospital.  
The service applies to the plan's out-of-pocket maximum amount of $5,000, not to exceed $10,000 per family. When the plan's out-of-pocket maximum amount is satisfied, the health plan will reimburse 100% of the allowed amount. 
Emergency room physician (professional): 
For in-network providers:  
the plan has a $2,500 deductible per person, not to exceed $5,000 per family.  
However, Emergency room physician is not subject to the deductible.  
- The coinsurance is 20% of the allowed amount, and the plan will reimburse the remaining 80% of the allowed amount for Emergency room physician.  
The service applies to the plan's out-of-pocket maximum amount of $5,000, not to exceed $10,000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*(Note: the plan’s ER facility and ER physician lines show the same cost share text for “Non-Participating Provider” as for “Participating Provider.”)* 
──────────────────────────────────────────────────
B) Ambulance:
In-Network Provider
For in-network providers:  
the plan has a $2,500 deductible per person, not to exceed $5,000 per family.  
Ambulance is subject to this deductible. Once the deductible is met,  
- Emergency transport – surface: The coinsurance is 20% of the allowed amount, and the plan will reimburse the remaining 80% of the allowed amount for Emergency transport – surface.  
- Emergency transport – air: The coinsurance is 20% of the allowed amount, and the plan will reimburse the remaining 80% of the allowed amount for Emergency transport – air.  
The service applies to the plan's out-of-pocket maximum amount of $5,000, not to exceed $10,000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*(Note: the plan’s ambulance lines also show the same cost share text for “Non-Participating Provider” as for “Participating Provider.”)* </t>
  </si>
  <si>
    <t>M0041564</t>
  </si>
  <si>
    <t>Local Access+ HMO® Per Day 25-750</t>
  </si>
  <si>
    <t>Is a car transport to an office visit covered?</t>
  </si>
  <si>
    <t xml:space="preserve">Brief Answer 
Licensed ambulance transportation is covered, but car/taxi/bus/gurney van/wheelchair van transportation is not covered under this plan. For a routine office visit ride by car, the Member would be responsible for the full cost.
──────────────────────────────────────────────────
Detailed Explanation
The plan’s Ambulance benefit only covers transport by a licensed ambulance or psychiatric transport van (emergency or prior-authorized non-emergency inter-facility transport). It specifically excludes transportation by car, taxi, bus, gurney van, wheelchair van, or other types of transportation.  
Because a “car transport to an office visit” is not a licensed ambulance/psychiatric transport van, it is not covered. 
A. Transportation by car to an office visit (non-ambulance transport) 
In-Network Provider 
The car transport to an office visit is not a benefit of this health plan. The member would be responsible for 100% of the billed amount.  
Out-of-Network Provider 
For out-of-network providers, the member is responsible for 100% of the provider's billed amount, as the plan only covers in-network providers.  
B. If the question is actually about an ambulance ride to an office visit *(only if it’s a licensed ambulance/psychiatric transport van and meets the plan’s ambulance coverage criteria)*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In-Network Provider 
For in-network providers:  
- Emergency transport – surface: Copay: $100 per transport  
- Emergency transport – air: Copay: $100 per transport  
Out-of-Network Provider 
For out-of-network providers, the member is responsible for 100% of the provider's billed amount, as the plan only covers in-network providers. 
</t>
  </si>
  <si>
    <t>M0041672</t>
  </si>
  <si>
    <t>Tandem PPO Split Deductible 10-250 90/70</t>
  </si>
  <si>
    <t>Split Deductible</t>
  </si>
  <si>
    <t>What if I need to be flown to a hospital? Does my plan cover an air ambulance? If so, how much will it cost? </t>
  </si>
  <si>
    <t xml:space="preserve">Brief Answer 
Yes—this PPO plan covers emergency air ambulance. The member cost share is 10% coinsurance, and per the plan, ambulance services are covered at the in-network (participating) cost share even if the provider is out-of-network. 
──────────────────────────────────────────────────
Detailed Explanation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Air Ambulance (Emergency transport – air):
#### In-Network Provider
For in-network providers:  
the plan has a $250 deductible per person, not to exceed $750 per family.  
Air ambulance is subject to this deductible. Once the deductible is met,  
The coinsurance is 10% of the allowed amount, and the plan will reimburse the remaining 90% of the allowed amount for Emergency transport - air.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*Note: Even if the air ambulance provider is non-participating, this plan’s ambulance benefit is covered at the participating provider cost share.* 
</t>
  </si>
  <si>
    <t>M0043024</t>
  </si>
  <si>
    <t>Trio HMO Facility Coinsurance 40-40%</t>
  </si>
  <si>
    <t>Facility Coinsurance</t>
  </si>
  <si>
    <t>Trio ACO</t>
  </si>
  <si>
    <t>My wife was admitted to the hospital, but needs to be moved to another hospital. Do you covered the transportation?</t>
  </si>
  <si>
    <t xml:space="preserve">Brief Answer 
Yes—ambulance transportation is covered when it’s provided by a licensed ambulance or psychiatric transport van, including non-emergency transfers from one medical facility to another (when prior-authorized). The in-network cost share is $100 per transport.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Ambulance transportation (facility-to-facility transfer):
 In-Network Provider 
For in-network providers:  
However, Ambulance Services is not subject to the deductible.  
The copay for Ambulance Services services is $100 per transport.  
The service applies to the plan's out-of-pocket maximum amount of $4,000, not to exceed $8,000 per family. When the plan's out-of-pocket maximum amount is satisfied, the health plan will reimburse 100% of the allowed amount. 
Additional details:
- Coverage includes non-emergency, prior-authorized ambulance transportation (surface and air) from one medical facility to another.  
- Transportation by car, taxi, bus, gurney van, wheelchair van, or any other type of transportation (other than a licensed ambulance or psychiatric transport van) is not included. 
Out-of-Network Provider 
For out-of-network providers, the member is responsible for 100% of the provider's billed amount, as the plan only covers in-network providers. 
──────────────────────────────────────────────────
</t>
  </si>
  <si>
    <t>M0041615</t>
  </si>
  <si>
    <t>Active Choice® Plus 300 80/60 2000 Deductible</t>
  </si>
  <si>
    <t>Active Choice Plus</t>
  </si>
  <si>
    <t>Bariatric Surgery Benefits</t>
  </si>
  <si>
    <t>Surgical</t>
  </si>
  <si>
    <t>Are travel expenses for bariatric surgery covered?</t>
  </si>
  <si>
    <t xml:space="preserve">Brief Answer 
Yes—this plan may reimburse certain travel expenses for bariatric surgery, but only for Members who live in specific designated California counties and meet the plan’s distance/receipt requirements. For Members who do not live in a designated county, travel expenses are not reimbursed.
──────────────────────────────────────────────────
Detailed Explanation
Bariatric surgery travel expense reimbursement (when it applies):
Travel expense reimbursement is available only if the Member: lives in a designated county, lives at least 50 miles from the nearest bariatric surgery services provider in the network, and submits receipts/documentation to Blue Shield. 
Designated counties: Imperial, Kern, Los Angeles, Orange, Riverside, San Bernardino, San Diego, Santa Barbara, Ventura. 
Reimbursable bariatric surgery travel expenses and limits (for eligible Members): 
- Transportation to and from the facility: $130 per roundtrip, max 3 roundtrips (pre-surgery, surgery, follow-up); 1 companion covered for max 2 roundtrips (surgery &amp; follow-up).  
- Hotel accommodations: $100 per day, max 2 trips, 2 days per trip (pre-surgery &amp; post-surgery follow-up) for the Member and 1 companion; 1 companion alone may be reimbursed for max 4 days during the surgery admission; limited to 1 double-occupancy room (room only).  
- Related reasonable expenses: $25 per day per Member, max 4 days per trip; excludes tobacco, alcohol, drugs, phone, television, delivery, and recreation. 
If the Member does not live in a designated county:
If the Member does not reside in a designated county, bariatric surgery services are covered like other surgery services, but Blue Shield does not reimburse travel expenses associated with bariatric surgery. 
</t>
  </si>
  <si>
    <t>M0043127</t>
  </si>
  <si>
    <t>Trio HMO Zero Admit 30</t>
  </si>
  <si>
    <t>Can I go to an out-of-network provider for bariatric surgery?</t>
  </si>
  <si>
    <t xml:space="preserve">Brief Answer 
Based on the current plan document, I can’t find a bariatric surgery benefit listed to confirm whether it’s covered and what the out-of-network rules would be. In general for this HMO (Trio ACO) plan, services must be received from in-network providers/within the Member’s medical group to be eligible for benefits.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 couldn't find this information in the current plan document. (I do not see a benefit category/sub-benefit for bariatric surgery or weight loss surgery in the provided `eocCategories` data.) 
</t>
  </si>
  <si>
    <t>M0041578</t>
  </si>
  <si>
    <t>Trio HMO Facility Deductible 15-10%/750</t>
  </si>
  <si>
    <t>BlueCard Program</t>
  </si>
  <si>
    <t xml:space="preserve">Emergency
Urgent Care
</t>
  </si>
  <si>
    <t xml:space="preserve">Am I covered while traveling? </t>
  </si>
  <si>
    <t xml:space="preserve">Brief Answer 
Yes — this Trio HMO plan covers urgent and emergency care while traveling outside of California, but it generally does not cover routine/non-urgent care out of area unless it’s authorized by Blue Shield.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Traveling outside of California (out-of-area coverage) 
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 
Emergency Services (while traveling) 
In-Network Provider 
For in-network providers:  
- Copay: $150 per visit for emergency room facility services.  
- The plan will reimburse the provider 100% of the allowed amount for emergency room physician/professional services.  
- However, emergency room services resulting in admission is subject to this deductible. Once the deductible is met, The coinsurance is 10% of the allowed amount, and the plan will reimburse the remaining 90% of the allowed amount for emergency room services resulting in admission.  
-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Urgent Services (while traveling) 
In-Network Provider 
For in-network providers:  
- Copay: $15 per visit for urgent care services (freestanding urgent care).  
- The service applies to the plan's out-of-pocket maximum amount of $2,500, not to exceed $5,000 per family. When the plan's out-of-pocket maximum amount is satisfied, the health plan will reimburse 100% of the allowed amount.  
-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Out-of-Network Provider 
For out-of-network providers, the member is responsible for 100% of the provider's billed amount, as the plan only covers in-network providers. 
</t>
  </si>
  <si>
    <t>M0043261</t>
  </si>
  <si>
    <t>Full PPO Split Deductible 35-1000 80/60</t>
  </si>
  <si>
    <t>Do I have coverage outside of the US?</t>
  </si>
  <si>
    <t xml:space="preserve">Brief Answer 
Yes. The plan states that emergency services are covered anywhere in the world. 
──────────────────────────────────────────────────
Detailed Explanation
A. Emergency care outside the U.S. 
- The plan states: “The Benefits of this plan will be provided anywhere in the world for treatment of an Emergency Medical Condition or a Psychiatric Emergency Medical Condition.” 
B. Non-emergency care outside the U.S. 
- The plan’s “BlueCard® Service Area” is described as within the United States, the Commonwealth of Puerto Rico, or the U.S. Virgin Islands.  
- The plan does not specify how routine/non-emergency services are covered outside those areas (i.e., outside the U.S., Puerto Rico, and U.S. Virgin Islands).  
- I couldn't find this information in the current plan document. 
If you need definitive guidance for a caller about routine/non-emergency care outside the U.S., please consult the Knowledgebase.
</t>
  </si>
  <si>
    <t>Brief Answer 
Yes—this Trio HMO plan has limited coverage outside of the U.S. Coverage is generally limited to urgent and emergency care, and you may need to pay upfront and submit a claim for reimbursement depending on where services are received. [1]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[2]
Coverage outside of the U.S.:
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 [1]
Coverage is limited to urgent and emergency care services outside the United States and the BlueCard Service area. When a member receives urgent or emergency care from a provider outside the BlueCard® Service Area, they will typically have to pay the providers and submit a claim to obtain reimbursement for these services. 
A member will need to complete a Blue Shield Global® Core claim form and send the claim form along with the provider’s itemized bill, complete medical records, and proof of payment to the service center at the address provided on the form to initiate claims processing. Following the instructions on the claim form will help ensure timely processing. The claim form is available at www.bcbsglobalcore.com. [1] 
For additional help, you can refer to the Foreign Claims Guidelines article: https://blueshieldca.service-now.com/essp?id=kb_article_view&amp;sysparm_article=KB0025923 [1]
──────────────────────────────────────────────────
Emergency Room (outside the U.S. would be processed as emergency/out-of-area):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[3]
Emergency room hospital (facility):
In-Network Provider 
For in-network providers, 
The plan has a $750 deductible per person, not to exceed $1,500 per family. [4] 
However, Emergency room hospital is not subject to the deductible. [5] 
The copay for Emergency room hospital services is $150 per visit. [6] 
The service applies to the plan's out-of-pocket maximum amount of $2,500 individual out-of-pocket maximum, not to exceed $5,000 per family. When the plan's out-of-pocket maximum amount is satisfied, the health plan will reimburse 100% of the allowed amount. [7]
Out-of-Network Provider 
Emergency care is covered at the participating provider cost share even if the hospital/provider is non-participating, until the Member is stabilized and can be transferred. [3]
Emergency room physician (professional):
In-Network Provider 
For in-network providers, 
The plan has a $750 deductible per person, not to exceed $1,500 per family. [4] 
However, Emergency room physician is not subject to the deductible. [5] 
The plan will reimburse the provider 100% of the allowed amount for Emergency room physician. [8]
Out-of-Network Provider 
Emergency care is covered at the participating provider cost share even if the hospital/provider is non-participating, until the Member is stabilized and can be transferred. [3]
──────────────────────────────────────────────────
Urgent Care (outside the U.S. would be limited and claims-based):
HMO Urgent Care disclaimer: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[9]
Urgent Care – freestanding outpatient facility:
In-Network Provider 
For in-network providers, 
The plan has a $750 deductible per person, not to exceed $1,500 per family. [4] 
However, Freestanding outpatient facility is not subject to the deductible. [5] 
The copay for Freestanding outpatient facility services is $15 per visit. [10] 
The service applies to the plan's out-of-pocket maximum amount of $2,500 individual out-of-pocket maximum, not to exceed $5,000 per family. When the plan's out-of-pocket maximum amount is satisfied, the health plan will reimburse 100% of the allowed amount. [7]
Out-of-Network Provider 
For out-of-network providers, the member is responsible for 100% of the provider's billed amount, as the plan only covers in-network providers.
──────────────────────────────────────────────────
Sources &amp; Citations:
--- TABLE ---
Ref | Benefit/Service | Cost Share | Source
[1] | Coverage outside U.S. / Out-of-area services | Limited to emergency, urgent, and follow-up; Global Core claims process | eocSections[code=9] &gt; eocItems[code=12070] “Out-of-area Services”
[2] | HMO coordination / referrals | Plan rule/disclaimer support | eocSections[code=2] &gt; eocItems[code=12071] “General”
[3] | Emergency services network exception | Covered at participating cost share even if non-participating | eocCategories[name="Emergency Benefits"] &gt; content
[4] | Medical deductible (facility deductible) | $750 individual / $1,500 family | planCostShares[costShareType="Medical Deductible"] &gt; providerCostShares[providerCostShareType="HMO Provider"]
[5] | Deductible applicability (ER facility/physician/urgent care) | Not subject to deductible | eocCategories &gt; (Emergency Benefits / Urgent Care / Physician services) &gt; benefitSubCategories &gt; benefits &gt; providerCostShares[].subjectToDeductible
[6] | Emergency room hospital (facility) | $150 per visit | eocCategories[name="Emergency Benefits"] &gt; benefitSubCategories[name="Emergency Care"] &gt; benefits[name="Emergency room hospital"] &gt; providerCostShares[providerCostShareType="HMO Provider"]
[7] | Out-of-pocket maximum | $2,500 individual / $5,000 family | planCostShares[costShareType="OOP Maximum"] &gt; providerCostShares[providerCostShareType="HMO Provider"]
[8] | Emergency room physician (professional) | No Charge | eocCategories[name="Emergency Benefits"] &gt; benefitSubCategories[name="Emergency Care"] &gt; benefits[name="Emergency room physician"] &gt; providerCostShares[providerCostShareType="HMO Provider"]
[9] | Urgent care access rules | HMO urgent care guidance | eocCategories[name="Urgent Care Services"] &gt; content
[10] | Urgent care – freestanding outpatient facility | $15 per visit | eocCategories[name="Urgent Care Services"] &gt; benefitSubCategories[name="Urgent Care"] &gt; benefits[name="Freestanding outpatient facility"] &gt; providerCostShares[providerCostShareType="HMO Provider"]</t>
  </si>
  <si>
    <t>Yes. Coverage is limited to urgent and emergency services while traveling outside of California.</t>
  </si>
  <si>
    <t>M0043714</t>
  </si>
  <si>
    <t>Local Access+ HMO® Facility Deductible 30-30%/2000</t>
  </si>
  <si>
    <t>I'm moving to another state temporilary. Will my insurance cover care in Texas?</t>
  </si>
  <si>
    <t xml:space="preserve">Brief Answer 
Yes—but coverage is limited. Under this Local Access+ HMO plan, care in Texas (outside California) is generally covered only for Emergency Services, Urgent Services, and Out-of-Area Follow-up Care; other services are not covered unless prior authorized by Blue Shield.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 
Emergency Services (Texas)
In-Network Provider 
For in-network providers:  
The copay for Emergency Room Facility (Rev 450) services is $150.  
However, Emergency Room Facility (Rev 450) is not subject to the deductible.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Urgent Services (Texas)
In-Network Provider 
For in-network providers:  
The copay for Urgent Care - Freestanding Outpatient Facility Services services is $30.  
However, Urgent Care - Freestanding Outpatient Facility Services is not subject to the deductible.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Reminder for HMO urgent care rules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t>
  </si>
  <si>
    <t>M0043338</t>
  </si>
  <si>
    <t>Access+ HMO® Facility Deductible 15-10%/250</t>
  </si>
  <si>
    <t>I'm traveling this summer to Europe. Do I have coverage for an emergency?</t>
  </si>
  <si>
    <t>Brief Answer 
Yes. This Access+ HMO plan covers emergency services anywhere in the world, including Europe. For emergencies outside California, benefits are available for Emergency Services, Urgent Services, and out-of-area follow-up care.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Emergency Room (when traveling):
In-Network Provider 
For in-network providers: 
The plan as a $250 individual deductible, not to exceed $500 per family.
However, Emergency room hospital is not subject to the deductible.  
The copay for Emergency room hospital services is $150.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Emergency Room Physician (professional services):
In-Network Provider 
For in-network providers: 
The plan as a $250 individual deductible, not to exceed $500 per family.
However, Emergency room physician is not subject to the deductible.  
The plan will reimburse the provider 100% of the allowed amount for Emergency room physician.  
Out-of-Network Provider 
For out-of-network providers, the member is responsible for 100% of the provider's billed amount, as the plan only covers in-network providers.
Ambulance (if needed during an emergency):
In-Network Provider 
For in-network providers:
The plan as a $250 individual deductible, not to exceed $500 per family. 
However, Emergency transport - air is not subject to the deductible.  
The copay for Emergency transport - air services is $100.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t>
  </si>
  <si>
    <t>Missing Deductible</t>
  </si>
  <si>
    <t>Added plan deductible $250 Ind/ $500 Fam</t>
  </si>
  <si>
    <t>M0042952</t>
  </si>
  <si>
    <t>Full PPO Combined Deductible Value 30-3000 80/50</t>
  </si>
  <si>
    <t>Chiropractic Services</t>
  </si>
  <si>
    <t>Chiropractic</t>
  </si>
  <si>
    <t>Are there annual limits on chiropractic visits?</t>
  </si>
  <si>
    <t xml:space="preserve">Brief Answer 
Yes. This PPO plan has an annual limit of 20 chiropractic visits per member per calendar year (in-network and out-of-network). 
──────────────────────────────────────────────────
Detailed Explanation
Chiropractic Services (annual limit question)
In-Network Provider 
For in-network providers: 
the plan has a $3,000 deductible per person, not to exceed $6,000 per family.  
However, Chiropractic is not subject to the deductible.  
The copay for Chiropractic services is $25.  
The service applies to the plan's out-of-pocket maximum amount of $6,850, not to exceed $13,700 per family. When the plan's out-of-pocket maximum amount is satisfied, the health plan will reimburse 100% of the allowed amount.  
This plan has a limit of Up to a Benefit maximum of 20 visits per member per calendar year. If your Plan has a Calendar Year medical Deductible, the number of visits start counting toward the maximum when Services are first provided even if the Calendar Year medical Deductible has not been met. 
Additional details: 
- Visits count toward the 20-visit maximum even if the medical deductible has not been met.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Chiropractic is subject to this deductible. Once the deductible is met,  
The coinsurance is 50% of the allowed amount, and the plan will reimburse the remaining 50% of the allowed amount for Chiropractic.  
The service applies to the plan's out-of-pocket maximum amount of $13,000, not to exceed $26,000 per family. When the plan's out-of-pocket maximum amount is satisfied, the health plan will reimburse 100% of the allowed amount.  
This plan has a limit of Up to a Benefit maximum of 20 visits per member per calendar year. If your Plan has a Calendar Year medical Deductible, the number of visits start counting toward the maximum when Services are first provided even if the Calendar Year medical Deductible has not been met. 
This member's chiropractic benefits are administered by ASH. For questions about chiropractic, ASH participating providers, or chiropractic benefits, contact ASH at (800) 678-9133. 
</t>
  </si>
  <si>
    <t>M0041772</t>
  </si>
  <si>
    <t>Virtual Blue℠ EPO Savings Two-Tier Embedded Deductible 1800/3400/3600</t>
  </si>
  <si>
    <t>EPO Savings</t>
  </si>
  <si>
    <t>Does my plan cover a chiropractor?</t>
  </si>
  <si>
    <t xml:space="preserve">Brief Answer 
Yes. This plan covers chiropractic services, with a 20% coinsurance (and it is subject to the medical deductible) for participating providers, up to a 20 visits per calendar year limit.
──────────────────────────────────────────────────
Detailed Explanation
Chiropractic Services (Chiropractic Spinal Manipulation):
#### In-Network Provider
For in-network providers: 
the plan has a $1,800 deductible per person, not to exceed $3,600 per family.  
Chiropractic Services is subject to this deductible. Once the deductible is met,  
The coinsurance is 20% of the allowed amount, and the plan will reimburse the remaining 80% of the allowed amount for Chiropractic Services.  
The service applies to the plan's out-of-pocket maximum amount of $4,500, not to exceed $9,000 per family. When the plan's out-of-pocket maximum amount is satisfied, the health plan will reimburse 100% of the allowed amount.  
This plan has a limit of Up to a maximum of 20 visits per member per calendar year. If your Plan has a Calendar Year medical Deductible, the number of visits start counting toward the maximum when Services are first provided even if the Calendar Year medical Deductible has not been met. 
This member's chiropractic benefits are administered by ASH. For questions about chiropractic, ASH participating providers, or chiropractic benefits, contact ASH at (800) 678-9133. 
Discounts for accunpuncture, chiropractic, and therapeutic massage treatments are available through the ChooseHealthy program provided by American Specialty Health Group. 
Refer to https://www.blueshieldca.com/en/home/be-well/live-healthy website to locate a particpating provider and learn more about what's included in this program.
</t>
  </si>
  <si>
    <t>M0041722</t>
  </si>
  <si>
    <t>Full PPO Savings Two-Tier Embedded Deductible 2250/3400/4500 with $0 HDHP Preventive Drug Benefit</t>
  </si>
  <si>
    <t>PSP</t>
  </si>
  <si>
    <t>Two Tier Emb Ded</t>
  </si>
  <si>
    <t>I've been thinking about going to a Chiropractor. Is that covered?</t>
  </si>
  <si>
    <t xml:space="preserve">Brief Answer 
Yes—chiropractic services are covered under this plan, with a 20-visit per member per calendar year limit. In-network you pay 20% coinsurance (and it is subject to the medical deductible). Out-of-network you pay 50% coinsurance (also subject to the deductible) and the provider may balance bill.
──────────────────────────────────────────────────
Detailed Explanation
Chiropractic Services (Chiropractic Spinal Manipulation):
In-Network Provider
For in-network providers: 
The plan has a $2,250 deductible for individual coverage, not to exceed $3,400 per individual or $4,500 per family for family coverage.
Chiropractic Services is subject to this deductible. Once the deductible is met, the coinsurance is 20% of the allowed amount, and the plan will reimburse the remaining 80% of the allowed amount for Chiropractic Services.  
The service applies to the plan's out-of-pocket maximum amount of $3,500, not to exceed $7,000 per family. When the plan's out-of-pocket maximum amount is satisfied, the health plan will reimburse 100% of the allowed amount.  
This plan has a limit of Up to a Benefit maximum of 20 visits per member per calendar year. If your Plan has a Calendar Year medical Deductible, the number of visits start counting toward the maximum when Services are first provided even if the Calendar Year medical Deductible has not been met.  
Out-of-Network Provider
For out-of-network providers: 
An out-of-network provider has the right to bill for the balance. What this means is that the member may be responsible for the difference between the allowed amount and billed amount.  
The plan has a $2,250 deductible for individual coverage, not to exceed $3,400 per individual or $4,500 per family for family coverage.
Chiropractic Services is subject to this deductible. Once the deductible is met, the coinsurance is 50% of the allowed amount, and the plan will reimburse the remaining 50% of the allowed amount for Chiropractic Services.  
The service applies to the plan's out-of-pocket maximum amount of $6,000, not to exceed $12,000 per family. When the plan's out-of-pocket maximum amount is satisfied, the health plan will reimburse 100% of the allowed amount.  
This plan has a limit of Up to a Benefit maximum of 20 visits per member per calendar year. If your Plan has a Calendar Year medical Deductible, the number of visits start counting toward the maximum when Services are first provided even if the Calendar Year medical Deductible has not been met. 
Additional details:
- Benefits are provided for chiropractic services performed by a chiropractor or other appropriately licensed or certified Health Care Provider. 
- The chiropractic benefit includes the initial examination, subsequent office visits, adjustments, and plain film X-ray services in a chiropractor’s office. 
This member's chiropractic benefits are administered by ASH. For questions about chiropractic, ASH participating providers, or chiropractic benefits, contact ASH at (800) 678-9133. 
</t>
  </si>
  <si>
    <t>New LLM Rule 46</t>
  </si>
  <si>
    <t>Family Embedded Individual Rule AND removed incorrect Deductible informaiton "Chiropractic Services is subject to this deductible" as Chiro IS subject to the deductible.</t>
  </si>
  <si>
    <t>M0042915</t>
  </si>
  <si>
    <t>M0044629</t>
  </si>
  <si>
    <t>Full PPO Combined Deductible Value 10-1000 90/70</t>
  </si>
  <si>
    <t>Diabetes Care Services</t>
  </si>
  <si>
    <t>Testing Supplies</t>
  </si>
  <si>
    <t>Does my plan cover insulin pumps and supplies?</t>
  </si>
  <si>
    <t xml:space="preserve">Brief Answer 
Yes. This plan covers insulin pumps and related diabetic supplies under Diabetes Care Services (devices, equipment, and supplies), subject to the medical deductible and then coinsurance. Coverage differs by network (in-network vs out-of-network).
──────────────────────────────────────────────────
Detailed Explanation
Diabetes Care Services – Devices, equipment, and supplies (includes insulin pumps and related supplies):
#### In-Network Provider
For in-network providers: 
the plan has a $1,000 deductible per person, not to exceed $3,000 per family.  
Diabetes: Devices, equipment and supplies is subject to this deductible. Once the deductible is met,  
The coinsurance is 10% of the allowed amount, and the plan will reimburse the remaining 90% of the allowed amount for Diabetes: Devices, equipment and supplies.  
The service applies to the plan's out-of-pocket maximum amount of $4,000, not to exceed $8,000 per family. When the plan's out-of-pocket maximum amount is satisfied, the health plan will reimburse 100% of the allowed amount. 
Additional details:
- Covered diabetic devices, equipment, and supplies include insulin pumps and all related necessary supplies. 
Out-of-Network Provider
For out-of-network providers: 
An out-of-network provider has the right to bill for the balance. What this means is that the member may be responsible for the difference between the allowed amount and billed amount. 
the plan has a $1,000 deductible per person, not to exceed $3,000 per family.  
Diabetes: Devices, equipment and supplies is subject to this deductible. Once the deductible is met,  
The coinsurance is 30% of the allowed amount, and the plan will reimburse the remaining 70% of the allowed amount for Diabetes: Devices, equipment and supplies.  
The service applies to the plan's out-of-pocket maximum amount of $6,000, not to exceed $12,000 per family. When the plan's out-of-pocket maximum amount is satisfied, the health plan will reimburse 100% of the allowed amount. 
</t>
  </si>
  <si>
    <t>Brief Answer 
Yes—this plan covers insulin pumps and the related necessary supplies when provided as covered diabetes devices/equipment/supplies. In-network, the Member cost share is 20% coinsurance (not subject to the plan’s deductible).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Diabetes devices/equipment &amp; supplies (includes insulin pumps and related supplies):
#### A) Diabetes Care Services — Equipment (used to cover insulin pumps) 
In-Network Provider 
For in-network providers, [2] 
The plan has a $2,000 deductible per person, not to exceed $4,000 per family. [5] 
However, Diabetes Care Services – Equipment is not subject to the deductible. [2] 
The coinsurance is 20% of the allowed amount, and the plan will reimburse the remaining 80% of the allowed amount for Diabetes Care Services – Equipment services. [2] 
The service applies to the plan's out-of-pocket maximum amount of $5,500 individual out-of-pocket maximum, not to exceed $11,000 per family. When the plan's out-of-pocket maximum amount is satisfied, the health plan will reimburse 100% of the allowed amount. [2][6]
Additional details: 
- Covered diabetes devices/equipment/supplies include insulin pumps and all related necessary supplies. [3] 
- The plan also covers replacement of a covered item after the expiration of its life expectancy. [3]
Out-of-Network Provider 
For out-of-network providers, the member is responsible for 100% of the provider's billed amount, as the plan only covers in-network providers.
#### B) Diabetes Care Services — Testing Supplies (also part of diabetes supplies coverage) 
In-Network Provider 
For in-network providers, [4] 
The plan has a $2,000 deductible per person, not to exceed $4,000 per family. [5] 
However, Diabetes Care Services – Testing Supplies is not subject to the deductible. [4] 
The coinsurance is 20% of the allowed amount, and the plan will reimburse the remaining 80% of the allowed amount for Diabetes Care Services – Testing Supplies services. [4] 
The service applies to the plan's out-of-pocket maximum amount of $5,500 individual out-of-pocket maximum, not to exceed $11,000 per family. When the plan's out-of-pocket maximum amount is satisfied, the health plan will reimburse 100% of the allowed amount. [4][6]
Additional details: 
- Covered diabetes devices/equipment/supplies include insulin pumps and all related necessary supplies. [3]
Out-of-Network Provider 
For out-of-network providers, the member is responsible for 100% of the provider's billed amount, as the plan only covers in-network providers.
──────────────────────────────────────────────────
Sources &amp; Citations
--- TABLE ---
Ref | Benefit/Service | Cost Share | Source
[1] | HMO PCP/Medical Group coordination | Referral/medical group requirement (disclaimer) | RULES_JSON &gt; levels[1] &gt; rules[0] (Rule 4), condition met by `planStructureType: "HMO"`
[2] | Diabetes Care Services – Equipment | 20% Coinsurance; not subject to deductible; OOPM applies | eocCategories &gt; Diabetes Care Services &gt; Diabetes Care &gt; Equipment &gt; providerCostShares[0]
[3] | Diabetes Care Services (what’s included) | Includes insulin pumps &amp; related supplies; replacement after life expectancy | eocCategories &gt; Diabetes Care Services &gt; content
[4] | Diabetes Care Services – Testing Supplies | 20% Coinsurance; not subject to deductible; OOPM applies | eocCategories &gt; Diabetes Care Services &gt; Diabetes Care &gt; Testing Supplies &gt; providerCostShares[0]
[5] | Medical Deductible (facility) | $2,000 Individual Facility / $4,000 Family Facility | planCostShares (costShareType="Medical Deductible") &gt; providerCostShares (HMO Provider) &gt; coveredParties
[6] | Out-of-Pocket Maximum | $5,500 Individual / $11,000 Family | planCostShares (costShareType="OOP Maximum") &gt; providerCostShares (HMO Provider) &gt; coveredParties</t>
  </si>
  <si>
    <t xml:space="preserve">Benefit Category: Diabetes Care Services/ Equipment AND Testing Supplies
HMO Provider- 20% Coinsurance, Subject to Deductible –No, Applies to Annual Copay Max – Yes
OOPM - $5,500 ind, $11,000 fam </t>
  </si>
  <si>
    <t>M0043038</t>
  </si>
  <si>
    <t>Active Choice® Classic 850 70/50 1000 Deductible</t>
  </si>
  <si>
    <t>Active Choice Classic</t>
  </si>
  <si>
    <t>Diabetic Supplies</t>
  </si>
  <si>
    <t>How are diabetes testing supplies covered?</t>
  </si>
  <si>
    <t xml:space="preserve">Brief Answer 
Diabetes testing supplies are covered as Category 1 / First Dollar Services under the Diabetes Care Services benefit. Diabetes Care Services - testing supplies is not subject to your deductible and is covered at 100% with no member cost share.
──────────────────────────────────────────────────
Detailed Explanation
Diabetes Care Services → Testing Supplies:
For in-network providers:  
This is an Active Choice Plan that allows you to use your First Dollar Services credit towards these services before any Deductible applies. You credit is $850 for individual coverage, and $1,700 if you have family coverage. 
After the your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plan's deductible is $1,000 per individual, not to exceed $2,000 per family.  
Your Out-of-Pocket Maximum amount is $5,000 per individual and $10,000 per family when using participating providers.
For out-of-network providers:  
An out-of-network provider has the right to bill for the balance. What this means is that the member may be responsible for the difference between the allowed amount and billed amount. 
This is an Active Choice Plan that allows you to use your First Dollar Services credit towards these services before any Deductible applies. You credit is $850 for individual coverage, and $1,700 if you have family coverage. 
After the your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plan's deductible is $1,000 per individual, not to exceed $2,000 per family.  
Your Out-of-Pocket Maximum amount is $10,000 per individual and $20,000 per family when using non-participating providers.
Additional details: (from the Diabetes Care Services section)  
- Covered diabetic devices, equipment, and supplies include blood and urine testing strips and tablets, and lancets and lancet puncture devices. 
- Covered items also include blood glucose monitors (including continuous blood glucose monitors) and related necessary supplies. 
- The plan covers replacement of a covered item after the expiration of its life expectancy.
</t>
  </si>
  <si>
    <t xml:space="preserve">HW 5/18: New Rule 57 </t>
  </si>
  <si>
    <t>See LLM Rule 57</t>
  </si>
  <si>
    <t>Are we missing if the benefit doesn’t apply to the deductible - However testing strips do not apply to the plans deductible</t>
  </si>
  <si>
    <t>M0042733</t>
  </si>
  <si>
    <t>Trio HMO Zero Admit 15</t>
  </si>
  <si>
    <t>I was just diagnosed with Diabetes and need to take a training class, is that covered?</t>
  </si>
  <si>
    <t xml:space="preserve">Brief Answer 
Yes—diabetes self-management training is covered under this plan. In-network, the cost is $15 per visit for diabetes self-management training provided in an office setting.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Diabetes Care Services — Self Management Training (Office):
In-Network Provider 
For in-network providers:  
The plan does not have a deductible.  
The copay for Diabetes Self Management and Training - Office services is $15.  
The service applies to the plan's out-of-pocket maximum amount of $1,500, not to exceed $3,000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</si>
  <si>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LLM Rule (Deductible)</t>
  </si>
  <si>
    <t>removed "However, Diabetes Self Management and Training - Office is not subject to the deductible." as this plan does not have a deductible.</t>
  </si>
  <si>
    <t>M0043153</t>
  </si>
  <si>
    <t>Full PPO Combined Deductible 25-250 90/60</t>
  </si>
  <si>
    <t>Diabetes Care Services 
Physician and other Professional Services</t>
  </si>
  <si>
    <t>Is nutrition therapy covered?</t>
  </si>
  <si>
    <t xml:space="preserve">Brief Answer 
Yes—nutrition therapy is covered under the Physician and other Professional Services benefit and is paid as 10% coinsurance in-network (typically after the medical deductible) and 40% coinsurance out-of-network (typically after the medical deductible). Also, Medical Nutrition Therapy is covered under Diabetes Care Services is not subject to the deductible and has a in-network $25 copay per visit and 40% coinsurance out-of-network.
──────────────────────────────────────────────────
Detailed Explanation
A. Nutrition therapy (office-based professional service)
In-Network Provider 
For in-network providers: 
The plan has a $250 deductible per person, not to exceed $750 per family.  
Nutritional Therapy/Counseling is subject to this deductible. Once the deductible is met,  
The coinsurance is 10% of the allowed amount, and the plan will reimburse the remaining 90% of the allowed amount for Nutritional Therapy/Counseling.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Nutritional Therapy/Counseling is subject to this deductible. Once the deductible is met,  
The coinsurance is 40% of the allowed amount, and the plan will reimburse the remaining 60% of the allowed amount for Nutritional Therapy/Counseling.  
The service applies to the plan's out-of-pocket maximum amount of $7,750, not to exceed $15,500 per family. When the plan's out-of-pocket maximum amount is satisfied, the health plan will reimburse 100% of the allowed amount. 
B. Diabetes Care - Medical Nutrition therapy 
In-Network Provider 
For in-network providers: 
The plan has a $250 deductible per person, not to exceed $750 per family.  
Medical Nutritional Therapy is not subject to this deductible. The copay is $25 per visit.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Medical Nutritional Therapy is subject to this deductible. Once the deductible is met,  
The coinsurance is 40% of the allowed amount, and the plan will reimburse the remaining 60% of the allowed amount for Nutritional Therapy/Counseling.  
The service applies to the plan's out-of-pocket maximum amount of $7,750, not to exceed $15,500 per family. When the plan's out-of-pocket maximum amount is satisfied, the health plan will reimburse 100% of the allowed amount. </t>
  </si>
  <si>
    <t>Missing Benefit</t>
  </si>
  <si>
    <t>Added Diabetes Care Services - Medical Nutrition Therapy</t>
  </si>
  <si>
    <t>M0043326</t>
  </si>
  <si>
    <t>Full PPO Split Deductible 25-750 80/60</t>
  </si>
  <si>
    <t>Diagnostic X-ray, imaging, pathology, laboratory, and other testing</t>
  </si>
  <si>
    <t>Basic Diagnostic</t>
  </si>
  <si>
    <t>I got a lab referral slip from my doctor. Can you tell me what code 80048 means and what the coverage for that is?</t>
  </si>
  <si>
    <t xml:space="preserve">Brief Answer 
CPT 80048 is a Basic Metabolic Panel (BMP)—a common blood test panel. For coverage, this plan treats it as laboratory testing, and the member cost share depends on where the lab work is performed (lab/office vs. hospital outpatient). 
──────────────────────────────────────────────────
Detailed Explanation
Basic Metabolic Panel (CPT 80048) — mapped to Laboratory and Pathology Services:
This service falls under the plan’s “Diagnostic X-ray, imaging, pathology, laboratory, and other testing services” category, specifically “Laboratory and Pathology Services.” 
A) Laboratory Center / Office Location (Professional lab)
In-Network Provider 
For in-network providers: 
the plan has a $750 deductible per person, not to exceed $2,250 per family.  
Laboratory Center is subject to this deductible. Once the deductible is met,  
The copay for Laboratory Center services is $25.  
The service applies to the plan's out-of-pocket maximum amount of $5,250, not to exceed $10,500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$6,750 per family.  
Laboratory Center is subject to this deductible. Once the deductible is met,  
The coinsurance is 40% of the allowed amount, and the plan will reimburse the remaining 60% of the allowed amount for Laboratory Center.  
The service applies to the plan's out-of-pocket maximum amount of $9,500, not to exceed $19,000 per family. When the plan's out-of-pocket maximum amount is satisfied, the health plan will reimburse 100% of the allowed amount. 
B) Outpatient department of a hospital (Facility outpatient lab)
In-Network Provider 
For in-network providers: 
the plan has a $750 deductible per person, not to exceed $2,250 per family.  
Outpatient department of a hospital is subject to this deductible. Once the deductible is met,  
The copay for Outpatient department of a hospital services is $50.  
The service applies to the plan's out-of-pocket maximum amount of $5,250, not to exceed $10,500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$6,750 per family.  
Outpatient department of a hospital is subject to this deductible. Once the deductible is met,  
The coinsurance is 40% of the allowed amount, and the plan will reimburse the remaining 60% of the allowed amount for Outpatient department of a hospital.  
The service applies to the plan's out-of-pocket maximum amount of $9,500, not to exceed $19,000 per family. When the plan's out-of-pocket maximum amount is satisfied, the health plan will reimburse 100% of the allowed amount.  
This plan has a maximum payable amount of up to $350 per day. This means the member would also be responsible for all charges above $350 per day. 
──────────────────────────────────────────────────
</t>
  </si>
  <si>
    <t>Trio HMO Facility Deductible 40-40%/2000</t>
  </si>
  <si>
    <t>Office Location
Outpatient department of a hospital</t>
  </si>
  <si>
    <t>Are benefits provided for outpatient pulmonary function testing?</t>
  </si>
  <si>
    <t xml:space="preserve">Brief Answer 
Yes. Outpatient pulmonary function testing is covered at No Charge when performed by an in-network (HMO) provider. For out-of-network providers, the Member is responsible for 100% of the provider’s billed amount because this HMO plan only covers in-network providers.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Pulmonary function testing is an outpatient, non-invasive diagnostic test, so it falls under “Other Outpatient Non-Invasive Diagnostic Testing.” 
Other Outpatient Non-Invasive Diagnostic Testing (Outpatient pulmonary function testing):
#### In-Network Provider
For in-network providers:  
However, Other Outpatient Non-Invasive Diagnostic Testing is not subject to the deductible.  
The plan will reimburse the provider 100% of the allowed amount for Other Outpatient Non-Invasive Diagnostic Testing. 
#### Out-of-Network Provider
For out-of-network providers, the member is responsible for 100% of the provider's billed amount, as the plan only covers in-network providers. 
</t>
  </si>
  <si>
    <t>M0043654</t>
  </si>
  <si>
    <t>Access+ HMO® Per Day 30-500</t>
  </si>
  <si>
    <t>Are genetic counseling sessions covered for cancer risk?</t>
  </si>
  <si>
    <t>Brief Answer
Genetic counseling** maps to an **Other practitioner office visit** under this plan, with an **in-network copay of $30 per visit** and no deductible. This benefit **does apply to the plan out-of-pocket maximum**.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 Genetic counseling — billed as an “Other practitioner office visit”
#### In-Network Provider  
For in-network providers: [2]  
the plan does not have a deductible. [3]  
However, genetic counseling is not subject to the deductible. [4]  
The copay for genetic counseling  services is **$30 per visit**. [5]  
The service applies to the plan's out-of-pocket maximum amount of *$4,000**, not to exceed **$8,000** per family. When the plan's out-of-pocket maximum amount is satisfied, the health plan will reimburse 100% of the allowed amount. [6]  
Trio: The patient does not need a referral for: Emergency Services; Urgent Services; Trio+ Specialist visits; OB/GYN services by an obstetrician, gynecologist, or family practice Physician within the patient's Medical Group; and Office visits with the patient's primary care physician (PCP). 
#### Out-of-Network Provider  
For out-of-network providers, the member is responsible for 100% of the provider's billed amount, as the plan only covers in-network providers.
--</t>
  </si>
  <si>
    <t xml:space="preserve">No - should associate to professional dr/ or other medical practioner visit </t>
  </si>
  <si>
    <t xml:space="preserve">Updated response    </t>
  </si>
  <si>
    <t>M0041594</t>
  </si>
  <si>
    <t>Trio HMO Per Day 30-500</t>
  </si>
  <si>
    <t>Are genetic testing services for inherited heart conditions covered?</t>
  </si>
  <si>
    <t xml:space="preserve">Brief Answer 
Yes—genetic testing can be covered under this plan when it’s part of diagnostic testing (and the plan specifically calls out genetic testing as part of “other non-invasive diagnostic testing”). Coverage is in-network only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Genetic testing (most likely category: “Other Outpatient Non-Invasive Diagnostic Testing”):
In-Network Provider 
This plan does not have a deductible.
The plan will reimburse the provider 100% of the allowed amount for Other Outpatient Non-Invasive Diagnostic Testing. 
Out-of-Network Provider 
For out-of-network providers, the member is responsible for 100% of the provider's billed amount, as the plan only covers in-network providers. 
</t>
  </si>
  <si>
    <t>updated to This plan does not have a deductible.</t>
  </si>
  <si>
    <t>M0041603</t>
  </si>
  <si>
    <t>Added Advantage POS℠ 500-100/80/60</t>
  </si>
  <si>
    <t>POS</t>
  </si>
  <si>
    <t>POS Added Advantage</t>
  </si>
  <si>
    <t>Are lab tests like blood work or urinalysis covered?</t>
  </si>
  <si>
    <t xml:space="preserve">Brief Answer 
Yes—diagnostic lab tests (including common blood work and urinalysis) are covered under the plan’s Diagnostic X-ray, imaging, pathology, laboratory, and other testing services benefits. Your cost depends on whether the lab is performed in an office/lab setting vs. the outpatient department of a hospital, and whether the provider is in-network.
──────────────────────────────────────────────────
Detailed Explanation
Laboratory and Pathology Services — Laboratory Center / Office-type setting And Outpatient department of a hospital:
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There is no deductible and you have a $0 cost share.
For Level 2 PPO in-network providers, you may access services without a referral. The plan has a $500 deductible per person, not to exceed $1,000 per family.  Once the deductible is met, the plan will reimburse the provider 80% of the allowed amount for Laboratory and Pathology Services.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Laboratory and Pathology Services.  
The service applies to the plan's out-of-pocket maximum amount of $5,500, not to exceed $16,000 per family. When the plan's out-of-pocket maximum amount is satisfied, the health plan will reimburse 100% of the allowed amount.  
</t>
  </si>
  <si>
    <t>5/6 HW: New POS LLM Rule 47</t>
  </si>
  <si>
    <t xml:space="preserve">Updated response with 3 levels </t>
  </si>
  <si>
    <t>M0043391</t>
  </si>
  <si>
    <t>Shield Spectrum PPO℠ 250-90/70 Standard</t>
  </si>
  <si>
    <t>Are outpatient sleep studies covered for diagnosing sleep apnea?</t>
  </si>
  <si>
    <t xml:space="preserve">Brief Answer 
Yes—outpatient sleep studies for diagnosing sleep apnea appear to be covered under Other Outpatient Non-Invasive Diagnostic Testing, depending on where the test is performed (office location or outpatient department of hospital). In-network cost share is typically $10 or $35 per visit (and is subject to the medical deductible); out-of-network is generally 30% coinsurance (also subject to the deductible). 
──────────────────────────────────────────────────
Detailed Explanation
A. Other Outpatient Non-Invasive Diagnostic Testing (Office Location):
In-Network Provider 
For in-network providers: 
The plan has a $250 deductible per person, not to exceed $750 per family.  
Other Outpatient Non-Invasive Diagnostic Testing (Office Location) is subject to this deductible. Once the deductible is met, the copay for Other Outpatient Non-Invasive Diagnostic Testing (Office Location) services is $10.  
The service applies to the plan's out-of-pocket maximum amount of $2,750, not to exceed $5,500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Other Outpatient Non-Invasive Diagnostic Testing (Office Location) is subject to this deductible. Once the deductible is met,  
The coinsurance is 30% of the allowed amount, and the plan will reimburse the remaining 70% of the allowed amount for Other Outpatient Non-Invasive Diagnostic Testing (Office Location).  
The service applies to the plan's out-of-pocket maximum amount of $5,250, not to exceed $10,500 per family. When the plan's out-of-pocket maximum amount is satisfied, the health plan will reimburse 100% of the allowed amount.  
B. Outpatient department of a hospital:
In-Network Provider 
For in-network providers: 
The plan has a $250 deductible per person, not to exceed $750 per family.  
Other Outpatient Non-Invasive Diagnostic Testing (Outpatient dept of hospital) is subject to this deductible. Once the deductible is met,  
Other Outpatient Non-Invasive Diagnostic Testing (Outpatient dept of hospital) of a hospital services is $35.  
The service applies to the plan's out-of-pocket maximum amount of $2,750, not to exceed $5,500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Other Outpatient Non-Invasive Diagnostic Testing (Outpatient dept of hospital) is subject to this deductible. Once the deductible is met,  
The coinsurance is 30% of the allowed amount, and the plan will reimburse the remaining 70% of the allowed amount for Other Outpatient Non-Invasive Diagnostic Testing (Outpatient dept of hospital).  
The service applies to the plan's out-of-pocket maximum amount of $5,250, not to exceed $10,500 per family. When the plan's out-of-pocket maximum amount is satisfied, the health plan will reimburse 100% of the allowed amount.  
</t>
  </si>
  <si>
    <t>Added to Other Outpt Non-Invasive Diagnostic Testing - Outpatient department of hospital and 
Removed Laboratory and Pathology services</t>
  </si>
  <si>
    <t>M0041641</t>
  </si>
  <si>
    <t>Full PPO Combined Deductible Value 25-2500 80/50</t>
  </si>
  <si>
    <t>How are outpatient cardiac stress tests covered?</t>
  </si>
  <si>
    <t xml:space="preserve">Brief Answer 
Outpatient cardiac stress tests aren’t listed by name, but they would generally be covered under Other Outpatient Non-Invasive Diagnostic Testing (and sometimes Diagnostic X-ray, imaging… depending on how it’s billed). For this PPO plan, the Member typically pays a copay/coinsurance depending on where the test is performed, and out-of-network coverage is at a higher cost share.
──────────────────────────────────────────────────
Detailed Explanation
Cardiac stress tests are non-invasive diagnostic tests, so the closest matching category in this plan is Other Outpatient Non-Invasive Diagnostic Testing (office vs outpatient hospital setting) under “Diagnostic X-ray, imaging, pathology, laboratory, and other testing services.” 
A) Office location (Other Outpatient Non-Invasive Diagnostic Testing):
In-Network Provider 
For in-network providers:  
the plan has a $2,500 deductible per person, not to exceed $5,000 per family.  
Other Outpatient Non-Invasive Diagnostic Testing is subject to this deductible. Once the deductible is met,  
The copay for Other Outpatient Non-Invasive Diagnostic Testing services is $25.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Other Outpatient Non-Invasive Diagnostic Testing is subject to this deductible. Once the deductible is met,  
The coinsurance is 50% of the allowed amount, and the plan will reimburse the remaining 50% of the allowed amount for Other Outpatient Non-Invasive Diagnostic Testing.  
The service applies to the plan's out-of-pocket maximum amount of $10,500, not to exceed $21,000 per family. When the plan's out-of-pocket maximum amount is satisfied, the health plan will reimburse 100% of the allowed amount. 
B) Outpatient department of a hospital (Other Outpatient Non-Invasive Diagnostic Testing):
In-Network Provider 
For in-network providers:  
the plan has a $2,500 deductible per person, not to exceed $5,000 per family.  
Other Outpatient Non-Invasive Diagnostic Testing is subject to this deductible. Once the deductible is met,  
The copay for Other Outpatient Non-Invasive Diagnostic Testing services is $50.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Other Outpatient Non-Invasive Diagnostic Testing is subject to this deductible. Once the deductible is met,  
The coinsurance is 50% of the allowed amount, and the plan will reimburse the remaining 50% of the allowed amount for Other Outpatient Non-Invasive Diagnostic Testing.  
This plan has a maximum payable amount of up to $350 per day. This means the member would also be responsible for all charges above $350 per day.  
The service applies to the plan's out-of-pocket maximum amount of $10,500, not to exceed $21,000 per family. When the plan's out-of-pocket maximum amount is satisfied, the health plan will reimburse 100% of the allowed amount. 
Additional details::
- The plan covers “other areas of non-invasive diagnostic testing, including … cardiological …” as part of the broader diagnostic testing benefit category. 
</t>
  </si>
  <si>
    <t>M0041753</t>
  </si>
  <si>
    <t>Tandem EPO 20-500 80%</t>
  </si>
  <si>
    <t xml:space="preserve">Advanced Imaging Services -Outpt Radiology Ctr
</t>
  </si>
  <si>
    <t>I have a CT scan scheduled at an Imaging Center, I need to know how much I will need to pay? </t>
  </si>
  <si>
    <t xml:space="preserve">Brief Answer 
For a CT scan at an imaging (outpatient radiology) center, the member will pay 20% coinsurance (after the $500 individual / $1,500 family medical deductible is met). The CT scan does apply to the plan’s $3,000 individual / $6,000 family out-of-pocket maximum.
──────────────────────────────────────────────────
Detailed Explanation
Exclusive Provider Organization (EPO) Disclaimer:
This is an Exclusive Provider Organization (EPO) plan. You must receive all Covered Benefits from a Participating Provider,  the exception is with Emergency or Urgent Services.
CT Scan (Advanced Imaging) — Outpatient Radiology/Imaging Center:
#### In-Network Provider
For in-network providers: 
The plan has a $500 deductible per person, not to exceed $1,500 per family.  
Advanced Imaging Services (CT scan) — Outpatient Radiology center is subject to this deductible. Once the deductible is met,  
The coinsurance is 20% of the allowed amount, and the plan will reimburse the remaining 80% of the allowed amount for Advanced Imaging Services (CT scan) — Outpatient Radiology center.  
The service applies to the plan's out-of-pocket maximum amount of $3,000, not to exceed $6,000 per family. When the plan's out-of-pocket maximum amount is satisfied, the health plan will reimburse 100% of the allowed amount. 
Additional details:
- Advanced imaging (including CT scans) is listed as a service that requires prior authorization in the Prior Authorization section. 
#### Out-of-Network Provider
For out-of-network providers: 
Out-of-network provider's are not covered under this plan.
</t>
  </si>
  <si>
    <t>HW 0511- New EPO Rule 51</t>
  </si>
  <si>
    <t>Advanced Imaging Services - Outpt Radiology Ctr
Advanced Imaging Services - Outpt Dept of Hospital</t>
  </si>
  <si>
    <t>I have a scheduled MRI, what is the coverage for that? </t>
  </si>
  <si>
    <t xml:space="preserve">Brief Answer 
An MRI is covered under Advanced Imaging Services and is subject to the medical deductible. In-network MRI is 20% coinsurance (radiology center/professional) or 30% coinsurance (hospital outpatient facility), and out-of-network is generally 40% coinsurance (with a per-day maximum payable amount feature on the facility side). 
──────────────────────────────────────────────────
Detailed Explanation
The plan has a $750 deductible per person, not to exceed $2,250 per family. 
A. MRI at an Outpatient Radiology Center (Professional/Outpatient):
In-Network Provider:
For in-network providers: 
Advanced Imaging Services (Outpatient Radiology center) is subject to this deductible. Once the deductible is met, 
The coinsurance is 20% of the allowed amount, and the plan will reimburse the remaining 80% of the allowed amount for Advanced Imaging Services (Outpatient Radiology center).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Advanced Imaging Services (Outpatient Radiology center) is subject to this deductible. Once the deductible is met, 
The coinsurance is 40% of the allowed amount, and the plan will reimburse the remaining 60% of the allowed amount for Advanced Imaging Services (Outpatient Radiology center).  
The service applies to the plan's out-of-pocket maximum amount of $10,750, not to exceed $21,500 per family. When the plan's out-of-pocket maximum amount is satisfied, the health plan will reimburse 100% of the allowed amount. 
B. MRI in the Outpatient Department of a Hospital (Facility/Outpatient):
In-Network Provider:
For in-network providers: 
Advanced Imaging Services (Outpatient department of a hospital) is subject to this deductible. Once the deductible is met, 
The coinsurance is 30% of the allowed amount, and the plan will reimburse the remaining 70% of the allowed amount for Advanced Imaging Services (Outpatient department of a hospital).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Advanced Imaging Services (Outpatient department of a hospital) is subject to this deductible. Once the deductible is met, 
The coinsurance is 40% of the allowed amount, and the plan will reimburse the remaining 60% of the allowed amount for Advanced Imaging Services (Outpatient department of a hospital).  
This plan has a maximum payable amount of up to $350 per day. This means the member would also be responsible for all charges above $350 per day.  
The service applies to the plan's out-of-pocket maximum amount of $10,750, not to exceed $21,500 per family. When the plan's out-of-pocket maximum amount is satisfied, the health plan will reimburse 100% of the allowed amount. 
</t>
  </si>
  <si>
    <t>Lab and Pathology - Laboratory Center
Lab and Pathology - Outpatient department of a hospital</t>
  </si>
  <si>
    <t>Is a thyroid TSH test covered?</t>
  </si>
  <si>
    <t xml:space="preserve">Brief Answer 
Yes — a thyroid TSH lab test is covered under the plan’s laboratory/pathology benefits. Cost depends on where it’s performed (e.g., lab center vs. hospital outpatient department) and whether the provider is in-network.
──────────────────────────────────────────────────
Detailed Explanation
A. Laboratory and Pathology Services (TSH blood test):
#### Laboratory Center
In-Network Provider 
For in-network providers: 
the plan has a $750 deductible per person, not to exceed $2,250 per family. 
Laboratory and Pathology Services is subject to this deductible. Once the deductible is met, 
The copay for Laboratory Center services is $30 per visit.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Laboratory and Pathology Services is subject to this deductible. Once the deductible is met, 
The coinsurance is 40% of the allowed amount, and the plan will reimburse the remaining 60% of the allowed amount for Laboratory Center. 
The service applies to the plan's out-of-pocket maximum amount of $10,750, not to exceed $21,500 per family. When the plan's out-of-pocket maximum amount is satisfied, the health plan will reimburse 100% of the allowed amount. 
#### Outpatient Department of a Hospital
In-Network Provider 
For in-network providers: 
the plan has a $750 deductible per person, not to exceed $2,250 per family. 
Laboratory and Pathology Services is subject to this deductible. Once the deductible is met, 
The copay for Outpatient department of a hospital services is $55 per visit.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Laboratory and Pathology Services is subject to this deductible. Once the deductible is met, 
The coinsurance is 40% of the allowed amount, and the plan will reimburse the remaining 60% of the allowed amount for Outpatient department of a hospital. 
The service applies to the plan's out-of-pocket maximum amount of $10,750, not to exceed $21,500 per family. When the plan's out-of-pocket maximum amount is satisfied, the health plan will reimburse 100% of the allowed amount. 
This plan has a maximum payable amount of up to $350 per day. This means the member would also be responsible for all charges above $350 per day. 
</t>
  </si>
  <si>
    <t>Brief Answer 
Yes—TSH (thyroid-stimulating hormone) testing is covered under the plan’s Laboratory and Pathology Services and is No Charge when performed by an in-network (HMO Provider) lab or hospital outpatient department. Out-of-network lab services are not covered under this HMO plan.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A) Laboratory &amp; Pathology Services — Laboratory Center:
In-Network Provider 
For in-network providers, [2] 
The plan has a $1,500 deductible per person, not to exceed $3,000 per family. [4] 
However, TSH laboratory test (Laboratory and Pathology Services) is not subject to the deductible. [2] 
The plan will reimburse the provider 100% of the allowed amount for TSH laboratory test (Laboratory and Pathology Services). [2]
Out-of-Network Provider 
For out-of-network providers, the member is responsible for 100% of the provider's billed amount, as the plan only covers in-network providers.
B) Laboratory &amp; Pathology Services — Outpatient department of a hospital:
In-Network Provider 
For in-network providers, [3] 
The plan has a $1,500 deductible per person, not to exceed $3,000 per family. [4] 
However, TSH laboratory test (Laboratory and Pathology Services) is not subject to the deductible. [3] 
The plan will reimburse the provider 100% of the allowed amount for TSH laboratory test (Laboratory and Pathology Services). [3]
Out-of-Network Provider 
For out-of-network providers, the member is responsible for 100% of the provider's billed amount, as the plan only covers in-network providers.
──────────────────────────────────────────────────
Sources &amp; Citations
--- TABLE ---
Ref | Benefit/Service | Cost Share | Source
[1] | HMO coordination disclaimer | N/A | RULES_JSON &gt; levels[2] &gt; rules[0] (ruleNumber 4)
[2] | Laboratory &amp; Pathology Services — Laboratory Center | No Charge | eocCategories &gt; Diagnostic X-ray, imaging, pathology, laboratory, and other testing services &gt; Laboratory and Pathology Services &gt; Laboratory Center &gt; providerCostShares[0]
[3] | Laboratory &amp; Pathology Services — Outpatient department of a hospital | No Charge | eocCategories &gt; Diagnostic X-ray, imaging, pathology, laboratory, and other testing services &gt; Laboratory and Pathology Services &gt; Outpatient department of a hospital &gt; providerCostShares[0]
[4] | Medical Deductible (Facility) | $1,500 individual / $3,000 family | planCostShares[costShareType="Medical Deductible"] &gt; providerCostShares[providerCostShareType="HMO Provider"] &gt; coveredParties[coveredPartyTypeCode in ("INDIVIDUALFACILITY","FAMILYFACILITY")]</t>
  </si>
  <si>
    <t xml:space="preserve">Minera Response (Needs to be human validated)
Yes—TSH (thyroid-stimulating hormone) testing is covered under the plan’s Laboratory and Pathology Services and is No Charge when performed by an in-network (HMO Provider) lab or hospital outpatient department. Out-of-network lab services are not covered under this HMO plan.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A) Laboratory &amp; Pathology Services — Laboratory Center:
In-Network Provider
For in-network providers, [2]
The plan has a $1,500 deductible per person, not to exceed $3,000 per family. [4]
However, TSH laboratory test (Laboratory and Pathology Services) is not subject to the deductible. [2]
The plan will reimburse the provider 100% of the allowed amount for TSH laboratory test (Laboratory and Pathology Services). [2]
Out-of-Network Provider
For out-of-network providers, the member is responsible for 100% of the provider's billed amount, as the plan only covers in-network providers.
B) Laboratory &amp; Pathology Services — Outpatient department of a hospital:
In-Network Provider
For in-network providers, [3]
The plan has a $1,500 deductible per person, not to exceed $3,000 per family. [4]
However, TSH laboratory test (Laboratory and Pathology Services) is not subject to the deductible. [3]
The plan will reimburse the provider 100% of the allowed amount for TSH laboratory test (Laboratory and Pathology Services). [3]
Out-of-Network Provider
For out-of-network providers, the member is responsible for 100% of the provider's billed amount, as the plan only covers in-network providers.
</t>
  </si>
  <si>
    <t>Laboratory Center
Outpatient department of a hospital</t>
  </si>
  <si>
    <t>Is a vitamin D level test covered?</t>
  </si>
  <si>
    <t xml:space="preserve">Brief Answer 
Yes—Vitamin D level testing is covered under this plan as outpatient diagnostic laboratory testing, and it is No Charge when done with an in-network (HMO Provider) lab/provider.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Vitamin D level testing is a laboratory diagnostic test, so it falls under Diagnostic X-ray, imaging, pathology, laboratory, and other testing services → Laboratory and Pathology Services. 
Laboratory and Pathology Services (Diagnostic lab test):
In-Network Provider 
For in-network providers:  
the plan has a $1,500 deductible per person, not to exceed $3,000 per family.  
Laboratory and Pathology Services is not subject to the deductible.  
The plan will reimburse the provider 100% of the allowed amount for Laboratory and Pathology Services.  
Out-of-Network Provider 
For out-of-network providers, the member is responsible for 100% of the provider's billed amount, as the plan only covers in-network providers.
</t>
  </si>
  <si>
    <t>Brief Answer 
Yes. A vitamin D level test is covered under the plan’s Laboratory and Pathology Services benefit, and the cost share depends on where it’s performed (lab/lab center vs. hospital outpatient department) and whether the provider is in-network or out-of-network. [1][2]
──────────────────────────────────────────────────
Detailed Explanation
1) Laboratory Center (Professional Clinical Lab and Pathology) [1]:
#### In-Network Provider
For in-network providers, [1] 
The plan has a $750 deductible per person, not to exceed $2,250 per family. [3] 
Laboratory Center (vitamin D level test) is subject to this deductible. Once the deductible is met, [1] 
The copay for Laboratory Center services is $30. [1] 
The service applies to the plan's out-of-pocket maximum amount of $6,250 individual out-of-pocket maximum, not to exceed $12,500 per family. When the plan's out-of-pocket maximum amount is satisfied, the health plan will reimburse 100% of the allowed amount. [4]
#### Out-of-Network Provider
For out-of-network providers, . [1] 
An out-of-network provider has the right to bill for the balance. What this means is that the member may be responsible for the difference between the allowed amount and billed amount. [1] 
The plan has a $750 deductible per person, not to exceed $2,250 per family. [3] 
Laboratory Center (vitamin D level test) is subject to this deductible. Once the deductible is met, [1] 
The coinsurance is 40% of the allowed amount, and the plan will reimburse the remaining 60% of the allowed amount for Laboratory Center (vitamin D level test) services. [1] 
The service applies to the plan's out-of-pocket maximum amount of $10,750 individual out-of-pocket maximum, not to exceed $21,500 per family. When the plan's out-of-pocket maximum amount is satisfied, the health plan will reimburse 100% of the allowed amount. [5]
──────────────────────────────────────────────────
2) Outpatient Department of a Hospital (Outpatient Diagnostic Testing, Clinical Lab, Pathology) [2]:
#### In-Network Provider
For in-network providers, [2] 
The plan has a $750 deductible per person, not to exceed $2,250 per family. [3] 
Outpatient department of a hospital (vitamin D level test) is subject to this deductible. Once the deductible is met, [2] 
The copay for Outpatient department of a hospital services is $55. [2] 
The service applies to the plan's out-of-pocket maximum amount of $6,250 individual out-of-pocket maximum, not to exceed $12,500 per family. When the plan's out-of-pocket maximum amount is satisfied, the health plan will reimburse 100% of the allowed amount. [4]
#### Out-of-Network Provider
For out-of-network providers, . [2] 
An out-of-network provider has the right to bill for the balance. What this means is that the member may be responsible for the difference between the allowed amount and billed amount. [2] 
The plan has a $750 deductible per person, not to exceed $2,250 per family. [3] 
Outpatient department of a hospital (vitamin D level test) is subject to this deductible. Once the deductible is met, [2] 
The coinsurance is 40% of the allowed amount, and the plan will reimburse the remaining 60% of the allowed amount for Outpatient department of a hospital (vitamin D level test) services. [2] 
This plan has a maximum payable amount of up to $350 per day. This means the member would also be responsible for all charges above $350 per day. [2] 
The service applies to the plan's out-of-pocket maximum amount of $10,750 individual out-of-pocket maximum, not to exceed $21,500 per family. When the plan's out-of-pocket maximum amount is satisfied, the health plan will reimburse 100% of the allowed amount. [5]
──────────────────────────────────────────────────
Sources &amp; Citations
--- TABLE ---
Ref | Benefit/Service | Cost Share | Source
[1] | Laboratory Center (Professional Clinical Lab and Pathology) | INN: $30 copay (after deductible); OON: 40% coinsurance (after deductible) | eocCategories &gt; Diagnostic X-ray, imaging, pathology, laboratory, and other testing services &gt; benefitSubCategories &gt; Laboratory and Pathology Services &gt; benefits &gt; Laboratory Center &gt; providerCostShares
[2] | Outpatient department of a hospital (Outpatient Diagnostic Testing, Clinical Lab, Pathology) | INN: $55 copay (after deductible); OON: 40% coinsurance (after deductible) + max payable up to $350/day (member pays charges above $350/day) | eocCategories &gt; Diagnostic X-ray, imaging, pathology, laboratory, and other testing services &gt; benefitSubCategories &gt; Laboratory and Pathology Services &gt; benefits &gt; Outpatient department of a hospital &gt; providerCostShares
[3] | Medical deductible | $750 individual / $2,250 family | planCostShares (costShareType: Medical Deductible) &gt; providerCostShares (Participating Provider / Non-Participating Provider) &gt; coveredParties
[4] | In-network OOP maximum | $6,250 individual / $12,500 family | planCostShares (costShareType: OOP Maximum) &gt; providerCostShares (Participating Provider) &gt; coveredParties
[5] | Out-of-network OOP maximum | $10,750 individual / $21,500 family | planCostShares (costShareType: OOP Maximum) &gt; providerCostShares (Non-Participating Provider) &gt; coveredParties</t>
  </si>
  <si>
    <t>Benefit: Laboratory Center
Par: $30 copay, Ded $750 ind/ $2,250 fam. OOPM $6,250 ind/ $ 12,500 fam
Non Par: 40% coin, Ded $750 ind/ $2,250 fami, OOPM $10,750 ind, $21,500 fam
Benefit: Outpatient department of a hospital
Par: $55 copay, Ded $750 ind/ $2,250 fam. OOPM $6,250 ind/ $ 12,500 fam
Non Par: 40% coin, Ded $750 ind/ $2,250 fami, OOPM $10,750 ind, $21,500 fam, Max opayment percentage of up to $350 per day, plus charges over $350 per day.</t>
  </si>
  <si>
    <t>Is coverage available for outpatient cardiac event monitoring?</t>
  </si>
  <si>
    <t xml:space="preserve">Brief Answer 
Yes—this would generally fall under Other Outpatient Non-Invasive Diagnostic Testing (outpatient diagnostic testing). For this PPO plan, it’s covered in-network with a $20 copay per visit, and out-of-network at 40% coinsurance (and subject to deductible). 
──────────────────────────────────────────────────
Detailed Explanation
Benefit category used: Other Outpatient Non-Invasive Diagnostic Testing (outpatient diagnostic testing) 
A. Other Outpatient Non-Invasive Diagnostic Testing — Office Location:
In-Network Provider 
For in-network providers: 
the plan has a $1,500 deductible per person, not to exceed $3,000 per family.  
However, Other Outpatient Non-Invasive Diagnostic Testing — Office Location is not subject to the deductible. Once the deductible is met,  
The copay for Other Outpatient Non-Invasive Diagnostic Testing — Office Location services is $20.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Other Outpatient Non-Invasive Diagnostic Testing — Office Location is subject to this deductible. Once the deductible is met,  
The coinsurance is 40% of the allowed amount, and the plan will reimburse the remaining 60% of the allowed amount for Other Outpatient Non-Invasive Diagnostic Testing — Office Location.  
The service applies to the plan's out-of-pocket maximum amount of $10,000, not to exceed $20,000 per family. When the plan's out-of-pocket maximum amount is satisfied, the health plan will reimburse 100% of the allowed amount. 
</t>
  </si>
  <si>
    <t>My doctor referred me for a cardiac stress test. What is the coverage for that?</t>
  </si>
  <si>
    <t xml:space="preserve">Brief Answer 
A cardiac stress test is covered under this plan’s Diagnostic X-ray, imaging, pathology, laboratory, and other testing services category, and the cost share is No Charge when done with an in-network (HMO) provider. Out-of-network services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Cardiac stress test (mapped to: Other Outpatient Non-Invasive Diagnostic Testing):
#### In-Network Provider
For in-network providers:  
the plan has a $1,500 deductible per person, not to exceed $3,000 per family.  
However, Other Outpatient Non-Invasive Diagnostic Testing is not subject to the deductible.  
The plan will reimburse the provider 100% of the allowed amount for Other Outpatient Non-Invasive Diagnostic Testing. 
#### Out-of-Network Provider
For out-of-network providers, the member is responsible for 100% of the provider's billed amount, as the plan only covers in-network providers.
</t>
  </si>
  <si>
    <t>My doctor referred me to a lab to get a Comprehensive Metabolic Panel (CMP), do you cover that?</t>
  </si>
  <si>
    <t xml:space="preserve">Brief Answer 
Yes—this plan covers outpatient lab testing like a Comprehensive Metabolic Panel (CMP) at no charge when it’s done with an in-network (HMO) provider/lab. Out-of-network lab services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CMP (Comprehensive Metabolic Panel) — mapped to Laboratory and Pathology Services:
#### In-Network Provider
For in-network providers:  
the plan has a $1,500 deductible per person, not to exceed $3,000 per family.  
However, Laboratory Center is not subject to the deductible.  
The plan will reimburse the provider 100% of the allowed amount for Laboratory Center. 
#### Out-of-Network Provider
For out-of-network providers, the member is responsible for 100% of the provider's billed amount, as the plan only covers in-network providers. 
</t>
  </si>
  <si>
    <t>Lab and Pathology - Laboratory Center</t>
  </si>
  <si>
    <t>What do you cover for a cholesterol test (lipid panel)?</t>
  </si>
  <si>
    <t xml:space="preserve">Brief Answer 
A cholesterol test (lipid panel) is covered under Laboratory and Pathology Services. In-network, it has a $20 copay per visit (and it’s subject to the medical deductible). Out-of-network, it’s 40% coinsurance (also subject to the medical deductible) and the provider may balance bill.
──────────────────────────────────────────────────
Detailed Explanation
Plan deductible (applies plan-wide) 
the plan has a $250 deductible per person, not to exceed $750 per family. 
A. Laboratory and Pathology Services (lipid panel / cholesterol test):
#### In-Network Provider
For in-network providers:  
Laboratory Center (Professional Clinical Lab and Pathology) is subject to this deductible. Once the deductible is met,  
The copay for Laboratory Center (Professional Clinical Lab and Pathology) services is $20.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Laboratory Center (Professional Clinical Lab and Pathology) is subject to this deductible. Once the deductible is met,  
The coinsurance is 40% of the allowed amount, and the plan will reimburse the remaining 60% of the allowed amount for Laboratory Center (Professional Clinical Lab and Pathology).  
The service applies to the plan's out-of-pocket maximum amount of $10,250, not to exceed $20,500 per family. When the plan's out-of-pocket maximum amount is satisfied, the health plan will reimburse 100% of the allowed amount. 
</t>
  </si>
  <si>
    <t>Lab and Path - Laboratory Center
Lab and Path - Outpatient department of a hospital</t>
  </si>
  <si>
    <t>What do you cover for a hemoglobin A1c test?</t>
  </si>
  <si>
    <t xml:space="preserve">Brief Answer 
A hemoglobin A1c is a laboratory test, so it falls under Laboratory and Pathology Services. On this plan, labs are covered with a $25 copay at a participating (in-network) lab location, and a $50 copay when performed in a hospital outpatient department; both are subject to the $2,500 individual / $5,000 family medical deductible.
──────────────────────────────────────────────────
Detailed Explanation
Exclusive Provider Organization (EPO) Disclaimer:
This is an Exclusive Provider Organization (EPO) plan. You must receive all Covered Benefits from a Participating Provider,  the exception is with Emergency or Urgent Services.
Hemoglobin A1c is a non-invasive laboratory test, so the best match in the plan document is Diagnostic X-ray, imaging, pathology, laboratory, and other testing services → Laboratory and Pathology Services. 
A. Laboratory Center (non-hospital setting):
In-Network Provider 
For in-network providers:  
The plan has a $2,500 deductible per person, not to exceed $5,000 per family.  
Laboratory and Pathology Services (Laboratory Center) is subject to this deductible. Once the deductible is met,  
The copay for Laboratory and Pathology Services (Laboratory Center) services is $25.  
The service applies to the plan's out-of-pocket maximum amount of $5,000, not to exceed $10,000 per family. When the plan's out-of-pocket maximum amount is satisfied, the health plan will reimburse 100% of the allowed amount. 
B. Outpatient Department of a Hospital (lab billed as hospital outpatient):
In-Network Provider 
For in-network providers:  
The plan has a $2,500 deductible per person, not to exceed $5,000 per family.  
Laboratory and Pathology Services (Outpatient department of a hospital) is subject to this deductible. Once the deductible is met,  the copay for Laboratory and Pathology Services (Outpatient department of a hospital) services is $50.  
The service applies to the plan's out-of-pocket maximum amount of $5,000, not to exceed $10,000 per family. When the plan's out-of-pocket maximum amount is satisfied, the health plan will reimburse 100% of the allowed amount. 
Out of Network
For out-of-network providers: 
Out-of-network provider's are not covered under this plan.
</t>
  </si>
  <si>
    <t>What is my benefit coverage for a flu test?</t>
  </si>
  <si>
    <t xml:space="preserve">Brief Answer 
A flu test falls under outpatient non-invasive diagnostic testing / lab testing, and under this plan it is covered at no charge when done in-network. For out-of-network providers, the plan only covers in-network benefits, so the member is responsible for 100% of the billed amount.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Flu test (diagnostic testing / lab):
 In-Network Provider
For in-network providers:  
the plan does not have a deductible.  
However, Other Outpatient Non-Invasive Diagnostic Testing - Office Location is not subject to the deductible.  
The plan will reimburse the provider 100% of the allowed amount for Other Outpatient Non-Invasive Diagnostic Testing - Office Location. 
Out-of-Network Provider
For out-of-network providers, the member is responsible for 100% of the provider's billed amount, as the plan only covers in-network providers. 
</t>
  </si>
  <si>
    <t>What is my benefit for a pregnancy test?</t>
  </si>
  <si>
    <t xml:space="preserve">Brief Answer 
A pregnancy test would be covered under Laboratory and Pathology Services (if it’s a lab test) or Other Outpatient Non-Invasive Diagnostic Testing (if it’s a diagnostic test done in an office/hospital outpatient setting). In-network, the cost is typically a $10 copay (office/lab center) or $35 copay (hospital outpatient department), and it is subject to the medical deductible.
──────────────────────────────────────────────────
Detailed Explanation
A pregnancy test is a diagnostic lab test in most situations, so the closest matching benefit category in this plan is Diagnostic X-ray, imaging, pathology, laboratory, and other testing services (Lab/Pathology or other non-invasive diagnostic testing). 
A) Laboratory and Pathology Services — Laboratory Center:
In-Network Provider 
For in-network providers: 
the plan has a $250 deductible per person, not to exceed $750 per family.  
Laboratory Center is subject to this deductible. Once the deductible is met,  
The copay for Laboratory Center services is $10.  
The service applies to the plan's out-of-pocket maximum amount of $2,250, not to exceed $4,500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Laboratory Center is subject to this deductible. Once the deductible is met,  
The coinsurance is 30% of the allowed amount, and the plan will reimburse the remaining 70% of the allowed amount for Laboratory Center.  
The service applies to the plan's out-of-pocket maximum amount of $2,250, not to exceed $4,500 per family. When the plan's out-of-pocket maximum amount is satisfied, the health plan will reimburse 100% of the allowed amount.  
B) Laboratory and Pathology Services — Outpatient department of a hospital:
In-Network Provider 
For in-network providers: 
the plan has a $250 deductible per person, not to exceed $750 per family.  
Outpatient department of a hospital is subject to this deductible. Once the deductible is met,  
The copay for Outpatient department of a hospital services is $35.  
The service applies to the plan's out-of-pocket maximum amount of $2,250, not to exceed $4,500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Outpatient department of a hospital is subject to this deductible. Once the deductible is met,  
The coinsurance is 30% of the allowed amount, and the plan will reimburse the remaining 70% of the allowed amount for Outpatient department of a hospital.  
The service applies to the plan's out-of-pocket maximum amount of $2,250, not to exceed $4,500 per family. When the plan's out-of-pocket maximum amount is satisfied, the health plan will reimburse 100% of the allowed amount.  
This plan has a maximum payable amount of up to $350 per day. This means the member would also be responsible for all charges above $350 per day.  
C) Other Outpatient Non-Invasive Diagnostic Testing (alternate category if billed this way):
If the pregnancy test is billed under this subcategory instead of “Laboratory and Pathology,” the cost share is the same $10 copay (office location) or $35 copay (hospital outpatient department) and is also subject to the deductible.  
</t>
  </si>
  <si>
    <t>What is my benefit for a PSA test?</t>
  </si>
  <si>
    <t xml:space="preserve">Brief Answer 
A PSA test is covered under the plan’s Diagnostic X-ray, imaging, pathology, laboratory, and other testing services benefit. For in-network (HMO Provider), there is no charge for the lab/testing portion shown in the plan data; out-of-network is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PSA test (lab) — mapped to Laboratory and Pathology Services:
In-Network Provider 
For in-network providers:  
The plan does not have a deductible.   
The plan will reimburse the provider 100% of the allowed amount for Laboratory and Pathology Services.  
Out-of-Network Provider 
For out-of-network providers, the member is responsible for 100% of the provider's billed amount, as the plan only covers in-network providers. 
</t>
  </si>
  <si>
    <t>KT0505 - LLM Rule (deductible)</t>
  </si>
  <si>
    <t>Removed all instances of "However not subject to the deductible)</t>
  </si>
  <si>
    <t>Biopsy</t>
  </si>
  <si>
    <t>What is my benefit for a skin biopsy?</t>
  </si>
  <si>
    <t xml:space="preserve">Brief Answer 
A skin biopsy will generally process as an outpatient procedure (professional + possible facility charges). Under this PPO plan, in-network you’ll typically pay 20% coinsurance (and the $2,000 deductible applies if the biopsy is billed as a surgical/procedure benefit). Out-of-network is 40% coinsurance and the provider may balance bill.
──────────────────────────────────────────────────
Detailed Explanation
Because “skin biopsy” isn’t listed by name, it maps most closely to an outpatient procedure/surgery benefit (professional fee and possibly a facility fee, depending on where it’s done).
A) Office-based surgeries (if performed in physican's office)
Office-based surgeries services are included as a First Dollar Service, this means this plan helps pay for them right away—before the deductible applies. This plan will pay 100% of the allowed amount for office-based surgeries services at a participating provider, using the First Dollar credit, so the member doesn't pay anything upfront as long as that credit is available. 
The credit is $300 for individual coverage, and $600 for family coverage. 
In-Network:
Once the First Dollar Service credit is used up: 
This plan has a deductible of $2,000 per individual or $4,000 per family. Once the deductible is met, the member would pay 20% coinsurance when using a participating provider. All the costs the member pays go towards the out-of-pocket maximum, which is: $3,000 per individual and $6,000 per family.
Once the member reachs that amount, the plan pays 100% of the allowed amount for the rest of the year.
Out of Network:
This plan has a deductible of $2,000 per individual or $4,000 per family. Once the deductible is met, the member would pay 40% coinsurance when using a non-participating provider. All the costs the member pays go towards the out-of-pocket maximum, which is: $10,000 per individual and $20,000 per family.
Once the member reachs that amount, the plan pays 100% of the allowed amount for the rest of the year.
B) Professional Services (Outpatient) — Physician/surgeon performing the biopsy:
In-Network Provider 
For in-network providers:  The plan has a $2,000 deductible per person, not to exceed $4,000 per family.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$3,000, not to exceed $6,000 per family. When the plan's out-of-pocket maximum amount is satisfied, the health plan will reimburse 100% of the allowed amount. 
Out-of-Network Provider 
An out-of-network provider has the right to bill for the balance. What this means is that the member may be responsible for the difference between the allowed amount and billed amount.  
The plan has a $2,000 deductible per person, not to exceed $4,000 per family. Professional Services Surgery - Outpatient is subject to this deductible. Once the deductible is met, the coinsurance is 40% of the allowed amount, and the plan will reimburse the remaining 60% of the allowed amount for Professional Services Surgery - Outpatient.  
The service applies to the plan's out-of-pocket maximum amount of $10,000, not to exceed $20,000 per family. When the plan's out-of-pocket maximum amount is satisfied, the health plan will reimburse 100% of the allowed amount. 
C) Facility Services (only if billed by a facility):
#### Option 1: Outpatient Hospital Facility (if performed in a hospital outpatient department)
In-Network Provider 
For in-network providers:  
the plan has a $2,000 deductible per person, not to exceed $4,000 per family.  
Outpatient Hospital Facility Services for Surgery is subject to this deductible. Once the deductible is met,  
The copay for Outpatient Hospital Facility Services for Surgery services is $400.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Outpatient Hospital Facility Services for Surgery is subject to this deductible. Once the deductible is met,  
The coinsurance is 40% of the allowed amount, and the plan will reimburse the remaining 60%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$10,000, not to exceed $20,000 per family. When the plan's out-of-pocket maximum amount is satisfied, the health plan will reimburse 100% of the allowed amount. 
#### Option 2: Ambulatory Surgery Center (ASC) Facility (if performed in a free-standing surgery center)
In-Network Provider 
For in-network providers:  The plan has a $2,000 deductible per person, not to exceed $4,000 per family.  
Ambulatory Surgery Center Free Standing Facility Services is subject to this deductible. Once the deductible is met, the copay for Ambulatory Surgery Center Free Standing Facility Services services is $250.  
The service applies to the plan's out-of-pocket maximum amount of $3,000, not to exceed $6,000 per family. When the plan's out-of-pocket maximum amount is satisfied, the health plan will reimburse 100% of the allowed amount. 
Out-of-Network Provider 
An out-of-network provider has the right to bill for the balance. What this means is that the member may be responsible for the difference between the allowed amount and billed amount. The plan has a $2,000 deductible per person, not to exceed $4,000 per family.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$10,000, not to exceed $20,000 per family. When the plan's out-of-pocket maximum amount is satisfied, the health plan will reimburse 100% of the allowed amount. 
Additional Information: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</si>
  <si>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HW 5/11: New LLM 54
 Missed Office-based surgeries - First Dollar Services - Added as A)
Also updated brief answer to make it clear FDS is a credit - not something the member pays</t>
  </si>
  <si>
    <t>Updated using LLM Rule 54 logic</t>
  </si>
  <si>
    <t>However, this is not subject to the deductible</t>
  </si>
  <si>
    <t>What is my benefit for a urinalysis (urine test)?</t>
  </si>
  <si>
    <t xml:space="preserve">Brief Answer 
A urinalysis (urine test) falls under the plan’s laboratory services, and it is covered at No Charge when done with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Urinalysis (Urine Test) — Laboratory and Pathology Services:
#### In-Network Provider
For in-network providers:  
The plan does not have a deductible.  
The plan will reimburse the provider 100% of the allowed amount for Laboratory Center. 
#### Out-of-Network Provider
For out-of-network providers, the member is responsible for 100% of the provider's billed amount, as the plan only covers in-network providers. 
</t>
  </si>
  <si>
    <t>KT0505 - LLM Rule (Deductible)</t>
  </si>
  <si>
    <t>What is my benefit for a urine culture test?</t>
  </si>
  <si>
    <t xml:space="preserve">Brief Answer 
A urine culture is covered under Diagnostic X-ray, imaging, pathology, laboratory, and other testing services. In-network, the plan pays 100% (No Charge) for the test.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Urine culture (maps to Laboratory and Pathology Services):
#### In-Network Provider
For in-network providers:  
The plan has a $750 deductible per person, not to exceed $1,500 per family.  
However, Laboratory and Pathology Services is not subject to the deductible. 
The plan will reimburse the provider 100% of the allowed amount for Laboratory and Pathology Services.  
#### Out-of-Network Provider
For out-of-network providers, the member is responsible for 100% of the provider's billed amount, as the plan only covers in-network providers.
</t>
  </si>
  <si>
    <t>removed "Once the deductible is met" as service is not subject to the deductible</t>
  </si>
  <si>
    <t>What is my benefit for an HIV test?</t>
  </si>
  <si>
    <t xml:space="preserve">Brief Answer 
An HIV test is covered under this plan’s Preventive Health Services when it’s done as a preventive screening with an in-network (Participating) provider, and it is No Charge. If it’s billed as diagnostic lab work (not preventive), it falls under Laboratory and Pathology Services and has a copay/coinsurance depending on where it’s performed.
──────────────────────────────────────────────────
Detailed Explanation
1) Preventive screening HIV test (Preventive Health Services):
In-Network Provider 
For in-network providers: 
The plan has a $1,000 deductible per person, not to exceed $3,000 per family. However, preventative services are not subject to the deductible.
The plan will reimburse the provider 100% of the allowed amount for Preventive Health Services – Screening. 
Out-of-Network Provider 
For out-of-network providers: 
An out-of-network provider are Not Covered. 
2) HIV test billed as diagnostic lab work (Laboratory and Pathology Services):
#### A) Laboratory Center (independent lab)
In-Network Provider 
For in-network providers: 
The plan has a $1,000 deductible per person, not to exceed $3,000 per family.  
Laboratory and Pathology Services – Laboratory Center is subject to this deductible. Once the deductible is met,  
The copay for Laboratory and Pathology Services – Laboratory Center services is $35.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Laboratory and Pathology Services – Laboratory Center is subject to this deductible. Once the deductible is met,  
The coinsurance is 40% of the allowed amount, and the plan will reimburse the remaining 60% of the allowed amount for Laboratory and Pathology Services – Laboratory Center.  
The service applies to the plan's out-of-pocket maximum amount of $10,000, not to exceed $20,000 per family. When the plan's out-of-pocket maximum amount is satisfied, the health plan will reimburse 100% of the allowed amount. 
#### B) Outpatient department of a hospital (facility lab)
In-Network Provider 
For in-network providers: 
The plan has a $1,000 deductible per person, not to exceed $3,000 per family.  
Laboratory and Pathology Services – Outpatient department of a hospital is subject to this deductible. Once the deductible is met,  
The copay for Laboratory and Pathology Services – Outpatient department of a hospital services is $60.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Laboratory and Pathology Services – Outpatient department of a hospital is subject to this deductible. Once the deductible is met,  
The coinsurance is 40% of the allowed amount, and the plan will reimburse the remaining 60% of the allowed amount for Laboratory and Pathology Services – Outpatient department of a hospital.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t>
  </si>
  <si>
    <t>Laboratory Center OR Outpatient department of a hospital
HMO Provider: $0 Cost Share, Subject to Deductible - No, Applies to Annual Copay Max - No</t>
  </si>
  <si>
    <t>No</t>
  </si>
  <si>
    <t>HW 5/4: LLM Rule (Deductible)</t>
  </si>
  <si>
    <t>HW 5/4: Detailed Preventative should indicate that service is not subject to the deductible</t>
  </si>
  <si>
    <t>Outpatient Radiology center
Outpatient department of a hospital</t>
  </si>
  <si>
    <t>What is my benefits for a bone density scan (DEXA)?</t>
  </si>
  <si>
    <t xml:space="preserve">Brief Answer 
A bone density scan (DEXA) falls under the plan’s Diagnostic X-ray, imaging, pathology, laboratory, and other testing services. For an in-network (HMO Provider) DEXA, the plan shows No Charge (plan pays 100% of the allowed amount).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Bone Density Scan (DEXA) – mapped to Basic Imaging Services (diagnostic imaging):
*(DEXA is a diagnostic imaging test; the closest matching category in the plan is “Basic Imaging Services,” which includes diagnostic imaging services like X-rays/ultrasounds/mammography.)* 
#### In-Network Provider
For in-network providers: 
the plan has a $2,000 deductible per person, not to exceed $4,000 per family.  
However, Basic Imaging Services – Outpatient Radiology center is not subject to the deductible. Once the deductible is met, 
The plan will reimburse the provider 100% of the allowed amount for Basic Imaging Services – Outpatient Radiology center.  
#### Out-of-Network Provider
For out-of-network providers, the member is responsible for 100% of the provider's billed amount, as the plan only covers in-network providers. 
</t>
  </si>
  <si>
    <t>What is my coverage for a mammography?</t>
  </si>
  <si>
    <t xml:space="preserve">Brief Answer 
Mammography is covered under this plan’s Diagnostic X-ray, imaging, pathology, laboratory, and other testing services as Basic Imaging Services, and it is No Charge when received from an in-network (HMO) provider. Out-of-network providers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Mammography (Basic Imaging Services – diagnostic mammography):
#### A. Outpatient Radiology Center (Professional Office)
In-Network Provider 
For in-network providers:  
the plan has a $250 deductible per person, not to exceed $500 per family.  
However, Outpatient Radiology center is not subject to the deductible. Once the deductible is met,  
The plan will reimburse the provider 100% of the allowed amount for Outpatient Radiology center. 
Out-of-Network Provider 
For out-of-network providers, the member is responsible for 100% of the provider's billed amount, as the plan only covers in-network providers. 
#### B. Outpatient Department of a Hospital (Facility Outpatient)
In-Network Provider 
For in-network providers:  
the plan has a $250 deductible per person, not to exceed $500 per family.  
However, Outpatient department of a hospital is not subject to the deductible. Once the deductible is met,  
The plan will reimburse the provider 100% of the allowed amount for Outpatient department of a hospital. 
Out-of-Network Provider 
For out-of-network providers, the member is responsible for 100% of the provider's billed amount, as the plan only covers in-network providers. 
</t>
  </si>
  <si>
    <t>What is the coverage for a hearing test (audiometry)?</t>
  </si>
  <si>
    <t xml:space="preserve">Brief Answer 
I couldn’t find a specific “hearing test/audiometry” benefit listed, but a hearing test is typically billed as other outpatient non-invasive diagnostic testing under this plan. Based on that category, the Member would pay $30 per visit in-network (subject to the medical deductible), and 50% coinsurance out-of-network (subject to the medical deductible).
──────────────────────────────────────────────────
Detailed Explanation
Hearing test (audiometry) — mapped to Other Outpatient Non-Invasive Diagnostic Testing:
#### In-Network Provider
For in-network providers:  
the plan has a $3,000 deductible per person, not to exceed $6,000 per family.  
Other Outpatient Non-Invasive Diagnostic Testing is subject to this deductible. Once the deductible is met,  
The copay for Other Outpatient Non-Invasive Diagnostic Testing services is $30 per visit.  
The service applies to the plan's out-of-pocket maximum amount of $6,850, not to exceed $13,700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Other Outpatient Non-Invasive Diagnostic Testing is subject to this deductible. Once the deductible is met,  
The coinsurance is 50% of the allowed amount, and the plan will reimburse the remaining 50% of the allowed amount for Other Outpatient Non-Invasive Diagnostic Testing.  
The service applies to the plan's out-of-pocket maximum amount of $13,000, not to exceed $26,000 per family. When the plan's out-of-pocket maximum amount is satisfied, the health plan will reimburse 100% of the allowed amount. 
</t>
  </si>
  <si>
    <t>What is the coverage for a lung function test (spirometry)?</t>
  </si>
  <si>
    <t>Brief Answer 
Spirometry (a lung function test) is covered under Other Outpatient Non-Invasive Diagnostic Testing. In-network, it’s 20% coinsurance and subject to the medical deductible; it also applies to the out-of-pocket maximum.
──────────────────────────────────────────────
Detailed Explanation
Lung function test (spirometry) — Other Outpatient Non-Invasive Diagnostic Testing (Office Location):
Exclusive Provider Organization (EPO) Disclaimer:
This is an Exclusive Provider Organization (EPO) plan. You must receive all Covered Benefits from a Participating Provider,  the exception is with Emergency or Urgent Services.
In-Network Provider:
The plan has a $1,800 deductible for individual coverage, not to exceed $3,400 per individual or $3,600 per family for family coverage.
Other Outpatient Non-Invasive Diagnostic Testing is subject to this deductible. Once the deductible is met, the coinsurance is 20% of the allowed amount, and the plan will reimburse the remaining 80% of the allowed amount for Other Outpatient Non-Invasive Diagnostic Testing. 
The service applies to the plan's out-of-pocket maximum amount of $4,500  per individual, or $9,000 per family. When the plan's out-of-pocket maximum amount is satisfied, the health plan will reimburse 100% of the allowed amount. 
Out-of-Network Provider:
Out-of-network providers are not covered.</t>
  </si>
  <si>
    <t>HW 0508 - New LLM Rule 46 and 51</t>
  </si>
  <si>
    <t>Added individual Family Embed  deductible and OOPM information
Added EPO</t>
  </si>
  <si>
    <t>What is the coverage for an overnight sleep study?</t>
  </si>
  <si>
    <t>Brief Answer 
An overnight sleep study (polysomnography) would generally be covered under the plan’s Other Outpatient Non-Invasive Diagnostic Testing benefits, and it is subject to the medical deductible. In-network, the member pays 20% coinsurance after the deductible when performed in an office location, or 30% coinsurance when performed in an outpatient setting of a hospital; out-of-network, 50% coinsurance (and balance billing may apply).
──────────────────────────────────────────────────
Detailed Explanation
Other Outpatient Non-Invasive Diagnostic Testing - Office Location (most likely category for an overnight sleep study):
#### In-Network Provider
For in-network providers: 
the plan has a $2,250 deductible per person, not to exceed $4,500 per family.  
Other Outpatient Non-Invasive Diagnostic Testing (Office Location) is subject to this deductible. Once the deductible is met,  
The coinsurance is 20% of the allowed amount, and the plan will reimburse the remaining 80% of the allowed amount for Other Outpatient Non-Invasive Diagnostic Testing (Office Location).  
The service applies to the plan's out-of-pocket maximum amount of $3,500, not to exceed $7,000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Other Outpatient Non-Invasive Diagnostic Testing (Office Location) is subject to this deductible. Once the deductible is met,  
The coinsurance is 50% of the allowed amount, and the plan will reimburse the remaining 50% of the allowed amount for Other Outpatient Non-Invasive Diagnostic Testing (Office Location).  
The service applies to the plan's out-of-pocket maximum amount of $6,000, not to exceed $12,000 per family. When the plan's out-of-pocket maximum amount is satisfied, the health plan will reimburse 100% of the allowed amount. 
Other Outpatient Non-Invasive Diagnostic Testing - Outpatient department of a hospital
#### In-Network Provider
For in-network providers: 
the plan has a $2,250 deductible per person, not to exceed $4,500 per family.  
Other Outpatient Non-Invasive Diagnostic Testing (Office Location) is subject to this deductible. Once the deductible is met,  
The coinsurance is 30% of the allowed amount, and the plan will reimburse the remaining 70% of the allowed amount for Other Outpatient Non-Invasive Diagnostic Testing (Office Location).  
The service applies to the plan's out-of-pocket maximum amount of $3,500, not to exceed $7,000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Other Outpatient Non-Invasive Diagnostic Testing (Office Location) is subject to this deductible. Once the deductible is met,  
The coinsurance is 50% of the allowed amount, and the plan will reimburse the remaining 50% of the allowed amount for Other Outpatient Non-Invasive Diagnostic Testing (Office Location).  
The service applies to the plan's out-of-pocket maximum amount of $6,000, not to exceed $12,000 per family. When the plan's out-of-pocket maximum amount is satisfied, the health plan will reimburse 100% of the allowed amount.</t>
  </si>
  <si>
    <t xml:space="preserve">Office Location:
Par - 20% Coinsurance, Subject to Deductible – Yes, Applies to Annual Copay Max – Yes
Ded – $1,800 ind, $3,600 fam, $3,400 fam emb ind
OOPM - $4,500 ind, $9,000 fam, $4,500 fam emb ind
Non- Par – no coverage
Outpatient department of a hospital:
Par - 30% Coinsurance, Subject to Deductible – Yes, Applies to Annual Copay Max – Yes
Ded – $1,800 ind, $3,600 fam, $3,400 fam emb ind
OOPM - $4,500 ind, $9,000 fam, $4,500 fam emb ind
Non- Par – no coverage
</t>
  </si>
  <si>
    <t>HW 0508: Minerva included instruction language " Because this is a PPO/PSP plan (planStructureType = PSP), provide both in- and out-of-network cost shares."
Also, added other place of service - op dept of hosp.</t>
  </si>
  <si>
    <t>5/8: Removed instructions</t>
  </si>
  <si>
    <t>What is the coveragefor an EEG test?</t>
  </si>
  <si>
    <t xml:space="preserve">Brief Answer 
An EEG is covered under the plan’s Diagnostic X-ray, imaging, pathology, laboratory, and other testing services (specifically, Other Outpatient Non-Invasive Diagnostic Testing). In-network, it’s a $10 copay per visit (and it is subject to the medical deductible); out-of-network, it’s 30% coinsurance (also subject to the medical deductible). 
──────────────────────────────────────────────────
Detailed Explanation
EEG (mapped to: Other Outpatient Non-Invasive Diagnostic Testing):
#### In-Network Provider
For in-network providers: 
the plan has a $1,000 deductible per person, not to exceed $3,000 per family.  
Other Outpatient Non-Invasive Diagnostic Testing is subject to this deductible. Once the deductible is met,  
The copay for Other Outpatient Non-Invasive Diagnostic Testing services is $10 per visit.  
The service applies to the plan's out-of-pocket maximum amount of $4,000, not to exceed $8,000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$1,000 deductible per person, not to exceed $3,000 per family.  
Other Outpatient Non-Invasive Diagnostic Testing is subject to this deductible. Once the deductible is met,  
The coinsurance is 30% of the allowed amount, and the plan will reimburse the remaining 70% of the allowed amount for Other Outpatient Non-Invasive Diagnostic Testing.  
The service applies to the plan's out-of-pocket maximum amount of $6,000, not to exceed $12,000 per family. When the plan's out-of-pocket maximum amount is satisfied, the health plan will reimburse 100% of the allowed amount. 
</t>
  </si>
  <si>
    <t>Benefit Category: Other Outpatient Non-Invasive Diagnostic Testing/ 
Office Location or Outpatient department of a hospital
HMO Provider- $0 copay, Subject to Deductible –No, Applies to Annual Copay Max – No</t>
  </si>
  <si>
    <t>What is the coverage for an electrocardiogram (EKG)?</t>
  </si>
  <si>
    <t xml:space="preserve">Brief Answer 
An electrocardiogram (EKG) fits under Other Outpatient Non-Invasive Diagnostic Testing in this plan. Other Outpatient Non-Invasive Diagnostic Testing are covered as Category 1 / First Dollar Services under the Diagnostic X-ray, imaging, pathology, laboratory, and other testing services Benefit. Your credit is $850 for individual coverage, and $1,700 if you have family coverage. If you credit has been reached, it's subject to your deductible for both in-network and out-of-network in the plan document. 
──────────────────────────────────────────────────
Detailed Explanation
Other Outpatient Non-Invasive Diagnostic Testing (EKG):
#### In-Network Provider
For in-network providers: 
This is an Active Choice Plan that allows you to use your First Dollar Services credit towards these services before any Deductible applies. You credit is $850 for individual coverage, and $1,700 if you have family coverage. 
After the your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plan's deductible is $1,000 per individual, not to exceed $2,000 per family.  
Your Out-of-Pocket Maximum amount is$5,000 per individual and $10,000 per family when using participating providers.
#### Out-of-Network Provider
For out-of-network providers: 
An out-of-network provider has the right to bill for the balance. What this means is that the member may be responsible for the difference between the allowed amount and billed amount. 
This is an Active Choice Plan that allows you to use your First Dollar Services credit towards these services before any Deductible applies. You credit is $850 for individual coverage, and $1,700 if you have family coverage. 
After the your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plan's deductible is $1,000 per individual, not to exceed $2,000 per family.  
Your Out-of-Pocket Maximum amount is $10,000 per individual and $20,000 per family when using non-participating providers.
</t>
  </si>
  <si>
    <t xml:space="preserve">HW 5/18:New Rule 57 </t>
  </si>
  <si>
    <t>What's the benefit coverage for a strep throat test?</t>
  </si>
  <si>
    <t xml:space="preserve">Brief Answer 
A strep throat test is covered under the plan’s Laboratory and Pathology Services benefit, and it is No Charge when performed by an in-network (HMO) provider. Out-of-network services are not covered under this HMO plan (member pays 100% of billed charges).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Laboratory and Pathology Services (strep throat test):
#### In-Network Provider
For in-network providers:  
However, Laboratory and Pathology Services is not subject to the deductible.  
The plan will reimburse the provider 100% of the allowed amount for Laboratory and Pathology Services.  
#### Out-of-Network Provider
For out-of-network providers, the member is responsible for 100% of the provider's billed amount, as the plan only covers in-network providers.
</t>
  </si>
  <si>
    <t>I got a referral from my doctor for blood work, the code listed is 80050. What is the coverage for that?</t>
  </si>
  <si>
    <t xml:space="preserve">Brief Answer 
CPT 80050 (a bloodwork panel) would fall under the plan’s Laboratory and Pathology Services benefit. In-network, it’s $25 per visit and subject to the medical deductible; out-of-network it’s 40% coinsurance (also subject to the deductible) and the member may be balance billed.
──────────────────────────────────────────────────
Detailed Explanation
Laboratory and Pathology Services (blood work such as CPT 80050):
#### In-Network Provider
For in-network providers: 
the plan has a $250 deductible per person, not to exceed $750 per family.  
Laboratory Center (Professional Clinical Lab and Pathology) is subject to this deductible. Once the deductible is met,  
The copay for Laboratory Center (Professional Clinical Lab and Pathology) services is $25 per visit.  
The service applies to the plan's out-of-pocket maximum amount of $3,750, not to exceed $7,500 per family. When the plan's out-of-pocket maximum amount is satisfied, the health plan will reimburse 100% of the allowed amount. 
Additional details:
- The plan notes that lab services performed as part of a preventive health screening are covered under the Preventive Health Services benefit (separate from diagnostic lab). 
####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Laboratory Center (Professional Clinical Lab and Pathology) is subject to this deductible. Once the deductible is met,  
The coinsurance is 40% of the allowed amount, and the plan will reimburse the remaining 60% of the allowed amount for Laboratory Center (Professional Clinical Lab and Pathology).  
The service applies to the plan's out-of-pocket maximum amount of $7,750, not to exceed $15,500 per family. When the plan's out-of-pocket maximum amount is satisfied, the health plan will reimburse 100% of the allowed amount. 
</t>
  </si>
  <si>
    <t>What are my benefits for a MRA?</t>
  </si>
  <si>
    <t xml:space="preserve">Brief Answer 
For an MRA (Magnetic Resonance Angiography), this plan covers it under Advanced Imaging Services. The Member generally pays coinsurance (and it is subject to the medical deductible)—the exact cost share depends on where the MRA is performed (radiology center vs. hospital outpatient department).
──────────────────────────────────────────────────
Detailed Explanation
1) Advanced Imaging Services — Outpatient Radiology Center (Professional Outpatient):
In-Network Provider 
For in-network providers: 
the plan has a $750 deductible per person, not to exceed $2,250 per family.  
Advanced Imaging Services – Outpatient Radiology center is subject to this deductible. Once the deductible is met,  
The coinsurance is 20% of the allowed amount, and the plan will reimburse the remaining 80% of the allowed amount for Advanced Imaging Services – Outpatient Radiology center.  
The service applies to the plan's out-of-pocket maximum amount of $5,250, not to exceed $10,500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$6,750 per family.  
Advanced Imaging Services – Outpatient Radiology center is subject to this deductible. Once the deductible is met,  
The coinsurance is 40% of the allowed amount, and the plan will reimburse the remaining 60% of the allowed amount for Advanced Imaging Services – Outpatient Radiology center.  
The service applies to the plan's out-of-pocket maximum amount of $9,500, not to exceed $19,000 per family. When the plan's out-of-pocket maximum amount is satisfied, the health plan will reimburse 100% of the allowed amount.  
──────────────────────────────────────────────────
2) Advanced Imaging Services — Outpatient Department of a Hospital (Facility Outpatient):
In-Network Provider 
For in-network providers: 
the plan has a $750 deductible per person, not to exceed $2,250 per family.  
Advanced Imaging Services – Outpatient department of a hospital is subject to this deductible. Once the deductible is met,  
The coinsurance is 30% of the allowed amount, and the plan will reimburse the remaining 70% of the allowed amount for Advanced Imaging Services – Outpatient department of a hospital.  
The service applies to the plan's out-of-pocket maximum amount of $5,250, not to exceed $10,500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$6,750 per family.  
Advanced Imaging Services – Outpatient department of a hospital is subject to this deductible. Once the deductible is met,  
The coinsurance is 40% of the allowed amount, and the plan will reimburse the remaining 60% of the allowed amount for Advanced Imaging Services – Outpatient department of a hospital.  
The service applies to the plan's out-of-pocket maximum amount of $9,500, not to exceed $19,000 per family. When the plan's out-of-pocket maximum amount is satisfied, the health plan will reimburse 100% of the allowed amount.  
This plan has a maximum payable amount of up to $350 per day. This means the member would also be responsible for all charges above $350 per day.  
──────────────────────────────────────────────────
Additional note (prior authorization):
The plan documents provided do not indicate whether prior authorization is required. You will need to research the most current Prior Auth Lists on the Medical Policy Department SharePoint to verify if the service requires prior authorization.
</t>
  </si>
  <si>
    <t>My doctor referred me to a radiology center for a PET scan. What will that cost?</t>
  </si>
  <si>
    <t>Brief Answer 
For a PET scan at an outpatient radiology center, the plan shows No Charge (in-network). Because this is an HMO Trio ACO plan, the Member generally must use in-network/medical-group-associated providers to be eligible for benefits.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PET Scan (Advanced Imaging Services) — Outpatient Radiology Center:
In-Network Provider 
For in-network providers:  
the plan has a $2,000 deductible per person, not to exceed $4,000 per family.  
However, Advanced Imaging Services – Outpatient Radiology center is not subject to the deductible.  
The plan will reimburse the provider 100% of the allowed amount for Advanced Imaging Services – Outpatient Radiology center. 
Out-of-Network Provider 
For out-of-network providers, the member is responsible for 100% of the provider's billed amount, as the plan only covers in-network providers.
────────────────────────────────────────────────</t>
  </si>
  <si>
    <t>My doctor said I need an ultrasound. Will that be covered?</t>
  </si>
  <si>
    <t>Brief Answer 
Yes—an ultrasound is covered under this plan’s Diagnostic X-ray, imaging, pathology, laboratory, and other testing services benefit, and the cost share is No Charge when performed by an in-network (HMO) provider. Out-of-network ultrasound is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Ultrasound (Diagnostic Imaging / Basic Imaging Services):
#### In-Network Provider
For in-network providers:  
the plan does not have a deductible.  
The plan will reimburse the provider 100% of the allowed amount for Basic Imaging Services (ultrasounds). 
#### Out-of-Network Provider
For out-of-network providers, the member is responsible for 100% of the provider's billed amount, as the plan only covers in-network providers. 
────────────────────────────────────────────────</t>
  </si>
  <si>
    <t>KT0506 - LLM Rule (Deductible)</t>
  </si>
  <si>
    <t xml:space="preserve">Removed However, Basic Imaging Services (ultrasounds) is not subject to the deductible.  </t>
  </si>
  <si>
    <t>Mammogram</t>
  </si>
  <si>
    <t>I need a diagnostic mammogram. How does my plan cover that?</t>
  </si>
  <si>
    <t>Brief Answer 
A diagnostic mammogram is covered under Diagnostic X-ray, imaging, pathology, laboratory, and other testing services. In-network, it is covered at No Charge (both the professional and facility components, depending on where it’s done).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Diagnostic mammography (Basic Imaging Services):
#### A. Outpatient Radiology Center — Professional (physician/radiology) component
In-Network Provider 
For in-network providers: 
the plan does not have a deductible. 
The plan will reimburse the provider 100% of the allowed amount for Basic Imaging Services (diagnostic mammography) - Professional Office. 
Out-of-Network Provider 
For out-of-network providers, the member is responsible for 100% of the provider's billed amount, as the plan only covers in-network providers.
#### B. Outpatient Department of a Hospital — Facility component
In-Network Provider 
For in-network providers: 
the plan does not have a deductible. 
The plan will reimburse the provider 100% of the allowed amount for Outpatient Basic Imaging Services (diagnostic mammography) - Facility Outpatient. 
Out-of-Network Provider 
For out-of-network providers, the member is responsible for 100% of the provider's billed amount, as the plan only covers in-network providers.
────────────────────────────────────────────────</t>
  </si>
  <si>
    <t>KT0429 - LLM Rule (Deductible)</t>
  </si>
  <si>
    <t xml:space="preserve">Removed However, Basic Imaging Services (diagnostic mammography) - Professional Office is not subject to the deductible </t>
  </si>
  <si>
    <t>I think I have sleep apnea, does my plan cover testing for that?</t>
  </si>
  <si>
    <t xml:space="preserve">Brief Answer 
Yes—sleep apnea testing is generally covered under the plan’s non-invasive diagnostic testing benefits. The member’s cost will depend on where the test is performed (office vs. hospital outpatient) and whether the provider is in-network.
──────────────────────────────────────────────────
Detailed Explanation
This plan uses a specific network of Health Care Providers, called the POS Added Advantage provider network. This plan provides benefits at three different levels.
Sleep apnea testing (mapped to Other Outpatient Non-Invasive Diagnostic Testing):
Office Location:
For Level 1 HMO in-network providers,  services must be provided or prior authorized by your primary care physician (PCP) or assigned medical group / IPA. There is no deductible for Level 1 providers, and the plan will reimburse the provider 100% of allowed charges.
For Level 2 PPO in-network providers, you may access services without a referral. There is a deductible of $500 for individual not to exceed $1,000 per family.  The service applies to the deductible.  Once the deductible is met, the member has a 20% coinsurance and the plan will reimburse the provider 80%.
The service also applies to the out of pocket maximum of $3,500 individual not to exceed $10,000 per family.  Once the out of pocket has been met, the plan will reimburse the provider 100% of the allowed amount
Level 3 Out of Network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There is a deductible of $500 for individual not to exceed $1,000 per family.  The service applies to the deductible.  Once the deductible is met, the member has a 40% coinsurance .
The service also applies to the out of pocket maximum of $7,000 individual not to exceed $16,000 per family.  Once the out of pocket has been met, the plan will reimburse the provider 100% of the allowed amount
Outpatient department of a hospital:
For Level 1 HMO in-network providers,  services must be provided or prior authorized by your primary care physician (PCP) or assigned medical group / IPA. There is no deductible for Level 1 providers, and the plan will reimburse the provider
For Level 2 PPO in-network providers, you may access services without a referral. There is a deductible of $500 for individual not to exceed $1000 per family.  The service applies to the deductible.  Once the deductible is met, the member has a 20% coinsurance and the plan will reimburse the provider 80%.
The service also applies to the out of pocket maximum of $3500 individual not to exceed $10000 per family.  Once the out of pocket has been met, the plan will reimburse the provider 100% of the allowed amount.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There is a deductible of $500for individual not to exceed $1000 per family.  The service applies to the deductible.  Once the deductible is met, the member has a 40% coinsurance .
The service also applies to the out of pocket maximum of $7000 individual not to exceed $16000 per family.  Once the out of pocket has been met, the plan will reimburse the provider 100% of the allowed amount 
This plan has a maximum payable amount of up to $350 per day. This means the member would also be responsible for all charges above $350 per day.  
</t>
  </si>
  <si>
    <t>KT0506 - New POS LLM Rule 47</t>
  </si>
  <si>
    <t>Updated entire response</t>
  </si>
  <si>
    <t>Do you cover at home Covid testing kits?</t>
  </si>
  <si>
    <t xml:space="preserve">Brief Answer 
Yes. The plan covers reimbursement for over-the-counter at-home COVID-19 tests, up to 8 tests per Member per month, with a maximum reimbursement of $12 per test. 
──────────────────────────────────────────────────
Detailed Explanation
Diagnostic X-ray, imaging, pathology, laboratory, and other testing services (includes at-home COVID test reimbursement):
In-Network Provider 
- the plan has a $250 deductible per person, not to exceed $750 per family.  
- Diagnostic X-ray, imaging, pathology, laboratory, and other testing services is subject to this deductible. Once the deductible is met,  
- The copay for Diagnostic X-ray, imaging, pathology, laboratory, and other testing services services is $10.  
- The service applies to the plan's out-of-pocket maximum amount of $2,750, not to exceed $5,500 per family. When the plan's out-of-pocket maximum amount is satisfied, the health plan will reimburse 100% of the allowed amount.  
- Additional details: 
 - Reimbursement is allowed for up to 8 at-home COVID-19 tests per Member per month.  
 - Reimbursement is subject to a maximum of $12 per test.  
 - The plan instructs to see the Claims section for how to submit a claim for repayment for this benefit.  
Out-of-Network Provider 
For out-of-network providers: 
An out-of-network provider has the right to bill for the balance. What this means is that the member may be responsible for the difference between the allowed amount and billed amount.
</t>
  </si>
  <si>
    <t>Diagnostic X-ray, imaging, pathology, laboratory, and other testing
Preventive</t>
  </si>
  <si>
    <t>My doctor said I need to get a mammogram, how is that covered?</t>
  </si>
  <si>
    <t>Brief Answer 
A mammogram may be covered either as a preventive screening (typically No Charge in-network) or as a diagnostic mammogram (cost share applies and is generally subject to the medical deductible). Coverage and cost depend on whether it’s billed as screening vs diagnostic and where it’s performed (office/radiology center vs hospital outpatient). 
──────────────────────────────────────────────────
Detailed Explanation
Screening vs. diagnostic
Diagnostic mammography falls under the plan’s Basic Imaging Services (“…diagnostic mammography”) and is separate from preventive screening benefits. 
A) Diagnostic mammogram (Basic Imaging Services – diagnostic mammography):
#### 1) Professional/Office or Radiology Center (Basic Imaging Services – Outpatient Radiology Center/Professional Office) 
In-Network Provider 
For in-network providers:  
the plan has a $2,500 deductible deductible per person, not to exceed $5,000 per family.  
Basic Imaging Services (includes plain film X-rays, ultrasounds, and diagnostic mammography) is subject to this deductible. Once the deductible is met,  
The copay for Basic Imaging Services (includes plain film X-rays, ultrasounds, and diagnostic mammography - Professional Office) services is $25.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deductible per person, not to exceed $5,000 per family.  
Basic Imaging Services (includes plain film X-rays, ultrasounds, and diagnostic mammography - Professional Office) is subject to this deductible. Once the deductible is met,  
The coinsurance is 50% of the allowed amount, and the plan will reimburse the remaining 50% of the allowed amount for Basic Imaging Services (includes plain film X-rays, ultrasounds, and diagnostic mammography - Professional Office).  
The service applies to the plan's out-of-pocket maximum amount of $10,500, not to exceed $21,000 per family. When the plan's out-of-pocket maximum amount is satisfied, the health plan will reimburse 100% of the allowed amount.  
#### 2) Hospital Outpatient Department (Basic Imaging Services – Outpatient Department of a Hospital/Facility Outpatient) 
In-Network Provider 
For in-network providers:  
the plan has a $2,500 deductible deductible per person, not to exceed $5,000 per family.  
Outpatient Basic Imaging Services (includes plain film X-rays, ultrasounds, and diagnostic mammography - Facility Outpatient) is subject to this deductible. Once the deductible is met,  
The copay for Outpatient Basic Imaging Services (includes plain film X-rays, ultrasounds, and diagnostic mammography - Facility Outpatient) services is $50.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deductible per person, not to exceed $5,000 per family.  
Outpatient Basic Imaging Services (includes plain film X-rays, ultrasounds, and diagnostic mammography - Facility Outpatient) is subject to this deductible. Once the deductible is met,  
The coinsurance is 50% of the allowed amount, and the plan will reimburse the remaining 50% of the allowed amount for Outpatient Basic Imaging Services (includes plain film X-rays, ultrasounds, and diagnostic mammography - Facility Outpatient).  
This plan has a maximum payable amount of up to $350 per day. This means the member would also be responsible for all charges above $350 per day.  
The service applies to the plan's out-of-pocket maximum amount of $10,500, not to exceed $21,000 per family. When the plan's out-of-pocket maximum amount is satisfied, the health plan will reimburse 100% of the allowed amount.  
──────────────────────────────────────────────────
B) Preventive screening mammogram:
The plan document excerpt provided shows preventive care visits are No Charge in-network under Annual Health Exams
I couldn't find this information in the current plan document.
────────────────────────────────────────────────</t>
  </si>
  <si>
    <t>KT0429 - LLM Rule Issue (Procedure Classification - see line 45 on the LLM_Rule_Details tab</t>
  </si>
  <si>
    <t xml:space="preserve">Removed , but it does not specifically list mammography as its own preventive line item in the structured benefits shown here.  - See line 287  </t>
  </si>
  <si>
    <t>Dialysis Benefits</t>
  </si>
  <si>
    <t>Dialysis</t>
  </si>
  <si>
    <t>My husband will be starting hemodialysis, can you tell me how that's covered?</t>
  </si>
  <si>
    <t xml:space="preserve">Brief Answer 
Hemodialysis is covered under the plan’s Dialysis Benefits when received at a freestanding dialysis center, a hospital outpatient department, a physician office, or at home. Under this plan, dialysis services are covered at 20% coinsurance (and are subject to the medical deductible) when received from a Participating Provider.
──────────────────────────────────────────────────
Detailed Explanation
Exclusive Provider Organization (EPO) Disclaimer:
This is an Exclusive Provider Organization (EPO) plan. You must receive all Covered Benefits from a Participating Provider,  the exception is with Emergency or Urgent Services.
Plan deductible (medical) 
the plan has a $500 deductible per person, not to exceed $1,500 per family. 
Dialysis Benefits (Hemodialysis):
1) Dialysis Services – Facility Outpatient (includes “Outpatient facility” / “Renal dialysis”):
In-Network Provider 
For in-network providers: 
Dialysis Services – Facility Outpatient is subject to this deductible. Once the deductible is met, 
The coinsurance is 20% of the allowed amount, and the plan will reimburse the remaining 80% of the allowed amount for Dialysis Services – Facility Outpatient.  
The service applies to the plan's out-of-pocket maximum amount of $3,000, not to exceed $6,000 per family. When the plan's out-of-pocket maximum amount is satisfied, the health plan will reimburse 100% of the allowed amount. 
2) Professional Dialysis Services – Professional, Home or Freestanding Dialysis Center:
In-Network Provider 
For in-network providers: 
Professional Dialysis Services is subject to this deductible. Once the deductible is met, 
The coinsurance is 20% of the allowed amount, and the plan will reimburse the remaining 80% of the allowed amount for Professional Dialysis Services.  
The service applies to the plan's out-of-pocket maximum amount of $3,000, not to exceed $6,000 per family. When the plan's out-of-pocket maximum amount is satisfied, the health plan will reimburse 100% of the allowed amount. 
Out-of-Network Provider 
For out-of-network providers: 
Out of network providers are not covered on this plan.
Additional details: 
- Dialysis services are covered at a freestanding dialysis center, in the Outpatient Department of a Hospital, in a physician office setting, or in the home.  
- Covered dialysis services include renal dialysis, hemodialysis, peritoneal dialysis, and self-management training for home dialysis.  
- Not included: comfort, convenience, or luxury equipment, and non-medical items (e.g., generators or accessories to make home dialysis equipment portable). 
</t>
  </si>
  <si>
    <t xml:space="preserve">Minera Response (Needs to be human validated)
Hemodialysis is covered under the plan’s Dialysis Benefits. In-network dialysis is 10% coinsurance (after the medical deductible), and out-of-network dialysis is 30% coinsurance (after the deductible) and the provider may balance bill.
──────────────────────────────────────────────────
Detailed Explanation
Dialysis Benefits (this includes hemodialysis) :
#### 1) Outpatient facility (Dialysis Services - Facility Outpatient)
In-Network Provider 
For in-network providers, [1] 
The plan has a $1,000 deductible per person, not to exceed $3,000 per family. [1] 
Dialysis Services - Facility Outpatient is subject to this deductible. Once the deductible is met, [1] 
The coinsurance is 10% of the allowed amount, and the plan will reimburse the remaining 90% of the allowed amount for Dialysis Services - Facility Outpatient services. [1] 
The service applies to the plan's out-of-pocket maximum amount of $4,000 individual, not to exceed $8,000 per family. When the plan's out-of-pocket maximum amount is satisfied, the health plan will reimburse 100% of the allowed amount. [6]
Additional details: 
- Dialysis services may be received at a freestanding dialysis center, in the outpatient department of a hospital, in a physician office setting, or in the home. [4] 
- Includes renal dialysis, hemodialysis, peritoneal dialysis, and self-management training for home dialysis. [4] 
- Not included: comfort/convenience/luxury equipment; non-medical items (e.g., generators or accessories to make home dialysis equipment portable). [4]
Out-of-Network Provider 
For out-of-network providers, . [2] 
An out-of-network provider has the right to bill for the balance. What this means is that the member may be responsible for the difference between the allowed amount and billed amount. [2] 
The plan has a $1,000 deductible per person, not to exceed $3,000 per family. [2] 
Dialysis Services - Facility Outpatient is subject to this deductible. Once the deductible is met, [2] 
The coinsurance is 30% of the allowed amount, and the plan will reimburse the remaining 70% of the allowed amount for Dialysis Services - Facility Outpatient services. [2] 
The service applies to the plan's out-of-pocket maximum amount of $6,000 individual, not to exceed $12,000 per family. When the plan's out-of-pocket maximum amount is satisfied, the health plan will reimburse 100% of the allowed amount. [7] 
This plan has a maximum payable amount of up to $350 per day. This means the member would also be responsible for all charges above $350 per day. [2]
──────────────────────────────────────────────────
#### 2) Professional, home or freestanding dialysis center (Professional Dialysis Services - Professional, Home or Freestanding Dialysis Center)
In-Network Provider 
For in-network providers, [3] 
The plan has a $1,000 deductible per person, not to exceed $3,000 per family. [3] 
Professional Dialysis Services - Professional, Home or Freestanding Dialysis Center is subject to this deductible. Once the deductible is met, [3] 
The coinsurance is 10% of the allowed amount, and the plan will reimburse the remaining 90% of the allowed amount for Professional Dialysis Services - Professional, Home or Freestanding Dialysis Center services. [3] 
The service applies to the plan's out-of-pocket maximum amount of $4,000 individual, not to exceed $8,000 per family. When the plan's out-of-pocket maximum amount is satisfied, the health plan will reimburse 100% of the allowed amount. [6]
Out-of-Network Provider 
For out-of-network providers, . [8] 
An out-of-network provider has the right to bill for the balance. What this means is that the member may be responsible for the difference between the allowed amount and billed amount. [8] 
The plan has a $1,000 deductible per person, not to exceed $3,000 per family. [8] 
Professional Dialysis Services - Professional, Home or Freestanding Dialysis Center is subject to this deductible. Once the deductible is met, [8] 
The coinsurance is 30% of the allowed amount, and the plan will reimburse the remaining 70% of the allowed amount for Professional Dialysis Services - Professional, Home or Freestanding Dialysis Center services. [8] 
The service applies to the plan's out-of-pocket maximum amount of $6,000 individual, not to exceed $12,000 per family. When the plan's out-of-pocket maximum amount is satisfied, the health plan will reimburse 100% of the allowed amount. [7] 
This plan has a maximum payable amount of up to $350 per day. This means the member would also be responsible for all charges above $350 per day. [8]
──────────────────────────────────────────────────
#### 3) Renal dialysis (Dialysis Services - Facility Outpatient)
In-Network Provider 
For in-network providers, [5] 
The plan has a $1,000 deductible per person, not to exceed $3,000 per family. [5] 
Dialysis Services - Facility Outpatient is subject to this deductible. Once the deductible is met, [5] 
The coinsurance is 10% of the allowed amount, and the plan will reimburse the remaining 90% of the allowed amount for Dialysis Services - Facility Outpatient services. [5] 
The service applies to the plan's out-of-pocket maximum amount of $4,000 individual, not to exceed $8,000 per family. When the plan's out-of-pocket maximum amount is satisfied, the health plan will reimburse 100% of the allowed amount. [6]
Out-of-Network Provider 
For out-of-network providers, . [9] 
An out-of-network provider has the right to bill for the balance. What this means is that the member may be responsible for the difference between the allowed amount and billed amount. [9] 
The plan has a $1,000 deductible per person, not to exceed $3,000 per family. [9] 
Dialysis Services - Facility Outpatient is subject to this deductible. Once the deductible is met, [9] 
The coinsurance is 30% of the allowed amount, and the plan will reimburse the remaining 70% of the allowed amount for Dialysis Services - Facility Outpatient services. [9] 
The service applies to the plan's out-of-pocket maximum amount of $6,000 individual, not to exceed $12,000 per family. When the plan's out-of-pocket maximum amount is satisfied, the health plan will reimburse 100% of the allowed amount. [7] 
This plan has a maximum payable amount of up to $350 per day. This means the member would also be responsible for all charges above $350 per day. [9]
</t>
  </si>
  <si>
    <t>Durable Medical Equipment</t>
  </si>
  <si>
    <t>Medical equipment/supplies</t>
  </si>
  <si>
    <t>Does my plan cover durable medical equipment for respiratory support?</t>
  </si>
  <si>
    <t xml:space="preserve">Brief Answer 
Yes. The plan covers durable medical equipment (DME) for respiratory support (for example, oxygen and respiratory equipment). Your cost share depends on whether the DME supplier is in-network or out-of-network.
──────────────────────────────────────────────────
Detailed Explanation
Durable Medical Equipment (DME) – respiratory support (oxygen/respiratory equipment):
#### In-Network Provider
For in-network providers: 
the plan has a $750 deductible per person, not to exceed $2,250 per family.  
Medical equipment/supplies is subject to this deductible. Once the deductible is met,  
The coinsurance is 20% of the allowed amount, and the plan will reimburse the remaining 80% of the allowed amount for Medical equipment/supplies.  
The service applies to the plan's out-of-pocket maximum amount of $6,250, not to exceed $12,500 per family. When the plan's out-of-pocket maximum amount is satisfied, the health plan will reimburse 100% of the allowed amount. 
Additional details:
- DME includes oxygen and respiratory equipment. 
- DME includes supplies needed to operate the equipment.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Medical equipment/supplies is subject to this deductible. Once the deductible is met,  
The coinsurance is 40% of the allowed amount, and the plan will reimburse the remaining 60% of the allowed amount for Medical equipment/supplies.  
The service applies to the plan's out-of-pocket maximum amount of $10,750, not to exceed $21,500 per family. When the plan's out-of-pocket maximum amount is satisfied, the health plan will reimburse 100% of the allowed amount. 
</t>
  </si>
  <si>
    <t>Glucose monitor</t>
  </si>
  <si>
    <t>Does my plan cover remote glucose monitoring for diabetes?</t>
  </si>
  <si>
    <t xml:space="preserve">Brief Answer 
Yes—this plan covers diabetes devices/equipment (which would include a glucose monitor/continuous glucose monitor and related supplies). Coverage is 20% coinsurance in-network (and 40% coinsurance out-of-network) and is subject to the medical deductible.
──────────────────────────────────────────────────
Detailed Explanation
Remote glucose monitoring for diabetes would fall under the plan’s Diabetes Care Services → Devices, equipment and supplies (glucose monitors/continuous glucose monitors and related supplies are specifically listed as covered diabetic devices/equipment/supplies in the category narrative). 
Diabetes Care – Devices, equipment and supplies (glucose monitor/CGM and related supplies):
In-Network Provider 
For in-network providers: 
the plan has a $750 deductible per person, not to exceed $2,250 per family.  
Diabetes: Devices, equipment and supplies is subject to this deductible. Once the deductible is met,  
The coinsurance is 20% of the allowed amount, and the plan will reimburse the remaining 80% of the allowed amount for Diabetes: Devices, equipment and supplies.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Diabetes: Devices, equipment and supplies is subject to this deductible. Once the deductible is met,  
The coinsurance is 40% of the allowed amount, and the plan will reimburse the remaining 60% of the allowed amount for Diabetes: Devices, equipment and supplies.  
The service applies to the plan's out-of-pocket maximum amount of $10,750, not to exceed $21,500 per family. When the plan's out-of-pocket maximum amount is satisfied, the health plan will reimburse 100% of the allowed amount. 
</t>
  </si>
  <si>
    <t xml:space="preserve">Minera Response (Needs to be human validated)
Yes—this plan covers diabetes-related glucose monitoring equipment/supplies (including continuous blood glucose monitors) under the Diabetes Care Services and Durable Medical Equipment benefits, when obtained through in-network (HMO) providers. In-network cost share for these items is 20% coinsurance (not subject to the deductible).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Diabetes Care Services (devices/equipment &amp; supplies) — applies to remote/continuous glucose monitoring:
#### 1) Equipment
In-Network Provider
For in-network providers,
The plan has a $1,500 deductible per person, not to exceed $3,000 per family. [1]
However, Diabetes Care Services (Equipment) is not subject to the deductible. [2]
The coinsurance is 20% of the allowed amount, and the plan will reimburse the remaining 80% of the allowed amount for Diabetes Care Services (Equipment) services. [2]
The service applies to the plan's out-of-pocket maximum amount of $3,000 individual out-of-pocket maximum, not to exceed $6,000 per family. When the plan's out-of-pocket maximum amount is satisfied, the health plan will reimburse 100% of the allowed amount. [3]
Additional details:
- Covered diabetic devices/equipment/supplies include blood glucose monitors including continuous blood glucose monitors and related supplies, insulin pumps and supplies, testing strips, lancets, podiatric footwear/devices, medically necessary foot care, and visual aids (excluding eyewear/video-assisted devices). [4]
- The plan covers replacement of a covered item after the expiration of its life expectancy. [4]
- Not included: routine foot care items/services that are not medically necessary (e.g., callus treatment, corn paring/excision, toenail trimming, OTC inserts/arch supports, massage on the foot). [4]
Out-of-Network Provider
For out-of-network providers, the member is responsible for 100% of the provider's billed amount, as the plan only covers in-network providers.
#### 2) Testing Supplies
In-Network Provider
For in-network providers,
The plan has a $1,500 deductible per person, not to exceed $3,000 per family. [1]
However, Diabetes Care Services (Testing Supplies) is not subject to the deductible. [5]
The coinsurance is 20% of the allowed amount, and the plan will reimburse the remaining 80% of the allowed amount for Diabetes Care Services (Testing Supplies) services. [5]
The service applies to the plan's out-of-pocket maximum amount of $3,000 individual out-of-pocket maximum, not to exceed $6,000 per family. When the plan's out-of-pocket maximum amount is satisfied, the health plan will reimburse 100% of the allowed amount. [3]
Out-of-Network Provider
For out-of-network providers, the member is responsible for 100% of the provider's billed amount, as the plan only covers in-network providers.
──────────────────────────────────────────────────
B) Durable Medical Equipment (DME) — Glucose monitor (includes continuous glucose monitor):
#### Glucose monitor
In-Network Provider
For in-network providers,
The plan has a $1,500 deductible per person, not to exceed $3,000 per family. [1]
However, Durable Medical Equipment (Glucose monitor) is not subject to the deductible. [6]
The coinsurance is 20% of the allowed amount, and the plan will reimburse the remaining 80% of the allowed amount for Durable Medical Equipment (Glucose monitor) services. [6]
The service applies to the plan's out-of-pocket maximum amount of $3,000 individual out-of-pocket maximum, not to exceed $6,000 per family. When the plan's out-of-pocket maximum amount is satisfied, the health plan will reimburse 100% of the allowed amount. [3]
Additional details:
- DME includes a glucose monitor including continuous blood glucose monitor, and related necessary supplies for diabetes self-management. [7]
- Asthma inhalers/spacers are covered under the Prescription Drug Benefits Rider (if selected). [7]
- Self-applied continuous blood glucose monitors are also covered under the Prescription Drug Benefits Rider (if selected). [7]
Out-of-Network Provider
For out-of-network providers, the member is responsible for 100% of the provider's billed amount, as the plan only covers in-network providers.
</t>
  </si>
  <si>
    <t>Implanted devices</t>
  </si>
  <si>
    <t>How are intraocular lenses covered?</t>
  </si>
  <si>
    <t xml:space="preserve">Brief Answer 
Intraocular lenses are covered under the plan’s Durable Medical Equipment (DME) / Prosthetics benefit as an internally-implanted prosthetic device, with No Charge when obtained in-network. Out-of-network coverage is not provided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Durable Medical Equipment (DME) / Prosthetics — “Implanted devices” (includes intraocular lenses):
In-Network Provider
For in-network providers:  
the plan has a $1,500 deductible per person, not to exceed $3,000 per family.  
However, Implanted devices is not subject to the deductible.  
The plan will reimburse the provider 100% of the allowed amount for Implanted devices. 
Additional details: 
- The DME section states prosthetic devices include “internally-implanted devices such as … intraocular lenses … if surgery to implant the device is covered.” 
Out-of-Network Provider
For out-of-network providers, the member is responsible for 100% of the provider's billed amount, as the plan only covers in-network providers. 
</t>
  </si>
  <si>
    <t>Benefit: DME/ Implanted devices
Par - 20%, Ded $750 ind, $2,250 fam, OOPM $6,250 ind/ $12,500 fam
Non Par - 40%, Ded $750 ind, $2,250 fam, OOPM $10,750 ind/ $21,500 fam</t>
  </si>
  <si>
    <t>Prosthetics</t>
  </si>
  <si>
    <t>How is a prosthetic leg covered?</t>
  </si>
  <si>
    <t xml:space="preserve">Brief Answer 
A prosthetic leg falls under the plan’s Durable Medical Equipment (DME) / Prosthetics benefit and is covered with 20% coinsurance (in-network), after the medical deductible. Out-of-network coverage is 40% coinsurance (after deductible) and the member may also be balance billed.
──────────────────────────────────────────────────
Detailed Explanation
Prosthetic equipment and devices (Prosthetics) — Durable Medical Equipment:
In-Network Provider (Participating Provider) 
For in-network providers:  
the plan has a $1,500 deductible per person, not to exceed $3,000 per family.  
Prosthetics is subject to this deductible. Once the deductible is met,  
The coinsurance is 20% of the allowed amount, and the plan will reimburse the remaining 80% of the allowed amount for Prosthetics.  
The service applies to the plan's out-of-pocket maximum amount of $5,500, not to exceed $11,000 per family. When the plan's out-of-pocket maximum amount is satisfied, the health plan will reimburse 100% of the allowed amount.  
Additional details: 
- The DME section states prosthetic equipment and devices are covered as prosthetic appliances/devices used to replace a body part that is missing or does not function, including related supplies. 
Out-of-Network Provider (Non-Participating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Prosthetics is subject to this deductible. Once the deductible is met,  
The coinsurance is 40% of the allowed amount, and the plan will reimburse the remaining 60% of the allowed amount for Prosthetics.  
The service applies to the plan's out-of-pocket maximum amount of $10,000, not to exceed $20,000 per family. When the plan's out-of-pocket maximum amount is satisfied, the health plan will reimburse 100% of the allowed amount.  
</t>
  </si>
  <si>
    <t>Orthotics</t>
  </si>
  <si>
    <t>I am about to have knee surgery and need to pick up a knee brace, what's the coverage for that?</t>
  </si>
  <si>
    <t xml:space="preserve">Brief Answer 
For the knee surgery, the plan generally covers the professional (surgeon) services at no charge, but the facility portion (hospital/ASC) is subject to the facility deductible and then coinsurance applies. For the knee brace, it falls under Orthotics and is covered at No Charge when obtained in-network.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Knee brace (Orthotics):
In-Network Provider:
For in-network providers:  
the plan has a $1,500 deductible per person, not to exceed $3,000 per family.  
However, Orthotics (not listed elsewhere) is not subject to the deductible.  
The plan will reimburse the provider 100% of the allowed amount for Orthotics (not listed elsewhere). 
Out-of-Network Provider:
For out-of-network providers, the member is responsible for 100% of the provider's billed amount, as the plan only covers in-network providers. 
2) Knee surgery (procedure – place of service not specified, so both inpatient and outpatient facility scenarios):
A. Professional (surgeon) services:
#### In-Network Provider (Outpatient professional)
For in-network providers:  
the plan has a $1,500 deductible per person, not to exceed $3,000 per family.  
However, Professional Services Surgery - Outpatient is not subject to the deductible.  
The plan will reimburse the provider 100% of the allowed amount for Professional Services Surgery - Outpatient. 
#### Out-of-Network Provider
For out-of-network providers, the member is responsible for 100% of the provider's billed amount, as the plan only covers in-network providers. 
#### In-Network Provider (Inpatient professional)
For in-network providers:  
the plan has a $1,500 deductible per person, not to exceed $3,000 per family.  
However, Physician Care at a hospital/hospital visit is not subject to the deductible.  
The plan will reimburse the provider 100% of the allowed amount for Physician Care at a hospital/hospital visit. 
#### Out-of-Network Provider
For out-of-network providers, the member is responsible for 100% of the provider's billed amount, as the plan only covers in-network providers. 
B. Facility (hospital/ASC) services:
#### In-Network Provider (Outpatient hospital surgery facility)
For in-network providers:  
the plan has a $1,500 deductible per person, not to exceed $3,000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$3,000, not to exceed $6,000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In-Network Provider (Ambulatory Surgery Center – freestanding facility)
For in-network providers:  
the plan has a $1,500 deductible per person, not to exceed $3,000 per family.  
Ambulatory Surgery Center Free Standing Facility Services is subject to this deductible. Once the deductible is met,  
The coinsurance is 15% of the allowed amount, and the plan will reimburse the remaining 85% of the allowed amount for Ambulatory Surgery Center Free Standing Facility Services.  
The service applies to the plan's out-of-pocket maximum amount of $3,000, not to exceed $6,000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In-Network Provider (Inpatient hospital facility)
For in-network providers:  
the plan has a $1,500 deductible per person, not to exceed $3,000 per family.  
Hospital Room Facility Services - Room and board and all medically necessary ancillary services and supplies is subject to this deductible. Once the deductible is met,  
The coinsurance is 25% of the allowed amount, and the plan will reimburse the remaining 75% of the allowed amount for Hospital Room Facility Services - Room and board and all medically necessary ancillary services and supplies.  
The service applies to the plan's out-of-pocket maximum amount of $3,000, not to exceed $6,000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</si>
  <si>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Equipment</t>
  </si>
  <si>
    <t>I broke my leg and need to rent a wheel chair. Is that covered?</t>
  </si>
  <si>
    <t xml:space="preserve">Brief Answer 
Yes — wheelchair rental falls under Durable Medical Equipment (DME). Under this plan, DME is covered with 50% coinsurance when provided by an in-network (HMO) provider. Out-of-network DME is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Durable Medical Equipment (Wheelchair rental):
#### In-Network Provider
For in-network providers:  
the plan has a $1,500 deductible per person, not to exceed $3,000 per family.  
However, Durable Medical Equipment is not subject to the deductible.  
The coinsurance is 50% of the allowed amount, and the plan will reimburse the remaining 50% of the allowed amount for Durable Medical Equipment.  
The service applies to the plan's out-of-pocket maximum amount of $3,000, not to exceed $6,000 per family. When the plan's out-of-pocket maximum amount is satisfied, the health plan will reimburse 100% of the allowed amount. 
Additional details:
- DME includes mobility devices such as wheelchairs. 
- DME rental fees are covered up to the purchase price. 
#### Out-of-Network Provider
For out-of-network providers, the member is responsible for 100% of the provider's billed amount, as the plan only covers in-network providers. 
</t>
  </si>
  <si>
    <t>Excluded</t>
  </si>
  <si>
    <t>I need a generator to ensure if the electricity goes out that my monitor works. Do you cover those?</t>
  </si>
  <si>
    <t xml:space="preserve">Brief Answer 
I couldn’t find coverage for a generator in the current plan document. The plan specifically lists generators as a non-covered item under Durable Medical Equipment (DME).
──────────────────────────────────────────────────
Detailed Explanation
The plan’s Durable Medical Equipment section lists “Generators” under items the plan does not include (i.e., not covered) . Because the plan document indicates generators are excluded from the DME benefit, the member would be responsible for the full cost.
</t>
  </si>
  <si>
    <t>I'm going to be having a baby soon. Do you reimburse for breast pumps?</t>
  </si>
  <si>
    <t xml:space="preserve">Brief Answer 
Yes—this plan covers a breast pump purchase at no charge when obtained through a Participating Provider.
──────────────────────────────────────────────────
Detailed Explanation
Exclusive Provider Organization (EPO) Disclaimer:
This is an Exclusive Provider Organization (EPO) plan. You must receive all Covered Benefits from a Participating Provider,  the exception is with Emergency or Urgent Services.
Breast pump purchase (Durable Medical Equipment &gt; Medical Equipment and Supplies):
In-Network Provider (Participating Provider) 
For in-network providers: 
- The plan has a $2,500 deductible per person, not to exceed $5,000 per family.  
- However, Breast Pump - Purchase is not subject to the deductible.  
- The plan will reimburse the provider 100% of the allowed amount for Breast Pump - Purchase.  
Out-of-Network Provider 
Out-of-Network Provider are not covered under this plan.
</t>
  </si>
  <si>
    <t>HW 5/12: Updated with New Rule 51</t>
  </si>
  <si>
    <t>Is a CPAP machine a covered benefit?</t>
  </si>
  <si>
    <t xml:space="preserve">Brief Answer 
Yes—CPAP equipment falls under Durable Medical Equipment (DME), which is covered under this plan. For in-network providers, the member pays 50% coinsurance for “medical equipment/supplies.”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Durable Medical Equipment (DME) (medical equipment/supplies) — CPAP would be considered DME:
In-Network Provider 
For in-network providers:  
the plan does not have a deductible.  
The coinsurance is 50% of the allowed amount, and the plan will reimburse the remaining 50% of the allowed amount for Medical equipment/supplies.  
The service applies to the plan's out-of-pocket maximum amount of $4,000, not to exceed $8,000 per family. When the plan's out-of-pocket maximum amount is satisfied, the health plan will reimburse 100% of the allowed amount. 
Additional details: 
- DME is intended for repeated use to treat an illness or injury, improve function, or prevent deterioration of a medical condition.  
- DME includes items like oxygen and respiratory equipment. 
Out-of-Network Provider 
For out-of-network providers, the member is responsible for 100% of the provider's billed amount, as the plan only covers in-network providers.
</t>
  </si>
  <si>
    <t>removed "However, Medical Equipment and Supplies is not subject to the deductible.  " given plan does not have a deductible.</t>
  </si>
  <si>
    <t>Is coverage available for outpatient lymphedema pumps?</t>
  </si>
  <si>
    <t xml:space="preserve">Brief Answer 
Yes—coverage is available, but it’s handled under Durable Medical Equipment (DME) (lymphedema pumps are DME). In-network coverage is 10% coinsurance after the deductible; out-of-network is 30% coinsurance after the deductible, and the provider may balance bill.
──────────────────────────────────────────────────
Detailed Explanation
Durable Medical Equipment (DME) — outpatient lymphedema pumps (treated as DME):
#### In-Network Provider
For in-network providers:  
the plan has a $250 deductible per person, not to exceed $750 per family.  
Medical Equipment and Supplies is subject to this deductible. Once the deductible is met,  
The coinsurance is 10% of the allowed amount, and the plan will reimburse the remaining 90% of the allowed amount for Medical Equipment and Supplies.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Medical Equipment and Supplies is subject to this deductible. Once the deductible is met,  
The coinsurance is 30% of the allowed amount, and the plan will reimburse the remaining 70% of the allowed amount for Medical Equipment and Supplies.  
The service applies to the plan's out-of-pocket maximum amount of $3,500, not to exceed $7,000 per family. When the plan's out-of-pocket maximum amount is satisfied, the health plan will reimburse 100% of the allowed amount. 
</t>
  </si>
  <si>
    <t>Is coverage available for prosthetic limb replacements?</t>
  </si>
  <si>
    <t xml:space="preserve">Brief Answer 
Yes—coverage is available for prosthetic limb replacements when provided in-network under the plan’s Prosthetics benefit, and it’s covered at No Charge. Out-of-network coverage is not available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Prosthetic limb replacement (Prosthetics):
#### In-Network Provider 
For in-network providers: 
the plan does not have a deductible. 
The plan will reimburse the provider 100% of the allowed amount for Prosthetics. 
Additional details: 
- Prosthetic appliances and devices used to replace a part of the body that is missing or does not function, and related supplies, are included.  
- Device fitting and adjustment are included.  
- Device replacement at the end of its expected lifespan is included.  
- Repair due to normal wear and tear is included.  
#### Out-of-Network Provider 
For out-of-network providers, the member is responsible for 100% of the provider's billed amount, as the plan only covers in-network providers. 
</t>
  </si>
  <si>
    <t>What are the benefits for orthotics? </t>
  </si>
  <si>
    <t xml:space="preserve">Brief Answer 
Orthotics are covered under the plan’s Durable Medical Equipment benefits. In-network, the Member can use the First Dollar Service credit, then pays a 20% coinsurance; out-of-network, the Member can use the First Dollar Service, then pays 40% coinsurance.
──────────────────────────────────────────────────
Orthotic services are included as a First Dollar Service, this means this plan helps pay for them right away—before the deductible applies. This plan will pay 100% of the allowed amount for Orthotics at a participating provider, using the First Dollar credit, so the member doesn't pay anything upfront as long as that credit is available. 
The credit is $300 for individual coverage, and $600 for family coverage. 
Once the First Dollar Service credit is used up: 
In-Network: 
This plan has a deductible of $2,000 individual not to exceed $4,000 for the family. However, these services do not apply to the deductible.  The member would pay 20% coinsurance when using a participating provider. All the costs the member pays go towards the out-of-pocket maximum, which is: $3,000 for the individual, not to exceed $6,000 per family.
Once the member reaches that amount, the plan pays 100% of the allowed amount for the rest of the year.
Out of Network:
This plan has a deductible of $2,000 per individual, not to exceed $4,000 per family. However, these services do not apply to the deductible.  The member would pay 40% coinsurance when using a non-participating provider. All the costs the member pays go towards the out-of-pocket maximum, which is: $10,000 per individual, not to exceed $20,000 per family.
Once the member reaches that amount, the plan pays 100% of the allowed amount for the rest of the year.
Additional details: 
- The plan covers orthotic equipment and devices needed to perform Activities of Daily Living.  
- Shoes are covered only when permanently attached to orthotic devices.  
- Special footwear is covered when required for foot disfigurement caused by disease, disorder, accident, or developmental disability.  
- Knee braces are covered for postoperative rehabilitation following ligament surgery, instability due to injury, and to reduce pain/instability for osteoarthritis.  
- Custom-made rigid orthotic shoe inserts are covered when ordered by a Physician or podiatrist and used to treat mechanical problems of the foot/ankle/leg, after no improvement with a trial of strapping or an over-the-counter stabilizing device.  
- Device fitting and adjustment are included.  
- Device replacement at the end of its expected lifespan is included.  
- Repair due to normal wear and tear is included.  
- Orthotic devices intended to provide additional support for recreational or sports activities are not included.  
- Orthopedic shoes and other supportive devices for the feet are not included except as specifically listed.  
- Backup or alternate items are not included.  
- Repair or replacement due to loss or misuse is not included. 
</t>
  </si>
  <si>
    <t xml:space="preserve">HW 5/11: New LLM 53
</t>
  </si>
  <si>
    <t>Updated using LLM Rule 53 logic</t>
  </si>
  <si>
    <t>Updated per new rule</t>
  </si>
  <si>
    <t>What does my plan cover for oxygen?</t>
  </si>
  <si>
    <t xml:space="preserve">Brief Answer 
For oxygen (oxygen and respiratory equipment under Durable Medical Equipment), the plan covers it in-network at 20% coinsurance. The plan document provided does not show any out-of-network benefit for oxygen under DME, so out-of-network is 100% member responsibility.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Oxygen (Durable Medical Equipment / oxygen and respiratory equipment):
#### In-Network Provider
For in-network providers:  
the plan does not have a deductible.  
The coinsurance is 20% of the allowed amount, and the plan will reimburse the remaining 80% of the allowed amount for Durable Medical Equipment.  
The service applies to the plan's out-of-pocket maximum amount of $1,500, not to exceed $3,000 per family. When the plan's out-of-pocket maximum amount is satisfied, the health plan will reimburse 100% of the allowed amount. 
Additional details:
- Covered DME includes oxygen and respiratory equipment. 
#### Out-of-Network Provider
For out-of-network providers, the member is responsible for 100% of the provider's billed amount, as the plan only covers in-network providers. 
</t>
  </si>
  <si>
    <t>Do you cover wheel chairs?</t>
  </si>
  <si>
    <t>Brief Answer 
Yes—wheelchairs fall under Durable Medical Equipment (DME) and are covered under this plan, but the member will generally pay 50% coinsurance for DME (unless the wheelchair is handled under a different specific DME line item).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Durable Medical Equipment (DME) (includes mobility devices such as wheelchairs) :
In-Network Provider
For in-network providers:  
the plan has a $750 deductible per person, not to exceed $1,500 per family.  
However, Durable Medical Equipment (DME) – other DME and supplies is not subject to the deductible.  
The coinsurance is 50% of the allowed amount, and the plan will reimburse the remaining 50% of the allowed amount for Durable Medical Equipment (DME) – other DME and supplies.  
The service applies to the plan's out-of-pocket maximum amount of $2,500, not to exceed $5,000 per family. When the plan's out-of-pocket maximum amount is satisfied, the health plan will reimburse 100% of the allowed amount. 
Additional details: 
- DME includes mobility devices, such as wheelchairs. 
Out-of-Network Provider
For out-of-network providers, the member is responsible for 100% of the provider's billed amount, as the plan only covers in-network providers. 
──────────────────────────────────────</t>
  </si>
  <si>
    <t>You would pay 20% coinsurance in-network, or</t>
  </si>
  <si>
    <t>Durable Medical Equipment/ Exclusion</t>
  </si>
  <si>
    <t>Is a wig covered?</t>
  </si>
  <si>
    <t xml:space="preserve">Brief Answer 
No. A wig is excluded/not covered under this plan, so the member would be responsible for 100% of the billed amount.
──────────────────────────────────────────────────
Detailed Explanation
The wig is listed as a benefit that is not covered under the Durable Medical Equipment section (it’s included in the “Benefits do not include” list) . Therefore, the member would be responsible for 100% of the billed amount .
</t>
  </si>
  <si>
    <t>No. A wig is excluded/not covered under this plan, so the member would be responsible for 100% of the billed amount.</t>
  </si>
  <si>
    <t>40% out-of-network for orthotics</t>
  </si>
  <si>
    <t>Emergency Benefits</t>
  </si>
  <si>
    <t>Emergency Services</t>
  </si>
  <si>
    <t xml:space="preserve">If I go to the emergency room, do I just pay for emergency room copay or are there additional charges? </t>
  </si>
  <si>
    <t xml:space="preserve">Brief Answer 
For an emergency room visit under this HMO plan, there is a $150 copay for the ER facility and no charge for the ER physician/professional services. There can still be additional charges if you’re admitted (inpatient coinsurance after the facility deductible) or if other services are billed separately (for example, diagnostic testing).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A) Emergency room facility (Hospital ER):
In-Network Provider 
For in-network providers:  
the plan has a $2,000 deductible per person, not to exceed $4,000 per family.  
However, Emergency Room Facility (Rev 450) is not subject to the deductible.  
The copay for Emergency Room Facility (Rev 450) services is $150.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B) Emergency room physician / professional services:
In-Network Provider 
For in-network providers:  
the plan has a $2,000 deductible per person, not to exceed $4,000 per family.  
However, Professional Services - Emergency Room is not subject to the deductible.  
The plan will reimburse the provider 100% of the allowed amount for Professional Services - Emergency Room. 
Out-of-Network Provider 
For out-of-network providers, the member is responsible for 100% of the provider's billed amount, as the plan only covers in-network providers. 
C) If the ER visit results in an admission (additional charges beyond the ER copay):
In-Network Provider 
For in-network providers:  
the plan has a $2,000 deductible per person, not to exceed $4,000 per family.  
Emergency room Services resulting in admission is subject to this deductible. Once the deductible is met,  
The coinsurance is 30% of the allowed amount, and the plan will reimburse the remaining 70% of the allowed amount for Emergency room Services resulting in admission.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</si>
  <si>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And you still don’t have to meet your deductible first for this service. Your deductible is $2,000 individual / $4,000 family, but it does not apply to orthotics, since they’re part of your First Dollar Services.All the costs you pay go toward your out-of-pocket maximum, which is:</t>
  </si>
  <si>
    <t xml:space="preserve">Emergency room hospital
Emergency room physician
Emergency room services resulting in admission
</t>
  </si>
  <si>
    <t>If I have an emergency at an out-of-network hospital, will it be covered by my insurance?</t>
  </si>
  <si>
    <t xml:space="preserve">Brief Answer 
Yes. Under this Access+ HMO plan, Emergency Services are covered even if the Member goes to a non-participating (out-of-network) hospital, and the plan applies the participating provider cost share for emergency care.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Emergency Room (Hospital Emergency Room Facility):
In-Network Provider 
For in-network providers:  
the plan has a $250 deductible per person, not to exceed $500 per family.  
However, Emergency room hospital is not subject to the deductible.  
The copay for Emergency room hospital services is $150.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*Exception note for emergencies:* Emergency Services are still covered at the participating provider cost share even when received at a non-participating hospital (see emergency rule above). 
Emergency Room (Physician/Professional Services):
In-Network Provider 
For in-network providers:  
the plan has a $250 deductible per person, not to exceed $500 per family.  
However, Emergency room physician is not subject to the deductible.  
The plan will reimburse the provider 100% of the allowed amount for Emergency room physician. 
Out-of-Network Provider 
For out-of-network providers, the member is responsible for 100% of the provider's billed amount, as the plan only covers in-network providers.  
*Exception note for emergencies:* Emergency Services are still covered at the participating provider cost share even when received at a non-participating hospital (see emergency rule above). 
Emergency Services Resulting in Admission:
In-Network Provider 
For in-network providers:  
the plan has a $250 deductible per person, not to exceed $500 per family.  
Emergency room services resulting in admission is subject to this deductible. Once the deductible is met,  
The coinsurance is 10% of the allowed amount, and the plan will reimburse the remaining 90% of the allowed amount for Emergency room services resulting in admission.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*Exception note for emergencies:* Emergency Services are still covered at the participating provider cost share even when received at a non-participating hospital (see emergency rule above). 
</t>
  </si>
  <si>
    <t xml:space="preserve">Emergency
</t>
  </si>
  <si>
    <t>What will my cost share be for a visit to the emergency room?</t>
  </si>
  <si>
    <t xml:space="preserve">Brief Answer 
For an emergency room (ER) visit, the plan cost share is $150 copay per visit + 20% coinsurance for the ER facility, plus 20% coinsurance for the ER physician. These emergency services are covered at the participating (in-network) cost share even if the hospital/provider is non-participating.
──────────────────────────────────────────────────
Detailed Explanation
Emergency room hospital (facility) 
In-Network Provider 
For in-network providers: 
the plan has a $3,000 deductible per person, not to exceed $6,000 per family.  
However, Emergency room hospital (facility) is not subject to the deductible. Once the deductible is met,  
The service applies to the plan's out-of-pocket maximum amount of $6,850, not to exceed $13,700 per family. When the plan's out-of-pocket maximum amount is satisfied, the health plan will reimburse 100% of the allowed amount.  
Cost share: $150 per visit + 20% Coinsurance.  
Out-of-Network Provider 
For out-of-network providers: 
An out-of-network provider has the right to bill for the balance. What this means is that the member may be responsible for the difference between the allowed amount and billed amount.  
Cost share (still applies at in-network level for ER): $150 per visit + 20% Coinsurance. 
Emergency room physician (professional) 
In-Network Provider 
For in-network providers: 
the plan has a $3,000 deductible per person, not to exceed $6,000 per family.  
However, Emergency room physician (professional) is not subject to the deductible. Once the deductible is met,  
The service applies to the plan's out-of-pocket maximum amount of $6,850, not to exceed $13,700 per family. When the plan's out-of-pocket maximum amount is satisfied, the health plan will reimburse 100% of the allowed amount.  
Cost share: 20% Coinsurance. 
Out-of-Network Provider 
For out-of-network providers: 
An out-of-network provider has the right to bill for the balance. What this means is that the member may be responsible for the difference between the allowed amount and billed amount.  
Cost share (still applies at in-network level for ER): 20% Coinsurance.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t>
  </si>
  <si>
    <t>$3,000 individual / $6,000 family in-network</t>
  </si>
  <si>
    <t>I had to go to the emergency room last night and they had me give them a payment. Can you help me understand that coverage and why I had to pay?</t>
  </si>
  <si>
    <t xml:space="preserve">Brief Answer 
For this plan, emergency room care is covered, but it is subject to the medical deductible and also has an ER facility copay plus coinsurance, so the hospital may collect an estimated payment at the time of service. If the Member hadn’t met their deductible yet, their payment would be higher until the deductible is satisfied.
──────────────────────────────────────────────────
Detailed Explanation
Exclusive Provider Organization (EPO) Disclaimer:
This is an Exclusive Provider Organization (EPO) plan. You must receive all Covered Benefits from a Participating Provider,  the exception is with Emergency or Urgent Services.
Emergency room facility (Hospital emergency room)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For in-network providers:  The plan has a $1,800 deductible for individual coverage, not to exceed $3,400 per individual or $3,600 per family for family coverage. Once the deductible is met, the cost share for Emergency Room Facility (Rev 450) services is $150 + 20% Coinsurance. The service applies to the plan's out-of-pocket maximum amount of $4,500, not to exceed $9,000 per family. When the plan's out-of-pocket maximum amount is satisfied, the health plan will reimburse 100% of the allowed amount.
Why they collected a payment: The ER facility cost share is $150 per visit + 20% coinsurance and it’s subject to the deductible, so the ER may collect an estimated Member responsibility up front (especially if the deductible has not been met yet). 
Out-of-Network Provider 
An out-of-network provider has the right to bill for the balance. What this means is that the member may be responsible for the difference between the allowed amount and billed amount.  
Also, per the plan’s emergency services rules, emergency services are covered at the participating provider cost share even if treatment is received from a non-participating provider (until stabilized/transfer as described). 
──────────────────────────────────────────────
Emergency room physician (Professional services in the ER)
In-Network Provider 
For in-network providers:  The plan has a $1,800 deductible for individual coverage, not to exceed $3,400 per individual or $3,600 per family for family coverage. The coinsurance is 20% of the allowed amount, and the plan will reimburse the remaining 80% of the allowed amount for Emergency room physician services.
The service applies to the plan's out-of-pocket maximum amount of $4,500, not to exceed $9,000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
  </si>
  <si>
    <t>Once you reach that amount, your plan pays 100% of covered services for the rest of the year.</t>
  </si>
  <si>
    <t>Exclusion</t>
  </si>
  <si>
    <t>Are travel vaccines covered under my pharmacy benefit?</t>
  </si>
  <si>
    <t xml:space="preserve">Brief Answer 
Travel vaccines are a plan exclusion and are not covered under Medical or Prescription plan benefits.
</t>
  </si>
  <si>
    <t>Exclusion: This Plan does not cover non-Medically Necessary or non-preventive immunizations solely for foreign travel or occupational purposes, except as required by law.</t>
  </si>
  <si>
    <t>HW 5/8: Minerva provided long response attempting to answer question, but since is Exclusion of plan should have provided more simple response  - not covered.</t>
  </si>
  <si>
    <t>5/8: Updated response to Plan exclusion/ Not covered</t>
  </si>
  <si>
    <t>General Exclusion</t>
  </si>
  <si>
    <t>Do I have benefits for tattoo removal?</t>
  </si>
  <si>
    <t xml:space="preserve">Brief Answer
Tattoo removal is treated as a cosmetic service under this plan’s general exclusions, so it is not covered. The member would be responsible for the full billed charges.
Detailed Explanation
The tattoo removal is an exclusion of this health plan. The member would be responsible for 100% of the billed amount. [1]
Tattoo removal is considered a service performed to improve appearance (cosmetic), and the plan excludes “surgery that is performed to alter or reshape normal structures of the body to improve appearance.
</t>
  </si>
  <si>
    <t>Do you reimburse a parent for participation in therapy?</t>
  </si>
  <si>
    <t xml:space="preserve">Brief Answer 
No. The plan states it does not cover treatment “for the purposes of … reimburse a parent for participation in the treatment.” 
──────────────────────────────────────────────────
Detailed Explanation
Under Mental Health or Substance Use Disorder Benefits, the plan’s “Benefits do not include” section states that treatment is not covered when it is for the purposes of providing respite, day care, educational services, or to reimburse a parent for participation in the treatment. 
</t>
  </si>
  <si>
    <t>yes</t>
  </si>
  <si>
    <t>Do you reimburse for an air conditioner?</t>
  </si>
  <si>
    <t xml:space="preserve">Brief Answer 
No. An air conditioner is not covered under this plan’s Durable Medical Equipment benefit, so the plan would not reimburse it.
──────────────────────────────────────────────────
Detailed Explanation
The plan’s Durable medical equipment (DME) section lists “Environmental control and hygienic equipment, such as air conditioners” under Benefits do not include, meaning it’s excluded from coverage. 
</t>
  </si>
  <si>
    <t>Does my insurance provide a gym membership discount or reimbursement as part of the benefits?</t>
  </si>
  <si>
    <t xml:space="preserve">Brief Answer 
I couldn't find a specific gym membership discount or reimbursement benefit in the current plan document. The plan does list a wellness program called Wellvolution, but it doesn’t describe any gym discount or reimbursement amounts.
──────────────────────────────────────────────────
Detailed Explanation
I reviewed the plan’s benefit categories and program listings, and I did not see any benefit that states a gym membership discount or reimbursement amount.  
The plan does show Wellvolution as an included program under Lifestyle Management, but there are no details in the provided plan data describing gym membership discounts/reimbursements (amounts, eligibility, or how to use it). 
If you need confirmation of any gym discount partnerships or reimbursement options tied to Wellvolution or other wellness programs, please check the Knowledgebase.
</t>
  </si>
  <si>
    <t>Pharmacy</t>
  </si>
  <si>
    <t>I have bad allergies, do you reimburse for Benadryl?</t>
  </si>
  <si>
    <t xml:space="preserve">Brief Answer 
 If Benadryl is obtained over-the-counter (OTC), it is excluded under this plan’s outpatient prescription drug coverage.
outpatient prescription drugs like Benadryl may be covered only if it’s filled as a prescription through a participating pharmacy
──────────────────────────────────────────────────
Detailed Explanation
Detailed Explanation
Prescription Drug Benefits (Outpatient Drugs):
#### In-Network Provider
For in-network providers: 
Retail (30-day supply) 
 - Tier 1: $20 per prescription  
 - Tier 2: $40 per prescription  
 - Tier 3: $60 per prescription  
 - Tier 4: 30% Coinsurance  (Maximum of $250 per prescription.)
Retail (90-day supply) 
 - Tier 1: $60 per prescription  
 - Tier 2: $120 per prescription  
 - Tier 3: $180 per prescription  
 - Tier 4: 30% Coinsurance   (Maximum of $750 per prescription.)
Mail Order (90-day supply) 
 - Tier 1: $40 per prescription  
 - Tier 2: $80 per prescription  
 - Tier 3: $120 per prescription  
 - Tier 4: 30% Coinsurance   (Maximum of $500 per prescription.)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 Out-of-Network Provider
For out-of-network providers: 
An out-of-network provider has the right to bill for the balance. What this means is that the member may be responsible for the difference between the allowed amount and billed amount. 
- Retail Tier 1: 25% of purchase price + $20 per prescription  
- Retail Tier 2: 25% of purchase price + $40 per prescription  
- Retail Tier 3: 25% of purchase price + $60 per prescription  
- Retail Tier 4: 25% of purchase price + 30% Coinsurance   (Maximum of $250 per prescription).
- Mail Order: Not Covered  
- Retail 90-day: Not Covered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t>
  </si>
  <si>
    <t>5/8 - Great job</t>
  </si>
  <si>
    <t>Outpatient Prescription Drugs</t>
  </si>
  <si>
    <t>I lost my prescription, do you cover a replacement?</t>
  </si>
  <si>
    <t xml:space="preserve">Brief Answer 
I couldn’t find a benefit that covers replacement of a lost or stolen prescription drug in the current plan document. The EOC specifically lists replacement of lost or stolen drugs as an exclusion, so the member would generally be responsible for the cost.
──────────────────────────────────────────────────
Detailed Explanation
The Outpatient Prescription Drug exclusions state that the plan does not cover “Replacement of lost or stolen drugs.”  Because this is an exclusion, the plan document does not indicate a covered replacement benefit for a lost prescription.
</t>
  </si>
  <si>
    <t>Is callus treatment covered? </t>
  </si>
  <si>
    <t xml:space="preserve">Brief Answer 
Callus treatment is not covered under this plan’s diabetes foot-care benefit language unless it’s specifically part of Medically Necessary foot care. The plan document lists callus treatment as an example of routine foot care that is not Medically Necessary and therefore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Callus treatment (routine foot care)
- The plan’s Diabetes Care Services section says covered items include “Medically Necessary foot care”, but it also states the plan does not include routine foot care items and services that are not Medically Necessary, including “Callus treatment.”  
- Based on this plan language, callus treatment is not covered when it’s considered routine/not Medically Necessary. 
In-Network Provider 
For in-network providers:  
- The plan’s Diabetes Care Services benefit includes Medically Necessary foot care (and excludes routine callus treatment when not Medically Necessary). 
Out-of-Network Provider 
For out-of-network providers, the member is responsible for 100% of the provider's billed amount, as the plan only covers in-network providers.
</t>
  </si>
  <si>
    <t>What are the benefits for dental implants?</t>
  </si>
  <si>
    <t xml:space="preserve">Brief Answer 
I couldn't find a specific covered benefit for dental implants in the current plan document. The plan’s “Durable Medical Equipment” section also states dental implants are not included under prosthetic equipment and devices.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Dental implants:
For in-network providers: 
The dental implants is not a benefit of this health plan. The member would be responsible for 100% of the billed amount. 
Out-of-Network Provider 
For out-of-network providers, the member is responsible for 100% of the provider's billed amount, as the plan only covers in-network providers. 
</t>
  </si>
  <si>
    <t>What are the coverage for the yellow fever vaccine?</t>
  </si>
  <si>
    <t xml:space="preserve">Brief Answer 
I couldn’t find a specific benefit in the current plan document for the yellow fever vaccine. The plan document does state that non-preventive immunizations solely for foreign travel are not covered.
──────────────────────────────────────────────────
Detailed Explanation
The plan’s General Exclusions and Limitations section includes an exclusion for travel-related immunizations: it says the plan does not cover “non-Medically Necessary or non-preventive immunizations solely for foreign travel” (unless required by law) . Yellow fever vaccine is commonly obtained for travel requirements, so if it’s being requested solely for travel, this exclusion would apply based on the plan document .
I couldn’t find any separate benefit section in the provided plan data that lists travel vaccines or specifically lists yellow fever vaccine as covered under preventive services or another category.
</t>
  </si>
  <si>
    <t>What is my benefits for LASIK surgery?</t>
  </si>
  <si>
    <t xml:space="preserve">Brief Answer 
I couldn’t find LASIK coverage as a covered benefit in the current plan document. The plan’s “Vision exam to diagnose or treat a medical condition” is covered, but it does not indicate coverage for LASIK (laser vision correction).
──────────────────────────────────────────────────
Detailed Explanation
LASIK is typically considered a vision correction surgical procedure. In the plan data provided, I did not find a benefit category or sub-benefit that lists LASIK (or laser vision correction / refractive surgery) as covered. Because it’s not shown as a covered benefit in the available benefit tables or EOC content, I can’t confirm a LASIK benefit from this plan document.
Vision-related benefit that *is* listed (not LASIK): 
Vision exam to diagnose or treat a medical condition  
- In-Network Provider 
 - For in-network providers:  
 - the plan has a $250 deductible per person, not to exceed $750 per family.  
 - However, Vision Exam Professional Office is not subject to the deductible. Once the deductible is met,  
 - The copay for Vision Exam Professional Office services is $10.  
 - The service applies to the plan's out-of-pocket maximum amount of $2,750, not to exceed $5,500 per family. When the plan's out-of-pocket maximum amount is satisfied, the health plan will reimburse 100% of the allowed amount.  
- Out-of-Network Provider 
 - For out-of-network providers:  
 - An out-of-network provider has the right to bill for the balance. What this means is that the member may be responsible for the difference between the allowed amount and billed amount.  
 - the plan has a $250 deductible per person, not to exceed $750 per family.  
 - Vision Exam Professional Office is subject to this deductible. Once the deductible is met,  
 - The coinsurance is 30% of the allowed amount, and the plan will reimburse the remaining 70% of the allowed amount for Vision Exam Professional Office.  
 - The service applies to the plan's out-of-pocket maximum amount of $5,250, not to exceed $10,500 per family. When the plan's out-of-pocket maximum amount is satisfied, the health plan will reimburse 100% of the allowed amount.  
Because the document does not explicitly confirm LASIK coverage (or list a refractive surgery benefit), I couldn't find this information in the current plan document.
</t>
  </si>
  <si>
    <t>Will you reimburse for exercise equipment?</t>
  </si>
  <si>
    <t xml:space="preserve">Brief Answer 
I couldn't find this information in the current plan document. The plan’s Durable medical equipment (DME) section specifically lists exercise equipment as not included.
──────────────────────────────────────────────────
Detailed Explanation
Exercise equipment (mapping: Durable medical equipment)
- Under Durable medical equipment, the plan states that benefits do not include “Exercise equipment.”  
- Because the plan document does not provide a reimbursable benefit/cost share for exercise equipment, I couldn’t confirm any reimbursement under this plan. 
</t>
  </si>
  <si>
    <t>I'm traveling to another county and the CDC recommends some specific vaccines. What is the coverage for that?</t>
  </si>
  <si>
    <t xml:space="preserve">Brief Answer 
I couldn’t find a specific benefit in this plan document that covers travel-only immunizations. The plan explicitly says it does not cover immunizations that are solely for foreign travel or occupational purposes (unless required by law). 
──────────────────────────────────────────────────
Detailed Explanation 
Immunizations for foreign travel (CDC-recommended travel vaccines) :
- The plan’s exclusions state it does not cover “non-Medically Necessary or non-preventive immunizations solely for foreign travel or occupational purposes” (unless required by law) . 
- The Preventive Health Services section explains preventive immunizations are those recommended by ACIP/CDC as preventive care generally (not specifically travel vaccines), but it does not list a separate travel-vaccine coverage benefit . 
Because your question is about CDC-recommended vaccines for travel, the only explicit guidance in the document is the exclusion above. If you need help confirming whether the member’s specific vaccine is considered preventive (ACIP/CDC routine) vs travel-only under this plan, consult the Knowledgebase for internal guidance.
</t>
  </si>
  <si>
    <t>Does my plan cover glasses?</t>
  </si>
  <si>
    <t>Brief Answer 
I couldn't find this information in the current plan document. The plan’s “Vision Care” exclusion indicates routine vision services (including glasses) are not covered, except for limited medical-necessity situations (e.g., certain prosthetic devices). 
──────────────────────────────────────────────────
Detailed Explanation 
The plan document states: “Vision Care. This Plan does not cover Vision Services, except as described in this EOC in the Prosthetic equipment and devices section or as required by law.”  However, the PLAN_DATA provided does not include a vision hardware benefit (frames/lenses) or a pediatric vision rider that would confirm coverage for glasses.
Because glasses/eyewear benefits are not explicitly listed as covered and vision care is listed as an exclusion, I can’t confirm coverage for glasses from the data provided. 
────────────────────────────────────────────────</t>
  </si>
  <si>
    <t>I do home dialysis and need a generator in case my power goes out. Do you reimburse for that?</t>
  </si>
  <si>
    <t>Brief Answer 
I couldn't find this information in the current plan document. The plan’s Durable Medical Equipment section specifically lists generators as not covered.
──────────────────────────────────────────────────
Detailed Explanation
Durable Medical Equipment (DME) – Generator
- In-Network Provider 
 The plan lists generators under items that are not included in Durable Medical Equipment coverage . Because it’s not a covered DME item, the plan would not reimburse for a generator.
- Out-of-Network Provider 
 For out-of-network providers, the member is responsible for 100% of the provider's billed amount, as the plan only covers in-network providers.
─────────────────────────────────────────────────</t>
  </si>
  <si>
    <t>Family Planning and Infertility Benefits</t>
  </si>
  <si>
    <t>Implanted Contraceptives</t>
  </si>
  <si>
    <t>Are implanted contraceptives covered?</t>
  </si>
  <si>
    <t xml:space="preserve">Brief Answer 
Yes—implanted contraceptives are covered at no charge under this plan when obtained in-network. Out-of-network coverage is not provided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Implanted Contraceptives (Family Planning and Infertility Benefits &gt; Contraceptives &gt; Implanted Contraceptives):
In-Network Provider
For in-network providers: 
the plan has a $1,500 deductible per person, not to exceed $3,000 per family. 
However, Implanted Contraceptives is not subject to the deductible. 
The plan will reimburse the provider 100% of the allowed amount for Implanted Contraceptives.
Out-of-Network Provider
For out-of-network providers, the member is responsible for 100% of the provider's billed amount, as the plan only covers in-network providers.
</t>
  </si>
  <si>
    <t>Benefit: Implanted Contraceptives
Par: $0 copay, subject to deductible - No, Applies to OOPM- No
Non- Par: Not Covered</t>
  </si>
  <si>
    <t>Can you tell me about the plan's coverage for infertility services?</t>
  </si>
  <si>
    <t>58.014</t>
  </si>
  <si>
    <t xml:space="preserve">Brief Answer 
The plan covers infertility diagnosis and treatment services, including certain assisted reproductive services such as IVF, ICSI, oocyte retrieval, artificial insemination, cryopreservation/storage, and fertility preservation services when criteria are met. Most covered infertility services are subject to the medical deductible and coinsurance, with different in-network and out-of-network cost shares.
──────────────────────────────────────────────────
Detailed Explanation
Coverage Details:
The plan states that infertility benefits are provided for the diagnosis and treatment of infertility, including professional, Hospital, Ambulatory Surgery Center, and related services to diagnose and treat infertility . Covered infertility services include artificial insemination, oocyte retrievals, IVF, unlimited embryo transfers, cryopreservation storage of sperm/reproductive tissue/oocytes/embryos, ICSI for male factor infertility, preimplantation genetic testing, and treatment of low sperm count .
The plan also covers fertility preservation services for Members undergoing treatment or receiving covered benefits that may directly or indirectly cause iatrogenic infertility .
──────────────────────────────────────────────────
A. Diagnosis and Treatment of the Cause of Infertility:
Injections — Inpatient:
In-Network Provider 
For in-network providers: 
the plan has a $1,500 deductible per person, not to exceed $3,000 per family. 
Diagnosis and Treatment of the Cause of Infertility — Injections Inpatient is subject to this deductible. Once the deductible is met, 
The coinsurance is 20% of the allowed amount, and the plan will reimburse the remaining 80% of the allowed amount for Diagnosis and Treatment of the Cause of Infertility — Injections Inpatient.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Injections Inpatient is subject to this deductible. Once the deductible is met, 
The coinsurance is 40% of the allowed amount, and the plan will reimburse the remaining 60% of the allowed amount for Diagnosis and Treatment of the Cause of Infertility — Injections Inpatient.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Injections — Outpatient / Office:
In-Network Provider 
For in-network providers: 
the plan has a $1,500 deductible per person, not to exceed $3,000 per family. 
Diagnosis and Treatment of the Cause of Infertility — Injections Outpatient or Office is subject to this deductible. Once the deductible is met, 
The coinsurance is 20% of the allowed amount, and the plan will reimburse the remaining 80% of the allowed amount for Diagnosis and Treatment of the Cause of Infertility — Injections Outpatient or Office.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Injections Outpatient or Office is subject to this deductible. Once the deductible is met, 
The coinsurance is 40% of the allowed amount, and the plan will reimburse the remaining 60% of the allowed amount for Diagnosis and Treatment of the Cause of Infertility — Injections Outpatient or Office.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Lab and Pathology — Outpatient:
In-Network Provider 
For in-network providers: 
the plan has a $1,500 deductible per person, not to exceed $3,000 per family. 
However, Diagnosis and Treatment of the Cause of Infertility — Lab and Pathology Outpatient is not subject to the deductible. 
The copay for Diagnosis and Treatment of the Cause of Infertility — Lab and Pathology Outpatient services is $20 per visit.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Lab and Pathology Outpatient is subject to this deductible. Once the deductible is met, 
The coinsurance is 40% of the allowed amount, and the plan will reimburse the remaining 60% of the allowed amount for Diagnosis and Treatment of the Cause of Infertility — Lab and Pathology Outpatient.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Outpatient Facility:
In-Network Provider 
For in-network providers: 
the plan has a $1,500 deductible per person, not to exceed $3,000 per family. 
Diagnosis and Treatment of the Cause of Infertility — Outpatient Facility is subject to this deductible. Once the deductible is met, 
The coinsurance is 20% of the allowed amount, and the plan will reimburse the remaining 80% of the allowed amount for Diagnosis and Treatment of the Cause of Infertility — Outpatient Facility.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Outpatient Facility is subject to this deductible. Once the deductible is met, 
The coinsurance is 40% of the allowed amount, and the plan will reimburse the remaining 60% of the allowed amount for Diagnosis and Treatment of the Cause of Infertility — Outpatient Facility.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An out-of-network provider has the right to bill for the balance. What this means is that the member may be responsible for the difference between the allowed amount and billed amount .
──────────────────────────────────────────────────
Visits — Inpatient:
In-Network Provider 
For in-network providers: 
the plan has a $1,500 deductible per person, not to exceed $3,000 per family. 
Diagnosis and Treatment of the Cause of Infertility — Visit Inpatient is subject to this deductible. Once the deductible is met, 
The coinsurance is 20% of the allowed amount, and the plan will reimburse the remaining 80% of the allowed amount for Diagnosis and Treatment of the Cause of Infertility — Visit Inpatient.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Visit Inpatient is subject to this deductible. Once the deductible is met, 
The coinsurance is 40% of the allowed amount, and the plan will reimburse the remaining 60% of the allowed amount for Diagnosis and Treatment of the Cause of Infertility — Visit Inpatient.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Visits — Office:
In-Network Provider 
For in-network providers: 
the plan has a $1,500 deductible per person, not to exceed $3,000 per family. 
However, Diagnosis and Treatment of the Cause of Infertility — Visit Office is not subject to the deductible. 
The copay for Diagnosis and Treatment of the Cause of Infertility — Visit Office services is $20 per visit.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Diagnosis and Treatment of the Cause of Infertility — Visit Office is subject to this deductible. Once the deductible is met, 
The coinsurance is 40% of the allowed amount, and the plan will reimburse the remaining 60% of the allowed amount for Diagnosis and Treatment of the Cause of Infertility — Visit Office.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B. Assisted Reproductive Benefits:
IVF:
In-Network Provider 
For in-network providers: 
the plan has a $1,500 deductible per person, not to exceed $3,000 per family. 
In vitro fertilization (IVF) is subject to this deductible. Once the deductible is met, 
The coinsurance is 20% of the allowed amount, and the plan will reimburse the remaining 80% of the allowed amount for IVF.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IVF is subject to this deductible. Once the deductible is met, 
The coinsurance is 40% of the allowed amount, and the plan will reimburse the remaining 60% of the allowed amount for IVF.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ICSI:
In-Network Provider 
For in-network providers: 
the plan has a $1,500 deductible per person, not to exceed $3,000 per family. 
However, Intracytoplasmic sperm injection (ICSI) is not subject to the deductible. 
The copay for ICSI services is $20 per visit.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ICSI is subject to this deductible. Once the deductible is met, 
The coinsurance is 40% of the allowed amount, and the plan will reimburse the remaining 60% of the allowed amount for ICSI.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Oocyte Retrieval:
In-Network Provider 
For in-network providers: 
the plan has a $1,500 deductible per person, not to exceed $3,000 per family. 
Oocyte retrieval is subject to this deductible. Once the deductible is met, 
The coinsurance is 20% of the allowed amount, and the plan will reimburse the remaining 80% of the allowed amount for oocyte retrieval. 
The service applies to the plan's out-of-pocket maximum amount of $5,500, not to exceed $11,000 per family. When the plan's out-of-pocket maximum amount is satisfied, the health plan will reimburse 100% of the allowed amount. 
This plan has a limit of 3 per lifetime .
Out-of-Network Provider 
For out-of-network providers: 
the plan has a $3,000 deductible per person, not to exceed $6,000 per family. 
Oocyte retrieval is subject to this deductible. Once the deductible is met, 
The coinsurance is 40% of the allowed amount, and the plan will reimburse the remaining 60% of the allowed amount for oocyte retrieval. 
The service applies to the plan's out-of-pocket maximum amount of $10,000, not to exceed $20,000 per family. When the plan's out-of-pocket maximum amount is satisfied, the health plan will reimburse 100% of the allowed amount. 
This plan has a limit of 3 per lifetime. 
An out-of-network provider has the right to bill for the balance. What this means is that the member may be responsible for the difference between the allowed amount and billed amount .
──────────────────────────────────────────────────
Artificial Insemination:
In-Network Provider 
For in-network providers: 
the plan has a $1,500 deductible per person, not to exceed $3,000 per family. 
Natural or stimulated artificial insemination is subject to this deductible. Once the deductible is met, 
The coinsurance is 20% of the allowed amount, and the plan will reimburse the remaining 80% of the allowed amount for artificial insemination. 
The service applies to the plan's out-of-pocket maximum amount of $5,500, not to exceed $11,000 per family. When the plan's out-of-pocket maximum amount is satisfied, the health plan will reimburse 100% of the allowed amount. 
This plan has a limit of 6 procedures per lifetime .
Out-of-Network Provider 
For out-of-network providers: 
the plan has a $3,000 deductible per person, not to exceed $6,000 per family. 
Natural or stimulated artificial insemination is subject to this deductible. Once the deductible is met, 
The coinsurance is 40% of the allowed amount, and the plan will reimburse the remaining 60% of the allowed amount for artificial insemination. 
The service applies to the plan's out-of-pocket maximum amount of $10,000, not to exceed $20,000 per family. When the plan's out-of-pocket maximum amount is satisfied, the health plan will reimburse 100% of the allowed amount. 
This plan has a limit of 6 procedures per lifetime. 
An out-of-network provider has the right to bill for the balance. What this means is that the member may be responsible for the difference between the allowed amount and billed amount .
──────────────────────────────────────────────────
Cryopreservation Storage:
In-Network Provider 
For in-network providers: 
the plan has a $1,500 deductible per person, not to exceed $3,000 per family. 
Cryopreservation of embryos, oocytes, sperm, or reproductive tissue retrieved from a Member is subject to this deductible. Once the deductible is met, 
The coinsurance is 20% of the allowed amount, and the plan will reimburse the remaining 80% of the allowed amount for cryopreservation storage. 
The service applies to the plan's out-of-pocket maximum amount of $5,500, not to exceed $11,000 per family. When the plan's out-of-pocket maximum amount is satisfied, the health plan will reimburse 100% of the allowed amount. 
This plan has a limit of 1 procedure per year up to 1 year .
Out-of-Network Provider 
For out-of-network providers: 
the plan has a $3,000 deductible per person, not to exceed $6,000 per family. 
Cryopreservation storage is subject to this deductible. Once the deductible is met, 
The coinsurance is 40% of the allowed amount, and the plan will reimburse the remaining 60% of the allowed amount for cryopreservation storage. 
The service applies to the plan's out-of-pocket maximum amount of $10,000, not to exceed $20,000 per family. When the plan's out-of-pocket maximum amount is satisfied, the health plan will reimburse 100% of the allowed amount. 
This plan has a limit of 1 procedure per year up to 1 year. 
An out-of-network provider has the right to bill for the balance. What this means is that the member may be responsible for the difference between the allowed amount and billed amount .
──────────────────────────────────────────────────
GIFT and ZIFT:
The Gamete intrafallopian transfer (GIFT) is not a benefit of this health plan. The member would be responsible for 100% of the billed amount . 
The Zygote intrafallopian transfer (ZIFT) is not a benefit of this health plan. The member would be responsible for 100% of the billed amount .
──────────────────────────────────────────────────
C. Fertility Preservation Services:
Fertility preservation services are covered for Members undergoing treatment or receiving covered benefits that may directly or indirectly cause iatrogenic infertility. Covered standard fertility preservation services include retrieval, cryopreservation, and storage of sperm, oocytes, gonadal tissue, and embryos .
Iatrogenic Fertility — Ambulatory Surgery Center:
In-Network Provider 
For in-network providers: 
the plan has a $1,500 deductible per person, not to exceed $3,000 per family. 
Iatrogenic Fertility — Ambulatory Surgery Center services are subject to this deductible. Once the deductible is met, 
The coinsurance is 10% of the allowed amount, and the plan will reimburse the remaining 90% of the allowed amount for Iatrogenic Fertility — Ambulatory Surgery Center services.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Iatrogenic Fertility — Ambulatory Surgery Center services are subject to this deductible. Once the deductible is met, 
The coinsurance is 40% of the allowed amount, and the plan will reimburse the remaining 60% of the allowed amount for Iatrogenic Fertility — Ambulatory Surgery Center services.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An out-of-network provider has the right to bill for the balance. What this means is that the member may be responsible for the difference between the allowed amount and billed amount .
──────────────────────────────────────────────────
Iatrogenic Fertility — Lab Outpatient:
In-Network Provider 
For in-network providers: 
the plan has a $1,500 deductible per person, not to exceed $3,000 per family. 
However, Iatrogenic Fertility — Lab Outpatient is not subject to the deductible. 
The copay for Iatrogenic Fertility — Lab Outpatient services is $20 per visit.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Iatrogenic Fertility — Lab Outpatient is subject to this deductible. Once the deductible is met, 
The coinsurance is 40% of the allowed amount, and the plan will reimburse the remaining 60% of the allowed amount for Iatrogenic Fertility — Lab Outpatient.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Iatrogenic Fertility — Professional Inpatient:
In-Network Provider 
For in-network providers: 
the plan has a $1,500 deductible per person, not to exceed $3,000 per family. 
Iatrogenic Fertility — Professional Inpatient is subject to this deductible. Once the deductible is met, 
The coinsurance is 20% of the allowed amount, and the plan will reimburse the remaining 80% of the allowed amount for Iatrogenic Fertility — Professional Inpatient.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Iatrogenic Fertility — Professional Inpatient is subject to this deductible. Once the deductible is met, 
The coinsurance is 40% of the allowed amount, and the plan will reimburse the remaining 60% of the allowed amount for Iatrogenic Fertility — Professional Inpatient.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Iatrogenic Fertility — Professional Office:
In-Network Provider 
For in-network providers: 
the plan has a $1,500 deductible per person, not to exceed $3,000 per family. 
However, Iatrogenic Fertility — Professional Office is not subject to the deductible. 
The copay for Iatrogenic Fertility — Professional Office services is $20 per visit.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Iatrogenic Fertility — Professional Office is subject to this deductible. Once the deductible is met, 
The coinsurance is 40% of the allowed amount, and the plan will reimburse the remaining 60% of the allowed amount for Iatrogenic Fertility — Professional Office.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Iatrogenic Fertility — Professional Outpatient:
In-Network Provider 
For in-network providers: 
the plan has a $1,500 deductible per person, not to exceed $3,000 per family. 
Iatrogenic Fertility — Professional Outpatient is subject to this deductible. Once the deductible is met, 
The coinsurance is 20% of the allowed amount, and the plan will reimburse the remaining 80% of the allowed amount for Iatrogenic Fertility — Professional Outpatient. 
The service applies to the plan's out-of-pocket maximum amount of $5,500, not to exceed $11,000 per family. When the plan's out-of-pocket maximum amount is satisfied, the health plan will reimburse 100% of the allowed amount .
Out-of-Network Provider 
For out-of-network providers: 
the plan has a $3,000 deductible per person, not to exceed $6,000 per family. 
Iatrogenic Fertility — Professional Outpatient is subject to this deductible. Once the deductible is met, 
The coinsurance is 40% of the allowed amount, and the plan will reimburse the remaining 60% of the allowed amount for Iatrogenic Fertility — Professional Outpatient. 
The service applies to the plan's out-of-pocket maximum amount of $10,000, not to exceed $20,000 per family. When the plan's out-of-pocket maximum amount is satisfied, the health plan will reimburse 100% of the allowed amount. 
An out-of-network provider has the right to bill for the balance. What this means is that the member may be responsible for the difference between the allowed amount and billed amount .
──────────────────────────────────────────────────
Additional Plan Notes:
- Self-administered drugs prescribed to induce fertilization are covered under the Prescription Drug Benefits Rider, if the employer selected it as an optional benefit . 
- The plan document lists GIFT and ZIFT as not covered , . 
- The plan content also states that services incident to or resulting from procedures for a surrogate mother who is otherwise not eligible for covered pregnancy and maternity care under a Blue Shield health plan are not covered . 
- Services incident to reversal of surgical sterilization are not covered, except for medically necessary treatment of medical complications of the reversal procedure . 
- MESA, PESA, and TESA are not covered except for treatment of low sperm count .
</t>
  </si>
  <si>
    <t>Does my plan cover outpatient genetic counseling for family planning?</t>
  </si>
  <si>
    <t xml:space="preserve">Brief Answer 
I couldn’t find a specific benefit for outpatient genetic counseling for family planning in the current plan document. The plan does cover family planning counseling/education at no charge, but it does not specifically say that “genetic counseling” is included under that benefit.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Family planning counseling/education (closest match found):
#### In-Network Provider
For in-network providers: 
The plan has a $1,500 individual deductible not to exceed $3,000 per family.
However, Family Planning – Counseling, consulting, and education is not subject to the deductible. The plan will reimburse the provider 100% of the allowed amount for Family Planning – Counseling, consulting, and education. 
#### Out-of-Network Provider
For out-of-network providers, the member is responsible for 100% of the provider's billed amount, as the plan only covers in-network providers.
</t>
  </si>
  <si>
    <t>KT0505 Missing Deductible information</t>
  </si>
  <si>
    <t xml:space="preserve">Added Deductible information to the following : Family planning counseling/education (closest match found):
#### In-Network Provider
For in-network providers: 
However, Family Planning – Counseling, consulting, and education is not subject to the deductible. The plan will reimburse the provider 100% of the allowed amount for Family Planning – Counseling, consulting, and education. </t>
  </si>
  <si>
    <t xml:space="preserve">Family Planning  </t>
  </si>
  <si>
    <t>Does this plan cover vasectomies? </t>
  </si>
  <si>
    <t xml:space="preserve">Brief Answer 
Yes—vasectomies are covered under this plan. In-network, the vasectomy professional service shows No Charge.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Vasectomy (Family Planning):
In-Network Provider 
For in-network providers:  
the plan has a $1,500 deductible per person, not to exceed $3,000 per family.  
However, Family Planning &gt; Vasectomy is not subject to the deductible.  
The plan will reimburse the provider 100% of the allowed amount for Family Planning &gt; Vasectomy. 
Out-of-Network Provider 
For out-of-network providers, the member is responsible for 100% of the provider's billed amount, as the plan only covers in-network providers.
</t>
  </si>
  <si>
    <t>Contraceptives</t>
  </si>
  <si>
    <t>I need to get a diaphragm, can you tell me what that would cost?</t>
  </si>
  <si>
    <t xml:space="preserve">Brief Answer 
A diaphragm fitting (the office procedure) is covered at no charge when done by a Participating (in-network) Provider. If done by a Non-Participating (out-of-network) Provider, it’s not covered.
──────────────────────────────────────────────────
Detailed Explanation
Diaphragm Fitting (Contraceptive) — Office Procedure:
In-Network Provider 
For in-network providers: 
However, Diaphragm Fitting Procedure is not subject to the deductible.  
The plan will reimburse the provider 100% of the allowed amount for Diaphragm Fitting Procedure. 
Out-of-Network Provider 
For out-of-network providers: 
An out-of-network provider has the right to bill for the balance. What this means is that the member may be responsible for the difference between the allowed amount and billed amount. 
The Diaphragm Fitting Procedure is not a benefit of this health plan. The member would be responsible for 100% of the billed amount. 
</t>
  </si>
  <si>
    <t>I need to get my tubes tied, is that covered?</t>
  </si>
  <si>
    <t xml:space="preserve">Brief Answer 
Yes—tubal ligation is covered under this plan when done with an in-network (Participating) provider, and it is covered at No Charge. Out-of-network services are generally not covered under this EPO plan unless the plan lists a non-participating benefit for that service.
──────────────────────────────────────────────────
Detailed Explanation
Exclusive Provider Organization (EPO) Disclaimer:
This is an Exclusive Provider Organization (EPO) plan. You must receive all Covered Benefits from a Participating Provider,  the exception is with Emergency or Urgent Services.
Tubal Ligation (Family Planning):
#### In-Network Provider
For in-network providers:
For in-network providers: 
- the plan has a $2,500 deductible per person, not to exceed $5,000 per family. 
However, Tubal Ligation is not subject to the deductible. 
The plan will reimburse the provider 100% of the allowed amount for Tubal Ligation.  
*Additional details:* 
- The Family Planning and Infertility Benefits section states that family planning benefits include “Voluntary tubal ligation and other similar sterilization procedures.” 
#### Out-of-Network Provider
For out-of-network providers: 
An out-of-network provider has the right to bill for the balance. What this means is that the member may be responsible for the difference between the allowed amount and billed amount.
</t>
  </si>
  <si>
    <t>KT0505 - Missing Deductible and OOP amount Need to create EPO Rule</t>
  </si>
  <si>
    <t xml:space="preserve">Added deductible info to the following: Detailed Explanation
Tubal Ligation (Family Planning):
#### In-Network Provider
For in-network providers: 
However, Tubal Ligation is not subject to the deductible. 
The plan will reimburse the provider 100% of the allowed amount for Tubal Ligation. 
*Additional details:* </t>
  </si>
  <si>
    <t>Vasectomy</t>
  </si>
  <si>
    <t xml:space="preserve">What are the benefits for a vasectomy? </t>
  </si>
  <si>
    <t xml:space="preserve">Brief Answer 
A vasectomy is covered under this plan as a Family Planning benefit, with no charge when performed by an in-network (HMO Provider). Out-of-network benefits are not provided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Vasectomy (Professional):
In-Network Provider 
For in-network providers: 
the plan does not have a deductible.  
.  
The plan will reimburse the provider 100% of the allowed amount for Vasectomy Professional. 
Out-of-Network Provider 
For out-of-network providers, the member is responsible for 100% of the provider's billed amount, as the plan only covers in-network providers.
</t>
  </si>
  <si>
    <t>removed "However, Vasectomy Professional is not subject to the deductible" as plan does not have a deductible.</t>
  </si>
  <si>
    <t>Family Planning and Infertility Benefits - Diagnosis and Treatment of Infertility. 
Visit Office 
Lab and Pathology Outpatient
Outpatient Facility
Injections Outpatient
Injections Office
Visit Inpatient
Injections Inpatient</t>
  </si>
  <si>
    <t>What do you cover for diagnosing infertility?</t>
  </si>
  <si>
    <t>38.639</t>
  </si>
  <si>
    <t xml:space="preserve">Brief Answer
The plan covers infertility-related diagnosis and treatment services, including office visits, inpatient professional services, outpatient facility services, and outpatient lab/pathology services for infertility workups. Below I’ve broken out the main infertility-diagnosis benefits and the in-network/out-of-network cost shares.
──────────────────────────────────────────────────
Detailed Explanation
Infertility diagnosis coverage
- The plan provides benefits for the diagnosis and treatment of Infertility, including professional, Hospital, Ambulatory Surgery Center, and related services to diagnose and treat Infertility.
A. Visit Office  (for diagnosis and treatment of the cause of infertility)
In-Network Provider
- For in-network providers:
- the plan has a $250 deductible per person, not to exceed $750 per family.
- However, Visit Office is not subject to the deductible.
- The copay for Visit Office services is $10 per visit.
- The service applies to the plan's out-of-pocket maximum amount of $2,250 per person, not to exceed $4,500 per family. When the plan's out-of-pocket maximum amount is satisfied, the health plan will reimburse 100% of the allowed amount.
 Out-of-Network Provider
- For out-of-network providers:
An out-of-network provider has the right to bill for the balance. What this means is that the member may be responsible for the difference between the allowed amount and billed amount.
- the plan has a $750 deductible per person, not to exceed $2,250 per family.
- Visit Office is subject to this deductible. Once the deductible is met, the coinsurance is 30% of the allowed amount, and the plan will reimburse the remaining 70% of the allowed amount for Visit Office .
- The service applies to the plan's out-of-pocket maximum amount of $3,500 per person, not to exceed $7,000 per family. When the plan's out-of-pocket maximum amount is satisfied, the health plan will reimburse 100% of the allowed amount .
B. Lab and Pathology Outpatient (for diagnosis and treatment of the cause of infertility)
In-Network Provider
- For in-network providers:
- the plan has a $250 deductible per person, not to exceed $750 per family.
- Lab and Pathology Outpatient is subject to this deductible. Once the deductible is met, the member’s cost share applies .
- The copay for Lab and Pathology Outpatient services is $10 per visit.
- The service applies to the plan's out-of-pocket maximum amount of $2,250 per person, not to exceed $4,500 per family. When the plan's out-of-pocket maximum amount is satisfied, the health plan will reimburse 100% of the allowed amount .
Out-of-Network Provider
- For out-of-network providers:
An out-of-network provider has the right to bill for the balance. What this means is that the member may be responsible for the difference between the allowed amount and billed amount.
- the plan has a $750 deductible per person, not to exceed $2,250 per family.
- Lab and Pathology Outpatient is subject to this deductible. Once the deductible is met, the member’s cost share applies.
- The coinsurance is 30% of the allowed amount, and the plan will reimburse the remaining 70% of the allowed amount for Lab and Pathology Outpatient.
- The service applies to the plan's out-of-pocket maximum amount of $3,500 per person, not to exceed $7,000 per family. When the plan's out-of-pocket maximum amount is satisfied, the health plan will reimburse 100% of the allowed amount.
C. Visit Inpatient (professional services used in the diagnosis and treatment of infertility)
- In-Network Provider
- For in-network providers:
- the plan has a $250 deductible per person, not to exceed $750 per family.
- Visit Inpatient is subject to this deductible. Once the deductible is met, the member’s cost share applies .
- The coinsurance is 10% of the allowed amount, and the plan will reimburse the remaining 90% of the allowed amount for Visit Inpatient.
- The service applies to the plan's out-of-pocket maximum amount of $2,250 per person, not to exceed $4,500 per family. When the plan's out-of-pocket maximum amount is satisfied, the health plan will reimburse 100% of the allowed amount.
 Out-of-Network Provider
- For out-of-network providers:
An out-of-network provider has the right to bill for the balance. What this means is that the member may be responsible for the difference between the allowed amount and billed amount.
- the plan has a $750 deductible per person, not to exceed $2,250 per family .
- Visit Inpatient is subject to this deductible. Once the deductible is met, the member’s cost share applies .
- The coinsurance is 30% of the allowed amount, and the plan will reimburse the remaining 70% of the allowed amount for Visit Inpatient.
- The service applies to the plan's out-of-pocket maximum amount of $3,500 per person, not to exceed $7,000 per family. When the plan's out-of-pocket maximum amount is satisfied, the health plan will reimburse 100% of the allowed amount.
D. Outpatient Facility (outpatient facility services used in the diagnosis and treatment of infertility)
In-Network Provider
- For in-network providers:
- the plan has a $250 deductible per person, not to exceed $750 per family.
- Outpatient Facility is subject to this deductible. Once the deductible is met, the member’s cost share applies.
- The coinsurance is 10% of the allowed amount, and the plan will reimburse the remaining 90% of the allowed amount for Outpatient Facility.
- The service applies to the plan's out-of-pocket maximum amount of $2,250 per person, not to exceed $4,500 per family. When the plan's out-of-pocket maximum amount is satisfied, the health plan will reimburse 100% of the allowed amount .
Out-of-Network Provider
- For out-of-network providers:
An out-of-network provider has the right to bill for the balance. What this means is that the member may be responsible for the difference between the allowed amount and billed amount.
- the plan has a $750 deductible per person, not to exceed $2,250 per family.
- Outpatient Facility is subject to this deductible. Once the deductible is met, the member’s cost share applies.
- The coinsurance is 30% of the allowed amount, and the plan will reimburse the remaining 70% of the allowed amount for Outpatient Facility.
- This plan has a maximum payable amount of up to $350 per day. This means the member would also be responsible for all charges above $350 per day.
- The service applies to the plan's out-of-pocket maximum amount of $3,500 per person, not to exceed $7,000 per family. When the plan's out-of-pocket maximum amount is satisfied, the health plan will reimburse 100% of the allowed amount.
</t>
  </si>
  <si>
    <t>Fertility Preservation Services</t>
  </si>
  <si>
    <t>Infertility</t>
  </si>
  <si>
    <t>Are fertility preservation services covered?</t>
  </si>
  <si>
    <t>33.794</t>
  </si>
  <si>
    <t xml:space="preserve">Brief Answer
Yes. Fertility preservation services are covered when the Member is undergoing treatment or receiving covered benefits that may directly or indirectly cause iatrogenic infertility. The plan includes related retrieval, cryopreservation, storage, and service components, but because this is an HMO plan, benefits are only available in-network; out-of-network providers are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Fertility preservation services are covered for Members undergoing treatment or receiving Covered Benefits that may directly or indirectly cause iatrogenic Infertility. Standard fertility preservation services include retrieval and cryopreservation and storage of sperm, oocytes, gonadal tissue, and embryos. Blue Shield will provide written notice explaining the covered storage period within 30 business days after receipt of a claim for cryopreservation services, and 90 calendar days prior to the expiration of the storage periods. 
A. Cryopreservation / storage
- In-Network Provider
 - The plan will reimburse 100% of the allowed amount for Cryopreservation of embryos, oocytes, sperm, reproductive tissue (Retrieved from a Member). 
 - This plan has a limit of 1 procedure per year up to 1 year. 
- Out-of-Network Provider
 - For out-of-network providers, the member is responsible for 100% of the provider's billed amount, as the plan only covers in-network providers.
B. Ambulatory Surgery Center (ASC)
- In-Network Provider
 - The coinsurance is 30% of the allowed amount, and the plan will reimburse the remaining 70% of the allowed amount for Iatrogenic Fertility - Ambulatory Surgery Center (ASC). 
 - The service applies to the plan's out-of-pocket maximum amount of $4,000, not to exceed $8,000 per family. When the plan's out-of-pocket maximum amount is satisfied, the health plan will reimburse 100% of the allowed amount. 
- Out-of-Network Provider
 - For out-of-network providers, the member is responsible for 100% of the provider's billed amount, as the plan only covers in-network providers.
C. Laboratory outpatient
- In-Network Provider
 - The plan will reimburse 100% of the allowed amount for Iatrogenic Fertility - Lab Outpatient. 
- Out-of-Network Provider
 - For out-of-network providers, the member is responsible for 100% of the provider's billed amount, as the plan only covers in-network providers.
D. Professional inpatient
- In-Network Provider
 - The plan will reimburse 100% of the allowed amount for Iatrogenic Fertility - Professional Inpatient. 
- Out-of-Network Provider
 - For out-of-network providers, the member is responsible for 100% of the provider's billed amount, as the plan only covers in-network providers.
E. Professional office
- In-Network Provider
 - The copay for Iatrogenic Fertility - Professional Office services is $40. 
 - The service applies to the plan's out-of-pocket maximum amount of $4,000, not to exceed $8,000 per family. When the plan's out-of-pocket maximum amount is satisfied, the health plan will reimburse 100% of the allowed amount. 
- Out-of-Network Provider
 - For out-of-network providers, the member is responsible for 100% of the provider's billed amount, as the plan only covers in-network providers.
F. Professional outpatient
- In-Network Provider
 - The plan will reimburse 100% of the allowed amount for Iatrogenic Fertility - Professional Outpatient. 
- Out-of-Network Provider
 - For out-of-network providers, the member is responsible for 100% of the provider's billed amount, as the plan only covers in-network providers.
</t>
  </si>
  <si>
    <t>General</t>
  </si>
  <si>
    <t>NA</t>
  </si>
  <si>
    <t>What is a deductible and what is my deductible amount?</t>
  </si>
  <si>
    <t xml:space="preserve">Brief Answer 
A deductible is the amount the member pays for covered medical services before the plan starts paying for services that are subject to the deductible. Under this plan, the medical deductible is $2,000 per person, not to exceed $4,000 per family (calendar year). 
──────────────────────────────────────────────────
Detailed Explanation
A deductible is the amount the member pays out of pocket for covered services before the plan begins to pay for services that are subject to the deductible.
Per the plan’s Medical Deductible: the plan has a $2,000 deductible per person, not to exceed $4,000 per family. 
</t>
  </si>
  <si>
    <t>What's the difference between a copay and coinsurance?</t>
  </si>
  <si>
    <t xml:space="preserve">Brief Answer 
A copay is a fixed dollar amount the Member pays for a covered service (for example, $30 per visit). Coinsurance is a percentage of the allowed amount the Member pays (for example, 20% coinsurance), and the plan pays the remaining percentage.
──────────────────────────────────────────────────
Detailed Explanation
- Copay (fixed amount): A set $ amount due for a service, usually “per visit” or “per prescription.” Example from this plan: $30 copay per visit for an in-network urgent care visit (freestanding) . 
- Coinsurance (percentage): A % of the allowed amount for the service. Example from this plan: 20% coinsurance for certain durable medical equipment/supplies . 
- Important note for this HMO plan: Benefits generally apply when services are received from an in-network provider/medical group provider . (Your plan data doesn’t list out-of-network cost shares for most benefits; non-participating services are generally not covered unless stated otherwise in the EOC.)
</t>
  </si>
  <si>
    <t>Do I have to meet my deductible before my insurance starts paying for services?</t>
  </si>
  <si>
    <t xml:space="preserve">Brief Answer 
Yes—this plan has a medical deductible, but many common services are not subject to the deductible and may be covered right away with just a copay/coinsurance (or no charge). It depends on the specific benefit and place of service.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Medical (Facility) Deductible amounts:
the plan has a $750 deductible per person, not to exceed $1,500 per family. 
How to tell if the deductible applies (what to look for in the benefit):
In the plan’s benefit listings, check whether the service is marked subjectToDeductible = true or false:
- If subjectToDeductible = true, the member pays allowed charges until the deductible is met, then the copay/coinsurance applies.
- If subjectToDeductible = false, the plan’s copay/coinsurance (or “No Charge”) applies immediately.
Examples from this plan (to illustrate the difference):
- Outpatient hospital surgery facility services are subject to deductible (example: “Outpatient Hospital Facility Services for Surgery” shows subjectToDeductible = true).  
- Primary care office visit is not subject to deductible (example: “Office Visit/Consultation Physician Care - Generalist” shows subjectToDeductible = false). 
</t>
  </si>
  <si>
    <t xml:space="preserve">How do I get a referral to see a specialist under my plan? </t>
  </si>
  <si>
    <t xml:space="preserve">Brief Answer 
This plan is a PPO (Full PPO), so referrals are generally not required to see a specialist. The Member can typically schedule directly with an in-network Participating Provider specialist.
──────────────────────────────────────────────────
Detailed Explanation
Because this plan’s planStructureType is PPO , the Member does not need a PCP referral to see a specialist in most situations. 
How the Member can see a specialist (PPO):
- Step 1: Choose an in-network (Participating Provider) specialist to keep costs lower.  
- Step 2: Schedule the appointment directly with the specialist’s office (no referral needed).  
- Step 3 (if a service requires prior authorization): The specialist/provider submits the prior authorization request when required. The plan’s EOC states that some benefits require prior authorization, and surgery and certain other services are on the “frequently-utilized services” PA list. 
Network reminder (PPO):
- In-Network Provider: Covered under the plan’s Participating Provider benefits.  
- Out-of-Network Provider: Benefits may apply, but the Member may have higher cost share and may be balance billed (difference between allowed amount and billed amount). 
If you need to confirm whether a *specific specialist service* requires prior authorization, consult the Knowledgebase (Prior Authorization List guidance).
</t>
  </si>
  <si>
    <t xml:space="preserve">Brief Answer 
Because this is an HMO Trio plan, a referral from the Member’s PCP is usually required to see a specialist. The Member would request the referral through their PCP/Medical Group (and if assigned to Accolade Care virtual Medical Group, their Accolade Care PCP coordinates the request with Blue Shield). [1]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[2]
How the Member gets a specialist referral:
- The Member’s PCP manages the referral process and submits the request through the Medical Group (this is described in the plan’s “Prior authorization and PCP referrals” section). [1] 
- If the Member is assigned to the Accolade Care virtual Medical Group, pre-approval comes from Blue Shield, and the Accolade Care PCP coordinates with Blue Shield to review requests. [1]
Referral exceptions (Trio):
Trio: The patient does not need a referral for: Emergency Services; Urgent Services; Trio+ Specialist visits; OB/GYN services by an obstetrician, gynecologist, or family practice Physician within the patient's Medical Group; and Office visits with the patient's primary care physician (PCP)
</t>
  </si>
  <si>
    <t>HW 5/4: Good response</t>
  </si>
  <si>
    <t>If I hit my out-of-pocket maximum, does my plan cover 100% of my remaining healthcare costs for the year?</t>
  </si>
  <si>
    <t xml:space="preserve">Brief Answer 
Yes—once the Member meets the plan’s out-of-pocket maximum (OOPM), the plan pays 100% of the allowed amount for additional covered services that apply to the OOPM for the rest of the calendar year. This plan’s OOPM is $3,500 Individual / $7,000 Family.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Plan Out-of-Pocket Maximum (calendar year): $3,500 Individual / $7,000 Family 
How it works after the OOPM is met
- For covered services where oopmApplies = true, the plan will pay 100% of the allowed amount after the OOPM is satisfied (per the plan’s OOPM language).  
- If a service has oopmApplies = false, that service does not accrue to the OOPM, and hitting the OOPM would not change the Member’s cost share for that item/service. 
In-Network Provider 
For out-of-network providers, the member is responsible for 100% of the provider's billed amount, as the plan only covers in-network providers. 
Out-of-Network Provider 
For out-of-network providers, the member is responsible for 100% of the provider's billed amount, as the plan only covers in-network providers. 
</t>
  </si>
  <si>
    <t>Is there any lifetime or annual maximum limit on what my insurance will pay for my medical care?</t>
  </si>
  <si>
    <t xml:space="preserve">Brief Answer 
Yes. This plan has no stated annual or lifetime dollar maximum on covered medical benefits in the plan data provided, but it does have an out-of-pocket maximum (OOPM) and several per-service visit/day/procedure limits that can cap coverage for certain types of care.
──────────────────────────────────────────────────
Detailed Explanation
Plan-level maximums (what the plan will pay overall):
- I couldn’t find any annual or lifetime dollar maximum in the current plan document for covered medical benefits (i.e., no “plan pays up to $X per year/lifetime” statement in the provided plan data). 
What DOES cap member costs (OOP maximum):
- The plan has an Out-of-Pocket Maximum (OOPM) of $2,500 (Individual) and $5,000 (Family) for HMO providers. Once the OOPM is satisfied (for services that apply), the plan reimburses 100% of the allowed amount for those covered services. 
Examples of benefit limits (these are not dollar maximums, but they can limit coverage):
The plan includes limits such as:
- Chiropractic: 30 visits per member per calendar year.  
- Home health care (home health agency professional services): 100 visits per member per calendar year.  
- Skilled Nursing Facility (SNF): 100 days per member per calendar year (combined across hospital SNF unit and freestanding SNF).  
- Assisted reproductive / infertility services: certain services have lifetime or yearly procedure limits (example: artificial insemination 6 per lifetime, oocyte retrieval 3 per lifetime, cryopreservation storage 1 per year up to 1 year). 
</t>
  </si>
  <si>
    <t>Do I need authorization to make an appointment with a physician?</t>
  </si>
  <si>
    <t xml:space="preserve">Brief Answer 
I couldn't find this information in the current plan document.
──────────────────────────────────────────────────
Detailed Explanation 
The plan document includes general prior authorization language for certain services (for example, surgery and some non-emergency inpatient services), but it does not state whether a Member needs authorization (such as prior authorization or a referral) just to make an appointment with a physician.  
If you need standardized guidance on appointment/referral/authorization workflows for this scenario, please consult the Knowledgebase. 
</t>
  </si>
  <si>
    <t xml:space="preserve">General </t>
  </si>
  <si>
    <t>Do I need a referral from my primary doctor?</t>
  </si>
  <si>
    <t xml:space="preserve">Brief Answer 
I can’t determine whether a referral is required from the current plan document because referral requirements (PCP/medical group rules) aren’t shown for this plan type. I couldn’t find any referral requirement language tied to this plan’s network (“Tandem”).
──────────────────────────────────────────────────
Detailed Explanation 
- The plan’s planStructureType is “EPO Savings” (not HMO) . The standard “HMO referral required” scripting does not apply. 
- The plan’s medicalNetwork is “Tandem” . The only referral scripting provided in the rules applies to HMO Trio or HMO Access+ networks, and this plan is neither. 
- I couldn’t find any other section in the provided EOC excerpts that states when referrals are required (for example, a “Referrals/Medical Group” section is not included in the plan data you provided). 
If you need a definitive answer for a specific service (e.g., specialist visit, imaging, surgery), consult the Knowledgebase and search for referral requirements for Virtual Blue EPO Savings / Tandem.
</t>
  </si>
  <si>
    <t>What's my deductible?</t>
  </si>
  <si>
    <t xml:space="preserve">Brief Answer 
The plan’s medical deductible is $2,250 per person, not to exceed $4,500 per family (with an embedded individual deductible of $3,400). 
──────────────────────────────────────────────────
Detailed Explanation
- Per the plan’s Medical Deductible section, the deductible is $2,250 Individual, $4,500 Family, and $3,400 Family Embedded Individual . 
 - Because this is a Two Tier Embedded Deductible plan design, the $3,400 “Family Embedded Individual” amount reflects the embedded individual deductible within the family structure . 
</t>
  </si>
  <si>
    <t>Prescription</t>
  </si>
  <si>
    <t>What is a formulary?</t>
  </si>
  <si>
    <t xml:space="preserve">Brief Answer 
A formulary is the plan’s list of FDA-approved prescription drugs that the plan prefers and covers, organized into tiers. The member’s copay/coinsurance depends on the tier the drug is placed in.
──────────────────────────────────────────────────
Detailed Explanation 
The plan document explains that Blue Shield’s Drug Formulary is “a list of FDA-approved preferred Generic and Brand Drugs” that helps providers prescribe “Medically Necessary and cost-effective Drugs.” It also states the formulary is divided into drug tiers, and the member’s Copayment or Coinsurance will vary based on the Drug tier. 
This plan’s formulary is identified as “Plus Formulary.” 
</t>
  </si>
  <si>
    <t>Brief Answer 
A formulary is the plan’s list of FDA-approved prescription drugs that the plan prefers and covers, organized into tiers. The member’s copay/coinsurance depends on the tier the drug is placed in.</t>
  </si>
  <si>
    <t>What is the difference between an HMO plan and a PPO plan?</t>
  </si>
  <si>
    <t xml:space="preserve">Brief Answer 
An HMO plan generally requires members to use in-network providers and often requires a PCP and referrals for specialist care. A PPO plan generally offers more flexibility, including the option to see out-of-network providers (usually at a higher member cost).
──────────────────────────────────────────────────
Detailed Explanation
- HMO (Health Maintenance Organization) 
 - Typically requires the member to receive care from in-network providers (or providers tied to their medical group) to be eligible for benefits, and a referral from the member’s PCP is usually required to see a specialist. 
- PPO (Preferred Provider Organization) 
 - Allows the member to use both participating (in-network) and non-participating (out-of-network) providers. When using an out-of-network provider, the provider may bill the member for the difference between the allowed amount and the billed amount (balance billing).  
 - The PLAN_DATA provided is a PPO plan (`planStructureType: "PPO"`). 
</t>
  </si>
  <si>
    <t>Definition</t>
  </si>
  <si>
    <t>What is the difference between coinsurance and copay?</t>
  </si>
  <si>
    <t xml:space="preserve">Brief Answer 
A copay is a fixed dollar amount the Member pays for a covered service (for example, “$15 per visit”). Coinsurance is a percentage of the plan’s allowed amount the Member pays (for example, “20% coinsurance”), and the plan pays the remaining percentage.
──────────────────────────────────────────────────
Detailed Explanation
- Copay (fixed amount): 
 The Member pays a set fee each time they receive the service, regardless of the total allowed amount (unless the plan states otherwise). Example from this plan: $15 per visit for an office visit/consultation .
- Coinsurance (percentage): 
 The Member pays a percentage of the allowed amount for the service, and the plan pays the remainder. Example from this plan: 20% coinsurance for other durable medical equipment and supplies .
- How “allowed amount” matters (coinsurance only): 
 Coinsurance is calculated on the plan’s allowed amount (the negotiated/approved amount), not necessarily what the provider bills. In an HMO like this one, benefits generally require in-network/medical group providers .
</t>
  </si>
  <si>
    <t>General
Physician and Professional Services</t>
  </si>
  <si>
    <t>If I go to a doctor who is not in my network, will my plan cover any of the cost?</t>
  </si>
  <si>
    <t xml:space="preserve">Brief Answer 
Yes. This is a PPO plan, so it generally includes out-of-network (non-participating) coverage, but the member will pay more—and the provider may also balance bill the member for amounts above the allowed amount.
──────────────────────────────────────────────────
Detailed Explanation
Plan type (what this means for out-of-network care):
This plan is a PPO (Full PPO Combined Deductible 25-250 90/60), which includes benefit levels for both Participating Provider (in-network) and Non-Participating Provider (out-of-network). 
General out-of-network cost expectations (PPO):
For out-of-network providers:
An out-of-network provider has the right to bill for the balance. What this means is that the member may be responsible for the difference between the allowed amount and billed amount. 
Medical deductible (applies to both in- and out-of-network):
the plan has a $250 deductible per person, not to exceed $750 per family. 
Out-of-pocket maximum (OOPM) differs for in- vs out-of-network:
- In-network OOPM: $3,750 per person / $7,500 per family  
- Out-of-network OOPM: $7,750 per person / $15,500 per family 
</t>
  </si>
  <si>
    <t>Home Health Services</t>
  </si>
  <si>
    <t>Home Health</t>
  </si>
  <si>
    <t xml:space="preserve">Does my plan cover home health care visits? </t>
  </si>
  <si>
    <t xml:space="preserve">Brief Answer 
Yes—home health care visits are covered in-network under the Home Health Services benefit, with a 20% coinsurance and a 100-visit per calendar year limit. Out-of-network home health care is not covered under this plan.
──────────────────────────────────────────────────
Detailed Explanation
Home Health Services → Home Care → Home health care :
In-Network Provider 
For in-network providers: 
the plan has a $750 deductible per person, not to exceed $2,250 per family.  
Home health care is subject to this deductible. Once the deductible is met, 
The coinsurance is 20% of the allowed amount, and the plan will reimburse the remaining 80% of the allowed amount for Home health care.  
The service applies to the plan's out-of-pocket maximum amount of $5,250, not to exceed $10,500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Covered when provided by a Participating home health care agency under a written treatment plan approved by the Member’s Physician.  
- “Intermittent home care” is for skilled services received fewer than 7 days per week, or daily for fewer than 8 hours per day (up to 21 days).  
- Visit definition/limits: 
 - Up to 4 visits per day, 2 hours max per visit with an RN, LVN, PT, OT, speech-language pathologist, or licensed clinical social worker (2 hours or less = 1 visit).  
 - Up to 4 hours max per visit with a home health aide (4 hours or less = 1 visit).  
- Continuous Nursing Services / private-duty nursing are not included.  
Out-of-Network Provider 
For out-of-network providers: 
An out-of-network provider has the right to bill for the balance. What this means is that the member may be responsible for the difference between the allowed amount and billed amount.  
Home health care is not covered for out-of-network (Non-Participating Provider) services. 
</t>
  </si>
  <si>
    <t>Is a private home health care nurse covered? </t>
  </si>
  <si>
    <t xml:space="preserve">Brief Answer 
Private duty nursing (a private home health care nurse) is not covered under this plan when provided through home health care. Home health care agency visits are covered, but private duty nursing is listed as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Home Health Services — Private duty nursing:
#### In-Network Provider
For in-network providers:  
The private duty nursing is not a benefit of this health plan. The member would be responsible for 100% of the billed amount. 
#### Out-of-Network Provider
For out-of-network providers, the member is responsible for 100% of the provider's billed amount, as the plan only covers in-network providers.
Home Health Services — Home health care (home health care agency visits) *(covered alternative)*:
#### In-Network Provider
For in-network providers:  
the plan has a $2,000 deductible per person, not to exceed $4,000 per family.  
However, Home health care is not subject to the deductible.  
The copay for Home health care services is $40 per visit.  
The service applies to the plan's out-of-pocket maximum amount of $5,500, not to exceed $11,000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Services must be provided by a Participating home health care agency under a written treatment plan approved by a Physician. 
- “Intermittent” care is fewer than seven days per week, or daily for fewer than eight hours per day (up to 21 days). 
- Coverage includes up to four visits per day with a two-hour maximum per visit for RN, LVN, PT, OT, SLP, or LCSW; 2 hours or less counts as one visit; nursing visits cannot be combined to provide continuous nursing services. 
- Coverage includes up to four hours maximum per visit with a Home Health Aide; 4 hours or less counts as one visit. 
- Continuous Nursing Services / “shift care” / “private duty nursing” is not included.
#### Out-of-Network Provider
For out-of-network providers, the member is responsible for 100% of the provider's billed amount, as the plan only covers in-network providers.
</t>
  </si>
  <si>
    <t>Does my plan have an limits to home health care?</t>
  </si>
  <si>
    <t xml:space="preserve">Brief Answer 
Yes. The plan has a limit of 100 home health care agency visits per member per calendar year for home health care. Private duty nursing in the home is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Home Health Services (Home Care):
#### 1) Home health care
In-Network Provider 
For in-network providers: 
the plan does not have a deductible. 
The copay for Home health care services is $30. 
The service applies to the plan's out-of-pocket maximum amount of $4,000, not to exceed $8,000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Covered through a participating home health care agency under a written treatment plan approved by the Member’s Physician.  
- “Intermittent home care” is for skilled services received fewer than 7 days per week, or daily for fewer than 8 hours per day up to 21 days.  
- Visit guidelines: up to 4 visits/day, 2 hours max per visit for RN/LVN/PT/OT/SLP/LCSW (2 hours or less counts as 1 visit).  
- Home Health Aide visits: up to 4 hours max per visit (4 hours or less counts as 1 visit).  
- Nursing visits cannot be combined to provide continuous nursing services.  
Out-of-Network Provider 
For out-of-network providers, the member is responsible for 100% of the provider's billed amount, as the plan only covers in-network providers.
#### 2) Private duty nursing
In-Network Provider 
For in-network providers: 
The Private duty nursing is not a benefit of this health plan. The member would be responsible for 100% of the billed amount. 
Out-of-Network Provider 
For out-of-network providers, the member is responsible for 100% of the provider's billed amount, as the plan only covers in-network providers.
</t>
  </si>
  <si>
    <t>What's covered for home care?</t>
  </si>
  <si>
    <t>Brief Answer 
Home health care is covered under this Trio HMO plan, with a $30 copay per visit and a 100-visit per calendar year limit. Private duty nursing is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Home Health Services (Home Care):
#### Home health care (Home Health Care Agency Professional Services)
In-Network Provider 
For in-network providers:  
the plan does not have a deductible.  
The copay for Home health care services is $30 per visit.  
The service applies to the plan's out-of-pocket maximum amount of $4,000, not to exceed $8,000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Must be provided by a Participating home health care agency in the Member’s home under a written treatment plan approved by the Physician. 
- “Intermittent home care” means fewer than 7 days per week, or daily for fewer than 8 hours per day, up to 21 days. 
- Covered skilled providers can include: RN, LVN, PT, OT, speech-language pathologist, licensed clinical social worker, and home health aide. 
- Visit parameters (as described in the EOC): 
 - Up to 4 visits per day, 2 hours max per visit for RN/LVN/PT/OT/speech-language pathologist/LCSW; 2 hours or less = 1 visit. 
 - Up to 4 hours max per visit with a Home Health Aide; 4 hours or less = 1 visit. 
 - Nursing visits cannot be combined to provide “Continuous Nursing Services.”
Out-of-Network Provider 
For out-of-network providers, the member is responsible for 100% of the provider's billed amount, as the plan only covers in-network providers.
#### Private duty nursing
In-Network Provider 
The Private duty nursing is not a benefit of this health plan. The member would be responsible for 100% of the billed amount.  
Out-of-Network Provider 
For out-of-network providers, the member is responsible for 100% of the provider's billed amount, as the plan only covers in-network providers.
Other Home Health Services (listed in the plan):
#### Home Injectables / IV treatment / Solutions and supplies (Home Infusion)
In-Network Provider 
For in-network providers:  
the plan does not have a deductible.  
However, Home infusion (Home Injectables / IV treatment / Solutions and supplies) is not subject to the deductible. Once the deductible is met,  
The plan will reimburse the provider 100% of the allowed amount for Home infusion (Home Injectables / IV treatment / Solutions and supplies).  
Additional details:  
- Provided through a Participating home infusion agency. 
- Includes skilled nursing visits, infusion suite services associated with the participating home infusion agency, parenteral/enteral administration, supplies used during a covered visit, and medications injected/IV administered. 
- The EOC states no calendar-year visit maximum for home infusion agency services. 
- Excludes insulin and insulin syringes (and hemophilia-related services are addressed separately).
Out-of-Network Provider 
For out-of-network providers, the member is responsible for 100% of the provider's billed amount, as the plan only covers in-network providers.
#### Hemophilia home infusion services
In-Network Provider 
For in-network providers:  
the plan does not have a deductible.  
However, Hemophilia home infusion services is not subject to the deductible. Once the deductible is met,  
The plan will reimburse the provider 100% of the allowed amount for Hemophilia home infusion services.  
Additional details:  
- Must be prior authorized and provided in the home or in an infusion suite managed by a Participating Hemophilia Home Infusion Provider. 
- EOC states no calendar-year visit maximum for hemophilia home infusion agency services.
Out-of-Network Provider 
For out-of-network providers, the member is responsible for 100% of the provider's billed amount, as the plan only covers in-network providers.
────────────────────────────────────────────────</t>
  </si>
  <si>
    <t>Removed However, Home health care is not subject to the deductible. Once the deductible is met,</t>
  </si>
  <si>
    <t>Hospice Program</t>
  </si>
  <si>
    <t>Are home-based palliative care services covered?</t>
  </si>
  <si>
    <t xml:space="preserve">Brief Answer 
Yes—palliative care services are covered under this plan. The plan pays 100% of allowed charges regardless if the provider is in or out-of-network.
──────────────────────────────────────────────────
Detailed Explanation
Palliative Care:
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There is no deductible for Level 1 providers, and the plan will reimburse the provider 100% of allowed charges.
For Level 2 PPO in-network providers, you may access services without a referral. There is a deductible of $500 for individual not to exceed $1,000 per family.  However, Palliative Care servicces is not subject to the plan's deductible. Theplan will reimburse the provider 100% of allowed charges.
Level 3 Out of Network
For Level 3 out-of-network or non-participaing providers, the provider has the right to bill for the balance. What this means is that the member may be responsible for the difference between the allowed amount and billed amount
There is a deductible of $500 for individual not to exceed $1,000 per family.  However, Palliative Care servicces is not subject to the plan's deductible. Theplan will reimburse the provider 100% of allowed charges.
</t>
  </si>
  <si>
    <t>5/11 HW: New POS LLM Rule 47</t>
  </si>
  <si>
    <t>Can you tell me about this plan's coverage for home hospice care?</t>
  </si>
  <si>
    <t xml:space="preserve">Brief Answer 
Yes—this plan covers hospice program services (including routine home hospice care and continuous home hospice care) at no charge when provided by a Participating Provider, but it is not covered when provided by a Non-Participating Provider. Hospice enrollment is prior authorized in the plan document.
──────────────────────────────────────────────────
Detailed Explanation
Hospice Program Services (Hospice program services):
#### 1) Continuous home care (24-hour Continuous Home Hospice Care)
In-Network Provider 
For in-network providers: 
However, Routine Hospice Home Care is not subject to the deductible. 
The plan will reimburse the provider 100% of the allowed amount for Routine Hospice Home Care. 
Out-of-Network Provider 
For out-of-network providers: 
An out-of-network provider has the right to bill for the balance. What this means is that the member may be responsible for the difference between the allowed amount and billed amount. 
The plan will reimburse the provider 100% of the allowed amount for Routine Hospice Home Care. 
#### 2) Routine home care (Routine Hospice Home Care)
In-Network Provider 
For in-network providers: 
However, Routine Hospice Home Care is not subject to the deductible. 
The plan will reimburse the provider 100% of the allowed amount for Routine Hospice Home Care. 
Out-of-Network Provider 
For out-of-network providers: 
An out-of-network provider has the right to bill for the balance. What this means is that the member may be responsible for the difference between the allowed amount and billed amount. 
The plan will reimburse the provider 100% of the allowed amount for Routine Hospice Home Care. 
#### 3) General inpatient care (General Inpatient Hospice Care)
In-Network Provider 
For in-network providers: 
However, General Inpatient Hospice Care is not subject to the deductible. 
The plan will reimburse the provider 100% of the allowed amount for General Inpatient Hospice Care. 
Out-of-Network Provider 
For out-of-network providers: 
An out-of-network provider has the right to bill for the balance. What this means is that the member may be responsible for the difference between the allowed amount and billed amount. 
The plan will reimburse the provider 100% of the allowed amount for General Inpatient Hospice Care. 
#### 4) Inpatient respite care (Inpatient Hospice Respite Care)
In-Network Provider 
For in-network providers: 
However, Inpatient Hospice Respite Care is not subject to the deductible. 
The plan will reimburse the provider 100% of the allowed amount for Inpatient Hospice Respite Care. 
Out-of-Network Provider 
For out-of-network providers: 
An out-of-network provider has the right to bill for the balance. What this means is that the member may be responsible for the difference between the allowed amount and billed amount. 
The plan will reimburse the provider 100% of the allowed amount for Inpatient Hospice Respite Care. 
#### 5) Pre-Hospice consultative visit (Pre-Hospice Consultation)
In-Network Provider 
For in-network providers: 
However, Pre-Hospice Consultation is not subject to the deductible. 
The plan will reimburse the provider 100% of the allowed amount for Pre-Hospice Consultation. 
Out-of-Network Provider 
For out-of-network providers: 
An out-of-network provider has the right to bill for the balance. What this means is that the member may be responsible for the difference between the allowed amount and billed amount. 
The plan will reimburse the provider 100% of the allowed amount for Pre-Hospice Consultation. 
Additional details: 
- Hospice services are available through a Participating Hospice Agency for a Member diagnosed with a terminal illness with a life expectancy of one year or less.  
- Hospice program enrollment is prior authorized for a specified period of care based on the Physician’s certification of eligibility.  
- The authorized period of care is two 90-day periods followed by unlimited 60-day periods (depending on diagnosis), with Physician recertification needed to continue.  
- When enrolled, the Member agrees to receive all care for the terminal illness through the Hospice Agency; care not related to the terminal illness may still be received from the appropriate provider.  
- The Member can change their Participating Hospice Agency only once during each period of care.  
- Covered hospice services include (high level): skilled nursing, continuous nursing services (8–24 hours/day), home health aide, homemaker services, medical social services, dietary counseling, drugs/DME/supplies, therapies (PT/OT/speech for symptom control/ADLs), respiratory therapy, short-term inpatient/hospice house care if required, and inpatient respite care up to five days at a time.  
- The plan does not include services from a Non-Participating Hospice Agency, except in certain circumstances where there are no Participating Hospice Agencies in the area and services are prior authorized. 
</t>
  </si>
  <si>
    <t>Hospital Services</t>
  </si>
  <si>
    <t>Inpatient Professional Services (Surgeon/Physician)
Inpatient Hospital Admission (Facility Services)</t>
  </si>
  <si>
    <t>What is my benefit for a hospital admission?</t>
  </si>
  <si>
    <t xml:space="preserve">Brief Answer 
For a hospital admission (inpatient), the plan covers in-network inpatient hospital facility services at 20% coinsurance after the deductible. For out-of-network inpatient admissions, the plan pays at 50% coinsurance after the deductible, and the member may also be balance billed.
──────────────────────────────────────────────────
Detailed Explanation
Inpatient Hospital Admission (Facility Services):
#### In-Network Provider
For in-network providers: 
the plan has a $2,500 deductible per person, not to exceed $5,000 per family.  
Inpatient Hospital (Facility Services) is subject to this deductible. Once the deductible is met,  
The coinsurance is 20% of the allowed amount, and the plan will reimburse the remaining 80% of the allowed amount for Inpatient Hospital (Facility Services).  
The service applies to the plan's out-of-pocket maximum amount of $6,850, not to exceed $13,700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Inpatient Hospital (Facility Services) is subject to this deductible. Once the deductible is met,  
The coinsurance is 50% of the allowed amount, and the plan will reimburse the remaining 50% of the allowed amount for Inpatient Hospital (Facility Services).  
The service applies to the plan's out-of-pocket maximum amount of $10,500, not to exceed $21,000 per family. When the plan's out-of-pocket maximum amount is satisfied, the health plan will reimburse 100% of the allowed amount.  
This plan has a maximum payable amount of up to $600 per day. This means the member would also be responsible for all charges above $600 per day.  
In addition to the hospital bill, the member can expect related professional fees for services like surgery, anesthesia, and diagnostic testing (radiological, pathology, or laboratory). 
</t>
  </si>
  <si>
    <t>Infertility - Assisted Reproductive Benefits</t>
  </si>
  <si>
    <t xml:space="preserve">Do this plan cover infertility treatments? </t>
  </si>
  <si>
    <t>59.697</t>
  </si>
  <si>
    <t>Brief Answer
Yes — the plan covers many infertility diagnosis and treatment services, including office visits, injections, lab/pathology, outpatient facility care, IVF, ICSI, insemination procedures, oocyte retrieval, and cryopreservation-related services. GIFT and ZIFT are specifically not covered.
──────────────────────────────────────────────────
Detailed Explanation
Coverage Details
- The plan states that benefits are provided for the diagnosis and treatment of infertility, including professional, hospital, ambulatory surgery center, and related services .
- Covered assisted reproductive services include artificial insemination, oocyte retrievals, IVF, unlimited embryo transfers, cryopreservation storage, ICSI, preimplantation genetic testing, and treatment of low sperm count .
- The document also notes that self-administered drugs prescribed to induce fertilization are covered under the Prescription Drug Benefits Rider if that rider is selected .
- GIFT and ZIFT are listed as not covered .
Cost Information
- The plan has a $750 individual deductible and $2,250 family deductible .
- The in-network out-of-pocket maximum is $6,250 individual / $12,500 family .
- The out-of-network out-of-pocket maximum is $10,750 individual / $21,500 family .
- Because this is a PPO plan, out-of-network providers may bill for the balance of charges.
A. Diagnosis and Treatment of the Cause of Infertility
- Visit Office
 - In-Network Provider: $30 per visit; not subject to the deductible .
 - Out-of-Network Provider: 40% Coinsurance; subject to the deductible. An out-of-network provider has the right to bill for the balance .
- Visit Inpatient
 - In-Network Provider: 20% Coinsurance; subject to the deductible .
 - Out-of-Network Provider: 40% Coinsurance; subject to the deductible. An out-of-network provider has the right to bill for the balance .
- Injections
 - In-Network Provider: 20% Coinsurance; subject to the deductible .
 - Out-of-Network Provider: 40% Coinsurance; subject to the deductible. An out-of-network provider has the right to bill for the balance .
 - This applies to the plan’s infertility injection benefits listed for inpatient, outpatient, and office settings .
- Lab and Pathology Outpatient
 - In-Network Provider: $30 per visit; subject to the deductible .
 - Out-of-Network Provider: 40% Coinsurance; subject to the deductible. An out-of-network provider has the right to bill for the balance .
- Outpatient Facility
 - In-Network Provider: 20% Coinsurance; subject to the deductible .
 - Out-of-Network Provider: 40% Coinsurance; subject to the deductible. This benefit has a maximum payable amount of up to $350 per day per member, plus charges over $350 per day, and an out-of-network provider has the right to bill for the balance .
B. Assisted Reproductive Infertility Services
- Cryopreservation of embryos, oocytes, sperm, reproductive tissue
 - In-Network Provider: 20% Coinsurance; subject to the deductible .
 - Out-of-Network Provider: 40% Coinsurance; subject to the deductible. An out-of-network provider has the right to bill for the balance .
 - Limit: 1 procedure per year up to 1 year .
- In vitro fertilization (IVF)
 - In-Network Provider: 20% Coinsurance; subject to the deductible .
 - Out-of-Network Provider: 40% Coinsurance; subject to the deductible. An out-of-network provider has the right to bill for the balance .
- Intracytoplasmic sperm injection (ICSI)
 - In-Network Provider: $30 per visit; subject to the deductible .
 - Out-of-Network Provider: 40% Coinsurance; subject to the deductible. An out-of-network provider has the right to bill for the balance .
- Natural artificial insemination without ovum stimulation
 - In-Network Provider: 20% Coinsurance; subject to the deductible .
 - Out-of-Network Provider: 40% Coinsurance; subject to the deductible. An out-of-network provider has the right to bill for the balance .
 - Limit: 6 procedures per lifetime .
- Stimulated artificial insemination with ovum stimulation
 - In-Network Provider: 20% Coinsurance; subject to the deductible .
 - Out-of-Network Provider: 40% Coinsurance; subject to the deductible. An out-of-network provider has the right to bill for the balance .
 - Limit: 6 procedures per lifetime .
- Oocyte retrieval
 - In-Network Provider: 20% Coinsurance; subject to the deductible .
 - Out-of-Network Provider: 40% Coinsurance; subject to the deductible. An out-of-network provider has the right to bill for the balance .
 - Limit: 3 procedures per lifetime .
Not Covered
- GIFT
 - In-Network Provider: Not covered .
 - Out-of-Network Provider: Not covered .
- ZIFT
 - In-Network Provider: Not covered .
 - Out-of-Network Provider: Not covered .
If you want, I can also narrow this down to a specific infertility service, like IVF, ICSI, or fertility drugs.</t>
  </si>
  <si>
    <t>Are IVF treatments covered?</t>
  </si>
  <si>
    <t>Brief Answer 
Yes—this plan covers in vitro fertilization (IVF) as an infertility benefit, subject to the medical deductible and coinsurance (and it varies by in-network vs. out-of-network). The plan document shows IVF under “Infertility - Assisted Reproductive Benefits,” but it does not list every place-of-service scenario beyond the professional inpatient IVF line item.
──────────────────────────────────────────────────
Detailed Explanation
In vitro fertilization (IVF) – Professional (as listed in the plan):
In-Network Provider 
For in-network providers: 
the plan has a $750 deductible per person, not to exceed $2,250 per family.  
Infertility Services &gt; In vitro fertilization (IVF) is subject to this deductible. Once the deductible is met,  
The coinsurance is 20% of the allowed amount, and the plan will reimburse the remaining 80% of the allowed amount for Infertility Services &gt; In vitro fertilization (IVF).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Infertility Services &gt; In vitro fertilization (IVF) is subject to this deductible. Once the deductible is met,  
The coinsurance is 40% of the allowed amount, and the plan will reimburse the remaining 60% of the allowed amount for Infertility Services &gt; In vitro fertilization (IVF).  
The service applies to the plan's out-of-pocket maximum amount of $10,750, not to exceed $21,500 per family. When the plan's out-of-pocket maximum amount is satisfied, the health plan will reimburse 100% of the allowed amount.  
Important note about how IVF may be billed (professional vs facility):
The plan document you provided lists IVF specifically as “In Vitro Fertilization (IVF) - … Professional Inpatient” (Infertility - Assisted Reproductive Benefits). It does not explicitly list the IVF facility line item (e.g., hospital/ASC) in that IVF record set, so I can’t confirm the exact IVF facility cost share from that specific IVF subsection.  
However, the plan does show general surgery/procedure cost shares (facility and professional) elsewhere in the EOC, which may apply depending on how IVF services are rendered and billed. 
────────────────────────────────────────────────</t>
  </si>
  <si>
    <t>Am I covered for infertility treatments?  </t>
  </si>
  <si>
    <t>47.117</t>
  </si>
  <si>
    <t xml:space="preserve">Brief Answer
Yes — the plan covers several infertility-related services, including infertility diagnosis and treatment services, IVF, ICSI, oocyte retrieval, and certain artificial insemination services. Some services are not covered, including GIFT and ZIFT, and fertility-preservation benefits may also apply if treatment could cause iatrogenic infertility.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For Access+: The patient does not need a referral for: Emergency Services; Urgent Services; Access+ Specialist visits; OB/GYN services by an obstetrician, gynecologist, or family practice Physician within the patient's Medical Group; and Office visits with the patient's primary care physician (PCP). The Access+ specialist visit includes: (1) An examination or consultation without referral from personal physician; (2) Conventional X-rays; (3) Laboratory Services; (4) Diagnostic or treatment procedures which a plan specialist would regularly provide under a referral.
A. Infertility diagnosis and treatment services:
In-Network Provider
- Injections Inpatient: No Charge.
- Injections Outpatient: No Charge.
- Injections Office: No Charge.
- Lab and Pathology Outpatient: No Charge.
- Outpatient Facility: No Charge.
- Visit Inpatient: No Charge.
- Visit Office: $15 per visit.  This service applies to the Annual Copay Max of $2,500 for individual or $5,000 for family.When the plan's out-of-pocket maximum amount is satisfied, the health plan will reimburse 100% of the allowed amount..
Additional details:
- The EOC says these benefits are provided for the diagnosis and treatment of Infertility, including professional, Hospital, Ambulatory Surgery Center, and related services to diagnose and treat Infertility.
Out-of-Network Provider
- For out-of-network providers, the member is responsible for 100% of the provider's billed amount, as the plan only covers in-network providers.
B. Assisted reproductive infertility services:
In-Network Provider
- Cryopreservation of embryos, oocytes, sperm, reproductive tissue: No Charge; limit: 1 procedure per year up to 1 year.
- In vitro fertilization (IVF): No Charge.
- Intracytoplasmic sperm injection (ICSI): No Charge.
- Natural artificial inseminations without ovum stimulation: No Charge; limit: 6 procedures per lifetime.
- Oocyte (egg) retrieval: No Charge; limit: 3 procedures per lifetime.
- Stimulated artificial inseminations with ovum stimulation: No Charge; limit: 6 procedures per lifetime.
Additional details:
- The EOC lists these covered infertility services: artificial insemination, oocyte retrievals, IVF, unlimited embryo transfers, cryopreservation storage of sperm/oocytes/reproductive tissue/embryos, ICSI, preimplantation genetic testing, and treatment of low sperm count.
- The following infertility services are not covered: GIFT, ZIFT, services incident to or resulting from surrogate pregnancy for a person not otherwise eligible for covered pregnancy and maternity care, reversal of surgical sterilization except for complications, and MESA/PESA/TESA except for treatment of low sperm count.
Out-of-Network Provider
- For out-of-network providers, the member is responsible for 100% of the provider's billed amount, as the plan only covers in-network providers.
C. Fertility preservation services for iatrogenic infertility:
In-Network Provider
- Iatrogenic Fertility - Ambulatory Surgery Center (ASC): 5% Coinsurance; subject to the deductible.
- Iatrogenic Fertility - Lab Outpatient: No Charge.
- Iatrogenic Fertility - Professional Inpatient: No Charge.
- Iatrogenic Fertility - Professional Office: $15 per visit.
- Iatrogenic Fertility - Professional Outpatient: No Charge.
Additional details:
- These services are covered for Members undergoing treatment or receiving covered benefits that may directly or indirectly cause iatrogenic infertility.
- The EOC says standard fertility preservation services include retrieval and cryopreservation and storage of sperm, oocytes, gonadal tissue, and embryos.
Out-of-Network Provider
- For out-of-network providers, the member is responsible for 100% of the provider's billed amount, as the plan only covers in-network providers.
</t>
  </si>
  <si>
    <t xml:space="preserve">Minera Response (Needs to be human validated)
Yes—this plan includes benefits for infertility diagnosis and treatment (including services like IUI, egg retrieval, IVF, and related lab/facility/professional services), subject to the plan’s deductible and the applicable copay/coinsurance. Some assisted reproductive procedures (e.g., GIFT and ZIFT) show as not covered in the current plan document.
──────────────────────────────────────────────────
Detailed Explanation
Infertility — Diagnosis and Treatment of the Cause of Infertility (Infertility Diagnosis &amp; Treatment Benefits):
#### 1) Injections Inpatient
In-Network Provider
For in-network providers,
The plan has a $750 deductible per person, not to exceed $2,250 per family. [1]
Diagnosis and Treatment of the Cause of infertility - Injections IP is subject to this deductible. Once the deductible is met, [2]
The coinsurance is 20% of the allowed amount, and the plan will reimburse the remaining 80% of the allowed amount for Diagnosis and Treatment of the Cause of infertility - Injections IP services. [2]
The service applies to the plan's out-of-pocket maximum amount of $6,250 individual out-of-pocket maximum, not to exceed $12,500 per family. When the plan's out-of-pocket maximum amount is satisfied, the health plan will reimburse 100% of the allowed amount. [2]
Out-of-Network Provider
For out-of-network providers, .
An out-of-network provider has the right to bill for the balance. What this means is that the member may be responsible for the difference between the allowed amount and billed amount. [3]
The plan has a $750 deductible per person, not to exceed $2,250 per family. [1]
Diagnosis and Treatment of the Cause of infertility - Injections IP is subject to this deductible. Once the deductible is met, [3]
The coinsurance is 40% of the allowed amount, and the plan will reimburse the remaining 60% of the allowed amount for Diagnosis and Treatment of the Cause of infertility - Injections IP services. [3]
The service applies to the plan's out-of-pocket maximum amount of $10,750 individual out-of-pocket maximum, not to exceed $21,500 per family. When the plan's out-of-pocket maximum amount is satisfied, the health plan will reimburse 100% of the allowed amount. [3]
#### 2) Injections Outpatient
In-Network Provider
For in-network providers,
The plan has a $750 deductible per person, not to exceed $2,250 per family. [1]
Diagnosis and Treatment of the Cause of infertility - Injections OP is subject to this deductible. Once the deductible is met, [4]
The coinsurance is 20% of the allowed amount, and the plan will reimburse the remaining 80% of the allowed amount for Diagnosis and Treatment of the Cause of infertility - Injections OP services. [4]
The service applies to the plan's out-of-pocket maximum amount of $6,250 individual out-of-pocket maximum, not to exceed $12,500 per family. When the plan's out-of-pocket maximum amount is satisfied, the health plan will reimburse 100% of the allowed amount. [4]
Out-of-Network Provider
For out-of-network providers, .
An out-of-network provider has the right to bill for the balance. What this means is that the member may be responsible for the difference between the allowed amount and billed amount. [5]
The plan has a $750 deductible per person, not to exceed $2,250 per family. [1]
Diagnosis and Treatment of the Cause of infertility - Injections OP is subject to this deductible. Once the deductible is met, [5]
The coinsurance is 40% of the allowed amount, and the plan will reimburse the remaining 60% of the allowed amount for Diagnosis and Treatment of the Cause of infertility - Injections OP services. [5]
The service applies to the plan's out-of-pocket maximum amount of $10,750 individual out-of-pocket maximum, not to exceed $21,500 per family. When the plan's out-of-pocket maximum amount is satisfied, the health plan will reimburse 100% of the allowed amount. [5]
#### 3) Injections Office
In-Network Provider
For in-network providers,
The plan has a $750 deductible per person, not to exceed $2,250 per family. [1]
Diagnosis and Treatment of the Cause of infertility - Injections Office is subject to this deductible. Once the deductible is met, [6]
The coinsurance is 20% of the allowed amount, and the plan will reimburse the remaining 80% of the allowed amount for Diagnosis and Treatment of the Cause of infertility - Injections Office services. [6]
The service applies to the plan's out-of-pocket maximum amount of $6,250 individual out-of-pocket maximum, not to exceed $12,500 per family. When the plan's out-of-pocket maximum amount is satisfied, the health plan will reimburse 100% of the allowed amount. [6]
Out-of-Network Provider
For out-of-network providers, .
An out-of-network provider has the right to bill for the balance. What this means is that the member may be responsible for the difference between the allowed amount and billed amount. [7]
The plan has a $750 deductible per person, not to exceed $2,250 per family. [1]
Diagnosis and Treatment of the Cause of infertility - Injections Office is subject to this deductible. Once the deductible is met, [7]
The coinsurance is 40% of the allowed amount, and the plan will reimburse the remaining 60% of the allowed amount for Diagnosis and Treatment of the Cause of infertility - Injections Office services. [7]
The service applies to the plan's out-of-pocket maximum amount of $10,750 individual out-of-pocket maximum, not to exceed $21,500 per family. When the plan's out-of-pocket maximum amount is satisfied, the health plan will reimburse 100% of the allowed amount. [7]
#### 4) Lab and Pathology Outpatient
In-Network Provider
For in-network providers,
The plan has a $750 deductible per person, not to exceed $2,250 per family. [1]
Diagnosis and Treatment of the Cause of infertility - Lab &amp; Pathology OP is subject to this deductible. Once the deductible is met, [8]
The copay for Diagnosis and Treatment of the Cause of infertility - Lab &amp; Pathology OP services is $30. [8]
The service applies to the plan's out-of-pocket maximum amount of $6,250 individual out-of-pocket maximum, not to exceed $12,500 per family. When the plan's out-of-pocket maximum amount is satisfied, the health plan will reimburse 100% of the allowed amount. [8]
Out-of-Network Provider
For out-of-network providers, .
An out-of-network provider has the right to bill for the balance. What this means is that the member may be responsible for the difference between the allowed amount and billed amount. [9]
The plan has a $750 deductible per person, not to exceed $2,250 per family. [1]
Diagnosis and Treatment of the Cause of infertility - Lab &amp; Pathology OP is subject to this deductible. Once the deductible is met, [9]
The coinsurance is 40% of the allowed amount, and the plan will reimburse the remaining 60% of the allowed amount for Diagnosis and Treatment of the Cause of infertility - Lab &amp; Pathology OP services. [9]
The service applies to the plan's out-of-pocket maximum amount of $10,750 individual out-of-pocket maximum, not to exceed $21,500 per family. When the plan's out-of-pocket maximum amount is satisfied, the health plan will reimburse 100% of the allowed amount. [9]
#### 5) Outpatient Facility
In-Network Provider
For in-network providers,
The plan has a $750 deductible per person, not to exceed $2,250 per family. [1]
Diagnosis and Treatment of the Cause of infertility - Outpatient Facility is subject to this deductible. Once the deductible is met, [10]
The coinsurance is 20% of the allowed amount, and the plan will reimburse the remaining 80% of the allowed amount for Diagnosis and Treatment of the Cause of infertility - Outpatient Facility services. [10]
The service applies to the plan's out-of-pocket maximum amount of $6,250 individual out-of-pocket maximum, not to exceed $12,500 per family. When the plan's out-of-pocket maximum amount is satisfied, the health plan will reimburse 100% of the allowed amount. [10]
Out-of-Network Provider
For out-of-network providers, .
An out-of-network provider has the right to bill for the balance. What this means is that the member may be responsible for the difference between the allowed amount and billed amount. [11]
The plan has a $750 deductible per person, not to exceed $2,250 per family. [1]
Diagnosis and Treatment of the Cause of infertility - Outpatient Facility is subject to this deductible. Once the deductible is met, [11]
The coinsurance is 40% of the allowed amount, and the plan will reimburse the remaining 60% of the allowed amount for Diagnosis and Treatment of the Cause of infertility - Outpatient Facility services. [11]
This plan has a maximum payable amount of up to $350 per day. This means the member would also be responsible for all charges above $350 per day. [11]
The service applies to the plan's out-of-pocket maximum amount of $10,750 individual out-of-pocket maximum, not to exceed $21,500 per family. When the plan's out-of-pocket maximum amount is satisfied, the health plan will reimburse 100% of the allowed amount. [11]
#### 6) Visit Inpatient
In-Network Provider
For in-network providers,
The plan has a $750 deductible per person, not to exceed $2,250 per family. [1]
Diagnosis and Treatment of the Cause of infertility - Visit IP is subject to this deductible. Once the deductible is met, [12]
The coinsurance is 20% of the allowed amount, and the plan will reimburse the remaining 80% of the allowed amount for Diagnosis and Treatment of the Cause of infertility - Visit IP services. [12]
The service applies to the plan's out-of-pocket maximum amount of $6,250 individual out-of-pocket maximum, not to exceed $12,500 per family. When the plan's out-of-pocket maximum amount is satisfied, the health plan will reimburse 100% of the allowed amount. [12]
Out-of-Network Provider
For out-of-network providers, .
An out-of-network provider has the right to bill for the balance. What this means is that the member may be responsible for the difference between the allowed amount and billed amount. [13]
The plan has a $750 deductible per person, not to exceed $2,250 per family. [1]
Diagnosis and Treatment of the Cause of infertility - Visit IP is subject to this deductible. Once the deductible is met, [13]
The coinsurance is 40% of the allowed amount, and the plan will reimburse the remaining 60% of the allowed amount for Diagnosis and Treatment of the Cause of infertility - Visit IP services. [13]
The service applies to the plan's out-of-pocket maximum amount of $10,750 individual out-of-pocket maximum, not to exceed $21,500 per family. When the plan's out-of-pocket maximum amount is satisfied, the health plan will reimburse 100% of the allowed amount. [13]
#### 7) Visit Office
In-Network Provider
For in-network providers,
The plan has a $750 deductible per person, not to exceed $2,250 per family. [1]
However, Diagnosis and Treatment of the Cause of infertility - Visit Office is not subject to the deductible. [14]
The copay for Diagnosis and Treatment of the Cause of infertility - Visit Office services is $30. [14]
The service applies to the plan's out-of-pocket maximum amount of $6,250 individual out-of-pocket maximum, not to exceed $12,500 per family. When the plan's out-of-pocket maximum amount is satisfied, the health plan will reimburse 100% of the allowed amount. [14]
Out-of-Network Provider
For out-of-network providers, .
An out-of-network provider has the right to bill for the balance. What this means is that the member may be responsible for the difference between the allowed amount and billed amount. [15]
The plan has a $750 deductible per person, not to exceed $2,250 per family. [1]
Diagnosis and Treatment of the Cause of infertility - Visit Office is subject to this deductible. Once the deductible is met, [15]
The coinsurance is 40% of the allowed amount, and the plan will reimburse the remaining 60% of the allowed amount for Diagnosis and Treatment of the Cause of infertility - Visit Office services. [15]
The service applies to the plan's out-of-pocket maximum amount of $10,750 individual out-of-pocket maximum, not to exceed $21,500 per family. When the plan's out-of-pocket maximum amount is satisfied, the health plan will reimburse 100% of the allowed amount. [15]
──────────────────────────────────────────────────
Infertility — Assisted Reproductive Benefits (Infertility):
#### 1) Cryopreservation of embryos, oocytes, sperm, reproductive tissue (Retrieved from a Member)
In-Network Provider
For in-network providers,
The plan has a $750 deductible per person, not to exceed $2,250 per family. [1]
Cryopreservation Storage - Embryos - Professional All POS - Yearly is subject to this deductible. Once the deductible is met, [16]
The coinsurance is 20% of the allowed amount, and the plan will reimburse the remaining 80% of the allowed amount for Cryopreservation Storage - Embryos - Professional All POS - Yearly services. [16]
This plan has a limit of 1 per year up to 1 year. [16]
The service applies to the plan's out-of-pocket maximum amount of $6,250 individual out-of-pocket maximum, not to exceed $12,500 per family. When the plan's out-of-pocket maximum amount is satisfied, the health plan will reimburse 100% of the allowed amount. [16]
Out-of-Network Provider
For out-of-network providers, .
An out-of-network provider has the right to bill for the balance. What this means is that the member may be responsible for the difference between the allowed amount and billed amount. [17]
The plan has a $750 deductible per person, not to exceed $2,250 per family. [1]
Cryopreservation Storage - Embryos - Professional All POS - Yearly is subject to this deductible. Once the deductible is met, [17]
The coinsurance is 40% of the allowed amount, and the plan will reimburse the remaining 60% of the allowed amount for Cryopreservation Storage - Embryos - Professional All POS - Yearly services. [17]
This plan has a limit of 1 per year up to 1 year. [17]
The service applies to the plan's out-of-pocket maximum amount of $10,750 individual out-of-pocket maximum, not to exceed $21,500 per family. When the plan's out-of-pocket maximum amount is satisfied, the health plan will reimburse 100% of the allowed amount. [17]
#### 2) Gamete intrafallopian transfer (GIFT)
In-Network Provider
The Gamete intrafallopian transfer (GIFT) is not a benefit of this health plan. The member would be responsible for 100% of the billed amount. [18]
Out-of-Network Provider
The Gamete intrafallopian transfer (GIFT) is not a benefit of this health plan. The member would be responsible for 100% of the billed amount. [18]
#### 3) In vitro fertilization (IVF)
In-Network Provider
For in-network providers,
The plan has a $750 deductible per person, not to exceed $2,250 per family. [1]
In Vitro Fertilization (IVF) - w/Limit - Embryo Transfer - Professional Inpatient is subject to this deductible. Once the deductible is met, [19]
The coinsurance is 20% of the allowed amount, and the plan will reimburse the remaining 80% of the allowed amount for In Vitro Fertilization (IVF) - w/Limit - Embryo Transfer - Professional Inpatient services. [19]
The service applies to the plan's out-of-pocket maximum amount of $6,250 individual out-of-pocket maximum, not to exceed $12,500 per family. When the plan's out-of-pocket maximum amount is satisfied, the health plan will reimburse 100% of the allowed amount. [19]
Out-of-Network Provider
For out-of-network providers, .
An out-of-network provider has the right to bill for the balance. What this means is that the member may be responsible for the difference between the allowed amount and billed amount. [20]
The plan has a $750 deductible per person, not to exceed $2,250 per family. [1]
In Vitro Fertilization (IVF) - w/Limit - Embryo Transfer - Professional Inpatient is subject to this deductible. Once the deductible is met, [20]
The coinsurance is 40% of the allowed amount, and the plan will reimburse the remaining 60% of the allowed amount for In Vitro Fertilization (IVF) - w/Limit - Embryo Transfer - Professional Inpatient services. [20]
The service applies to the plan's out-of-pocket maximum amount of $10,750 individual out-of-pocket maximum, not to exceed $21,500 per family. When the plan's out-of-pocket maximum amount is satisfied, the health plan will reimburse 100% of the allowed amount. [20]
#### 4) Intracytoplasmic sperm injection (ICSI)
In-Network Provider
For in-network providers,
The plan has a $750 deductible per person, not to exceed $2,250 per family. [1]
ICSI - Professional All POS is subject to this deductible. Once the deductible is met, [21]
The copay for ICSI - Professional All POS services is $30. [21]
The service applies to the plan's out-of-pocket maximum amount of $6,250 individual out-of-pocket maximum, not to exceed $12,500 per family. When the plan's out-of-pocket maximum amount is satisfied, the health plan will reimburse 100% of the allowed amount. [21]
Out-of-Network Provider
For out-of-network providers, .
An out-of-network provider has the right to bill for the balance. What this means is that the member may be responsible for the difference between the allowed amount and billed amount. [22]
The plan has a $750 deductible per person, not to exceed $2,250 per family. [1]
ICSI - Professional All POS is subject to this deductible. Once the deductible is met, [22]
The coinsurance is 40% of the allowed amount, and the plan will reimburse the remaining 60% of the allowed amount for ICSI - Professional All POS services. [22]
The service applies to the plan's out-of-pocket maximum amount of $10,750 individual out-of-pocket maximum, not to exceed $21,500 per family. When the plan's out-of-pocket maximum amount is satisfied, the health plan will reimburse 100% of the allowed amount. [22]
#### 5) Natural artificial inseminations without ovum stimulation
In-Network Provider
For in-network providers,
The plan has a $750 deductible per person, not to exceed $2,250 per family. [1]
Artificial Insemination Unassisted - Professional Inpatient is subject to this deductible. Once the deductible is met, [23]
The coinsurance is 20% of the allowed amount, and the plan will reimburse the remaining 80% of the allowed amount for Artificial Insemination Unassisted - Professional Inpatient services. [23]
This plan has a limit of 6 per lifetime. [23]
The service applies to the plan's out-of-pocket maximum amount of $6,250 individual out-of-pocket maximum, not to exceed $12,500 per family. When the plan's out-of-pocket maximum amount is satisfied, the health plan will reimburse 100% of the allowed amount. [23]
Out-of-Network Provider
For out-of-network providers, .
An out-of-network provider has the right to bill for the balance. What this means is that the member may be responsible for the difference between the allowed amount and billed amount. [24]
The plan has a $750 deductible per person, not to exceed $2,250 per family. [1]
Artificial Insemination Unassisted - Professional Inpatient is subject to this deductible. Once the deductible is met, [24]
The coinsurance is 40% of the allowed amount, and the plan will reimburse the remaining 60% of the allowed amount for Artificial Insemination Unassisted - Professional Inpatient services. [24]
This plan has a limit of 6 per lifetime. [24]
The service applies to the plan's out-of-pocket maximum amount of $10,750 individual out-of-pocket maximum, not to exceed $21,500 per family. When the plan's out-of-pocket maximum amount is satisfied, the health plan will reimburse 100% of the allowed amount. [24]
#### 6) Oocyte (egg) retrieval
In-Network Provider
For in-network providers,
The plan has a $750 deductible per person, not to exceed $2,250 per family. [1]
Always ART Procedures - Oocyte Retrieval - Professional Inpatient is subject to this deductible. Once the deductible is met, [25]
The coinsurance is 20% of the allowed amount, and the plan will reimburse the remaining 80% of the allowed amount for Always ART Procedures - Oocyte Retrieval - Professional Inpatient services. [25]
This plan has a limit of 3 per lifetime. [25]
The service applies to the plan's out-of-pocket maximum amount of $6,250 individual out-of-pocket maximum, not to exceed $12,500 per family. When the plan's out-of-pocket maximum amount is satisfied, the health plan will reimburse 100% of the allowed amount. [25]
Out-of-Network Provider
For out-of-network providers, .
An out-of-network provider has the right to bill for the balance. What this means is that the member may be responsible for the difference between the allowed amount and billed amount. [26]
The plan has a $750 deductible per person, not to exceed $2,250 per family. [1]
Always ART Procedures - Oocyte Retrieval - Professional Inpatient is subject to this deductible. Once the deductible is met, [26]
The coinsurance is 40% of the allowed amount, and the plan will reimburse the remaining 60% of the allowed amount for Always ART Procedures - Oocyte Retrieval - Professional Inpatient services. [26]
This plan has a limit of 3 per lifetime. [26]
The service applies to the plan's out-of-pocket maximum amount of $10,750 individual out-of-pocket maximum, not to exceed $21,500 per family. When the plan's out-of-pocket maximum amount is satisfied, the health plan will reimburse 100% of the allowed amount. [26]
#### 7) Stimulated artificial inseminations with ovum stimulation
In-Network Provider
For in-network providers,
The plan has a $750 deductible per person, not to exceed $2,250 per family. [1]
Artificial Insemination Assisted - Professional Inpatient is subject to this deductible. Once the deductible is met, [27]
The coinsurance is 20% of the allowed amount, and the plan will reimburse the remaining 80% of the allowed amount for Artificial Insemination Assisted - Professional Inpatient services. [27]
This plan has a limit of 6 per lifetime. [27]
The service applies to the plan's out-of-pocket maximum amount of $6,250 individual out-of-pocket maximum, not to exceed $12,500 per family. When the plan's out-of-pocket maximum amount is satisfied, the health plan will reimburse 100% of the allowed amount. [27]
Out-of-Network Provider
For out-of-network providers, .
An out-of-network provider has the right to bill for the balance. What this means is that the member may be responsible for the difference between the allowed amount and billed amount. [28]
The plan has a $750 deductible per person, not to exceed $2,250 per family. [1]
Artificial Insemination Assisted - Professional Inpatient is subject to this deductible. Once the deductible is met, [28]
The coinsurance is 40% of the allowed amount, and the plan will reimburse the remaining 60% of the allowed amount for Artificial Insemination Assisted - Professional Inpatient services. [28]
This plan has a limit of 6 per lifetime. [28]
The service applies to the plan's out-of-pocket maximum amount of $10,750 individual out-of-pocket maximum, not to exceed $21,500 per family. When the plan's out-of-pocket maximum amount is satisfied, the health plan will reimburse 100% of the allowed amount. [28]
#### 8) Zygote intrafallopian transfer (ZIFT)
In-Network Provider
The Zygote intrafallopian transfer (ZIFT) is not a benefit of this health plan. The member would be responsible for 100% of the billed amount. [29]
Out-of-Network Provider
The Zygote intrafallopian transfer (ZIFT) is not a benefit of this health plan. The member would be responsible for 100% of the billed amount. [29]
</t>
  </si>
  <si>
    <t>KT0505 - LLM Rule 17 OOPM</t>
  </si>
  <si>
    <t>Response did not include OOP for Office Visit</t>
  </si>
  <si>
    <t xml:space="preserve">Cryopreservation storage
Natural artificial inseminations 
Stimulated artificial inseminations
Oocyte (egg) retrieval </t>
  </si>
  <si>
    <t>Is there a maximum number of procedures I can have for different infertility services?</t>
  </si>
  <si>
    <t xml:space="preserve">Brief Answer 
Yes. Several infertility services have specific procedure maximums (for example, “per lifetime” or “per year”). Other infertility-related services in this plan do not show a procedure maximum in the current plan data.
──────────────────────────────────────────────────
Detailed Explanation
Below are the infertility services in the plan data that explicitly list a maximum number of procedures (limits). Each item includes both In-Network Provider and Out-of-Network Provider details, as required for this PPO plan.
1) Cryopreservation storage (embryos/oocytes/sperm/reproductive tissue retrieved from a Member):
In-Network Provider 
For in-network providers: 
the plan has a $1,500 deductible per person, not to exceed $3,000 per family.  
Cryopreservation of embryos, oocytes, sperm, reproductive tissue (Retrieved from a Member) is subject to this deductible. Once the deductible is met,  
The coinsurance is 20% of the allowed amount, and the plan will reimburse the remaining 80% of the allowed amount for Cryopreservation of embryos, oocytes, sperm, reproductive tissue (Retrieved from a Member).  
The service applies to the plan's out-of-pocket maximum amount of $5,500, not to exceed $11,000 per family. When the plan's out-of-pocket maximum amount is satisfied, the health plan will reimburse 100% of the allowed amount.  
This plan has a limit of 1 per year up to 1 year.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Cryopreservation of embryos, oocytes, sperm, reproductive tissue (Retrieved from a Member) is subject to this deductible. Once the deductible is met,  
The coinsurance is 40% of the allowed amount, and the plan will reimburse the remaining 60% of the allowed amount for Cryopreservation of embryos, oocytes, sperm, reproductive tissue (Retrieved from a Member).  
The service applies to the plan's out-of-pocket maximum amount of $10,000, not to exceed $20,000 per family. When the plan's out-of-pocket maximum amount is satisfied, the health plan will reimburse 100% of the allowed amount.  
This plan has a limit of 1 per year up to 1 year. 
──────────────────────────────────────────────────
2) Natural artificial inseminations (without ovum stimulation):
In-Network Provider 
For in-network providers: 
the plan has a $1,500 deductible per person, not to exceed $3,000 per family.  
Natural artificial inseminations without ovum [oocyte or ovarian tissue (egg)] stimulation is subject to this deductible. Once the deductible is met,  
The coinsurance is 20% of the allowed amount, and the plan will reimburse the remaining 80% of the allowed amount for Natural artificial inseminations without ovum [oocyte or ovarian tissue (egg)] stimulation.  
The service applies to the plan's out-of-pocket maximum amount of $5,500, not to exceed $11,000 per family. When the plan's out-of-pocket maximum amount is satisfied, the health plan will reimburse 100% of the allowed amount.  
This plan has a limit of 6 per lifetime.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Natural artificial inseminations without ovum [oocyte or ovarian tissue (egg)] stimulation is subject to this deductible. Once the deductible is met,  
The coinsurance is 40% of the allowed amount, and the plan will reimburse the remaining 60% of the allowed amount for Natural artificial inseminations without ovum [oocyte or ovarian tissue (egg)] stimulation.  
The service applies to the plan's out-of-pocket maximum amount of $10,000, not to exceed $20,000 per family. When the plan's out-of-pocket maximum amount is satisfied, the health plan will reimburse 100% of the allowed amount.  
This plan has a limit of 6 per lifetime. 
──────────────────────────────────────────────────
3) Stimulated artificial inseminations (with ovum stimulation):
In-Network Provider 
For in-network providers: 
the plan has a $1,500 deductible per person, not to exceed $3,000 per family.  
Stimulated artificial inseminations with ovum (oocyte or ovarian tissue) stimulation is subject to this deductible. Once the deductible is met,  
The coinsurance is 20% of the allowed amount, and the plan will reimburse the remaining 80% of the allowed amount for Stimulated artificial inseminations with ovum (oocyte or ovarian tissue) stimulation.  
The service applies to the plan's out-of-pocket maximum amount of $5,500, not to exceed $11,000 per family. When the plan's out-of-pocket maximum amount is satisfied, the health plan will reimburse 100% of the allowed amount.  
This plan has a limit of 6 per lifetime.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Stimulated artificial inseminations with ovum (oocyte or ovarian tissue) stimulation is subject to this deductible. Once the deductible is met,  
The coinsurance is 40% of the allowed amount, and the plan will reimburse the remaining 60% of the allowed amount for Stimulated artificial inseminations with ovum (oocyte or ovarian tissue) stimulation.  
The service applies to the plan's out-of-pocket maximum amount of $10,000, not to exceed $20,000 per family. When the plan's out-of-pocket maximum amount is satisfied, the health plan will reimburse 100% of the allowed amount.  
This plan has a limit of 6 per lifetime. 
──────────────────────────────────────────────────
4) Oocyte (egg) retrieval:
In-Network Provider 
For in-network providers: 
the plan has a $1,500 deductible per person, not to exceed $3,000 per family.  
Oocyte (egg) retrieval is subject to this deductible. Once the deductible is met,  
The coinsurance is 20% of the allowed amount, and the plan will reimburse the remaining 80% of the allowed amount for Oocyte (egg) retrieval.  
The service applies to the plan's out-of-pocket maximum amount of $5,500, not to exceed $11,000 per family. When the plan's out-of-pocket maximum amount is satisfied, the health plan will reimburse 100% of the allowed amount.  
This plan has a limit of 3 per lifetime.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Oocyte (egg) retrieval is subject to this deductible. Once the deductible is met,  
The coinsurance is 40% of the allowed amount, and the plan will reimburse the remaining 60% of the allowed amount for Oocyte (egg) retrieval.  
The service applies to the plan's out-of-pocket maximum amount of $10,000, not to exceed $20,000 per family. When the plan's out-of-pocket maximum amount is satisfied, the health plan will reimburse 100% of the allowed amount.  
This plan has a limit of 3 per lifetime. 
──────────────────────────────────────────────────
Infertility services shown without a “procedure maximum” in the plan data:
Some infertility services appear in the plan data but do not show a procedure limit (for example: IVF, ICSI). That doesn’t necessarily mean “unlimited”—only that a maximum number of procedures was not listed for those specific entries in the data provided. 
</t>
  </si>
  <si>
    <t>Medical treatment of the teeth, gums, jaw joints, and jaw bones</t>
  </si>
  <si>
    <t>I have TMJ, what services are covered?</t>
  </si>
  <si>
    <t xml:space="preserve">Brief Answer 
The plan covers medical treatment of the jaw joints/jaw bones (including TMJ) when it’s medical treatment (not routine dental).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TMJ-related services the plan says are covered  (when medically necessary):
Under “Medical treatment of the teeth, gums, jaw joints, and jaw bones”, the plan states benefits are available for outpatient, Hospital, and professional services for treatment of the jaw joints and jaw bones, including adjacent tissues, and specifically includes:  
- Surgical treatment of temporomandibular joint syndrome (TMJ)  
- Non-surgical treatment of TMJ 
TMJ-related services the plan says are not covered (or limited):
The same section lists items not included, such as:  
- Diagnostic dental services (oral exams, oral pathology/oral medicine, X-rays, models of the teeth) except when related to surgical and non-surgical treatment of TMJ  
- Preventive dental services (e.g., cleanings) (except as covered under Preventive Health Services)  
- Periodontal care and routine oral surgery including removal of teeth  
- Reconstructive/restorative dental services (crowns, fillings, root canals)  
- Dental implants (except when directly related to cleft palate repair)  
- Procedures to prepare the mouth for dentures  
Network (required per plan type):
In-Network Provider 
For in-network providers:  
- Treatment is covered at 100% for medically necessary TMJ treatment with 0 cost share.
Out-of-Network Provider 
For out-of-network providers, the member is responsible for 100% of the provider's billed amount, as the plan only covers in-network providers.
</t>
  </si>
  <si>
    <t>KT0509 - LLM Rule Cost Share</t>
  </si>
  <si>
    <t>Removed: However, I couldn’t find the specific cost-share amounts for TMJ in the current plan document provided.
Added: n-Network Provider 
For in-network providers:  
- Treatment is covered at 100% for medically necessary TMJ treatment with 0 cost share.</t>
  </si>
  <si>
    <t>Mental Health and Substance Use Disorder Benefits</t>
  </si>
  <si>
    <t>Substance Abuse</t>
  </si>
  <si>
    <t>Are outpatient behavioral health services for substance use disorder covered?</t>
  </si>
  <si>
    <t xml:space="preserve">Brief Answer 
Yes—outpatient behavioral health services for Substance Use Disorder are covered under this HMO plan. In-network, the plan shows $20 per visit for Substance Use Disorder office visits/counseling, and some other outpatient SUD services show No Charge.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behavioral health — Substance Use Disorder:
#### Substance use disorder counseling (office visit/consultation)
In-Network Provider 
For in-network providers:  
the plan has a $1,500 deductible per person, not to exceed $3,000 per family.  
However, Substance Use Disorder counseling (office visit/consultation) is not subject to the deductible.  
The copay for Substance Use Disorder counseling (office visit/consultation) services is $20 per visit.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Other outpatient Substance Use Disorder services (non-routine outpatient services)
In-Network Provider 
For in-network providers:  
the plan has a $1,500 deductible per person, not to exceed $3,000 per family.  
However, Non-Routine Outpatient Mental Health Services (also used for “Other outpatient services” in this section) is not subject to the deductible.  
The plan will reimburse the provider 100% of the allowed amount for Other outpatient services (non-routine outpatient services).  
*(OOPM applicability is not indicated for this specific benefit line in the plan data.)* 
Out-of-Network Provider 
For out-of-network providers, the member is responsible for 100% of the provider's billed amount, as the plan only covers in-network providers. 
</t>
  </si>
  <si>
    <t>Office Visit</t>
  </si>
  <si>
    <t>Does my plan cover visits to a therapist or counselor for mental health support?</t>
  </si>
  <si>
    <t xml:space="preserve">Brief Answer 
Yes—this plan covers mental health counseling/therapy visits. In-network mental health office visits are $20 copay per visit; out-of-network visits are 40% coinsurance and the provider may bill the Member for the balance.
──────────────────────────────────────────────────
Detailed Explanation
Mental Health or Substance Use Disorder Benefits (Office visits):
In-Network Provider 
For in-network providers: 
the plan has a $250 deductible per person, not to exceed $750 per family.  
However, Mental health office visit is not subject to the deductible. Once the deductible is met,  
The copay for Mental health office visit services is $20.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Mental health office visit is subject to this deductible. Once the deductible is met,  
The coinsurance is 40% of the allowed amount, and the plan will reimburse the remaining 60% of the allowed amount for Mental health office visit.  
The service applies to the plan's out-of-pocket maximum amount of $10,250, not to exceed $20,500 per family. When the plan's out-of-pocket maximum amount is satisfied, the health plan will reimburse 100% of the allowed amount. 
</t>
  </si>
  <si>
    <t>How much will I have to pay for mental health therapy sessions under my insurance plan (what’s the copay or coinsurance)?</t>
  </si>
  <si>
    <t xml:space="preserve">Brief Answer 
For outpatient mental health therapy sessions (office visits) with a Participating Provider, the plan shows a $25 copay per visit. There is no out-of-network coverage for this plan, the member would be responsible for 100% of the billed charges if going to an out-of-network provider.
──────────────────────────────────────────────────
Detailed Explanation
Exclusive Provider Organization (EPO) Disclaimer:
This is an Exclusive Provider Organization (EPO) plan. You must receive all Covered Benefits from a Participating Provider,  the exception is with Emergency or Urgent Services.
Mental Health Therapy (Outpatient Office Visit):
#### In-Network Provider (Participating Provider)
For in-network providers: 
the plan has a $2,500 deductible per person, not to exceed $5,000 per family.  
However, Mental health outpatient office visit is not subject to the deductible. Once the deductible is met,  
The copay for Mental health outpatient office visit services is $25.  
The service applies to the plan's out-of-pocket maximum amount of $5,000, not to exceed $10,000 per family. When the plan's out-of-pocket maximum amount is satisfied, the health plan will reimburse 100% of the allowed amount. 
#### Out-of-Network Provider (Non-Participating Provider)
For out-of-network providers:  
Out-of-network providers are not covered under this plan.
</t>
  </si>
  <si>
    <t>Outpatient: Mental health
Outpatient: Other outpatient services</t>
  </si>
  <si>
    <t>Is Dialectical Behavior Therapy (DBT) covered?</t>
  </si>
  <si>
    <t xml:space="preserve">Brief Answer 
Yes — Dialectical Behavior Therapy (DBT) would be covered under the plan’s outpatient Mental Health benefits when it is provided by a Participating Provider. The plan document does not list “DBT” by name, but DBT is a psychotherapy service that fits within outpatient mental health office visits and other outpatient mental health services.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Mental Health — Office Visit/Consultation (typical DBT session):
In-Network Provider 
For in-network providers:  
the plan does not have a deductible.
The copay for Outpatient Mental Health — Office Visit/Consultation services is $25.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B) Outpatient Mental Health — Other Outpatient Services (DBT in a non-office outpatient setting/program):
In-Network Provider 
For in-network providers:  
the plan does not have a deductible.  
The plan will reimburse the provider 100% of the allowed amount for Outpatient Mental Health — Other Outpatient Services. 
Out-of-Network Provider 
For out-of-network providers, the member is responsible for 100% of the provider's billed amount, as the plan only covers in-network providers.
</t>
  </si>
  <si>
    <t>removed "However,... is not subject to the deductible" as plan does not have a deductible.</t>
  </si>
  <si>
    <t>Outpatient
Mental health</t>
  </si>
  <si>
    <t>Is Group Therapy covered?</t>
  </si>
  <si>
    <t xml:space="preserve">Brief Answer 
Yes—group therapy is covered under the plan’s Mental Health or Substance Use Disorder benefits when it is medically necessary. Cost share depends on whether the provider is in-network vs. out-of-network.
──────────────────────────────────────────────────
Detailed Explanation
Mental Health or Substance Use Disorder — Office visits (includes individual, family, or group setting):
In-Network Provider 
For in-network providers:  
the plan has a $250 deductible per person, not to exceed $750 per family.  
However, Office Visit/Consultation Mental Health - Physician is not subject to the deductible.  
The copay for Office Visit/Consultation Mental Health - Physician services is $10.  
The service applies to the plan's out-of-pocket maximum amount of $2,250, not to exceed $4,500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Office Visit/Consultation Mental Health - Physician is subject to this deductible. Once the deductible is met,  
The coinsurance is 30% of the allowed amount, and the plan will reimburse the remaining 70% of the allowed amount for Office Visit/Consultation Mental Health - Physician.  
The service applies to the plan's out-of-pocket maximum amount of $3,500, not to exceed $7,000 per family. When the plan's out-of-pocket maximum amount is satisfied, the health plan will reimburse 100% of the allowed amount. 
</t>
  </si>
  <si>
    <t>Mental Health</t>
  </si>
  <si>
    <t>My therapist is recommending that I do Cognitive Behavioral Therapy. What is the coverage for that?</t>
  </si>
  <si>
    <t xml:space="preserve">Brief Answer 
Cognitive Behavioral Therapy (CBT) would be covered under the plan’s outpatient Mental Health office visit benefit when it’s provided by an in-network (HMO) provider. For this plan, the in-network cost is $40 per visit.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Cognitive Behavioral Therapy (CBT) (maps to Mental Health – Outpatient Office Visit):
In-Network Provider 
For in-network providers:  
the plan does not have a deductible.  
The copay for Mental health services is $40.  
The service applies to the plan's out-of-pocket maximum amount of $4,000, not to exceed $8,000 per family. When the plan's out-of-pocket maximum amount is satisfied, the health plan will reimburse 100% of the allowed amount. 
Additional details:
- The plan covers outpatient professional office visits for diagnosis and treatment of mental health conditions, including psychotherapy and telebehavioral health counseling. 
Out-of-Network Provider 
For out-of-network providers, the member is responsible for 100% of the provider's billed amount, as the plan only covers in-network providers. 
</t>
  </si>
  <si>
    <t>What is my benefit for a psychotherapy session?</t>
  </si>
  <si>
    <t xml:space="preserve">Brief Answer 
For a psychotherapy session (outpatient mental health office visit), the plan covers it with the First Dollar Service credit, then No Charge when the member uses an in-network (Participating) provider. Out-of-network coverage is 40% coinsurance.
──────────────────────────────────────────────────
Detailed Explanation
This is an Active Choice Plan that allows the member to use their First Dollar Services credit towards these services before any deductible applies. The credit is $300 for individual coverage, and $600 for family coverage. 
Once the First Dollar Service credit is used up: 
In-Network: 
For in-network, the plan has a $2,000 per individual, not to exceed $4,000 per family. However, this service does not apply to the deductible. The plan will continue to reimburse at 100% of the allowed about for outpatient mental health office visit services.
Out of Network:
This plan has a deductible of $2,000 per individual, not to exceed $4,000 per family. However, these services do not apply to the deductible.  The member would pay 40% coinsurance when using a non-participating provider. All the costs the member pays go towards the out-of-pocket maximum, which is: $10,000 per individual, not to exceed $20,000 per family.
Once the member reaches that amount, the plan pays 100% of the allowed amount for the rest of the year.
</t>
  </si>
  <si>
    <t xml:space="preserve">HW 5/11: New LLM 55 (In-network) and LLM 54
</t>
  </si>
  <si>
    <t>Updated to use LLM Rule 55 and 54</t>
  </si>
  <si>
    <t>What is my copay for outpatient mental health counseling?</t>
  </si>
  <si>
    <t xml:space="preserve">Brief Answer 
For outpatient mental health counseling (office visit/consultation), the copay is $30 per visit when received from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Mental Health Counseling (Office Visit/Consultation Mental Health - Physician):
In-Network Provider 
For in-network providers:  
the plan does not have a deductible.  
The copay for Office Visit/Consultation Mental Health - Physician services is $30 per visit.  
The service applies to the plan's out-of-pocket maximum amount of $1,500, not to exceed $3,000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</si>
  <si>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How do I get a referral to see a specialist under my HMO plan? (What steps should I take?)</t>
  </si>
  <si>
    <t xml:space="preserve">Brief Answer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Steps to get a specialist referral (HMO):
1. Start with the member’s PCP (or their assigned virtual PCP if applicable). The PCP evaluates the issue and determines if specialist care is needed.  
2. PCP submits the referral / authorization request to the Member’s Medical Group (the EOC describes this as the “prior authorization” / “pre-approval” process managed through the Medical Group).  
3. Wait for the referral decision timeframe (varies by routine vs expedited): 
 - Routine medical requests: within 5 business days, but not to exceed 7 calendar days  
 - Expedited requests: within 72 hours  
4. Once approved, schedule with the specialist within the Member’s Medical Group / network (the plan indicates most benefits require Medical Group pre-approval). 
Referral exceptions (no referral needed):
The EOC lists these as referral exceptions: 
- Emergency Services  
- Urgent Services  
- Trio+ Specialist visits  
- OB/GYN services by an obstetrician, gynecologist, or family practice Physician within the Medical Group  
- Office visits with the PCP, or outpatient Mental Health/Substance Use Disorder services with a Participating Provider 
──────────────────────────────────────────────────
</t>
  </si>
  <si>
    <t>N/A - Out of Scope for Mira</t>
  </si>
  <si>
    <t>Can I change my primary care physician (PCP) under my plan, and if so, what’s the process to do that?</t>
  </si>
  <si>
    <t xml:space="preserve">Brief Answer 
Yes—Members can generally change their primary care physician (PCP), but this plan document does not describe a PCP assignment model or the steps to change a PCP. I couldn’t find the PCP-change process in the current plan document.
──────────────────────────────────────────────────
Detailed Explanation 
- This plan is a PPO plan (“Full PPO Split Deductible 35-1000 80/60”). PPO plans typically do not require a designated PCP to access benefits, but the document you provided does not state whether PCP selection/assignment applies or how PCP changes are handled.  
- I reviewed the available EOC sections/content in the data provided (e.g., Customer Service, Prior Authorization, and benefit categories), and none included instructions for selecting or changing a PCP.  
- Next step: Please consult the Knowledgebase to confirm the operational PCP change workflow (e.g., whether PCP assignment exists for this employer group PPO, what effective date rules apply, and how to submit the request).
</t>
  </si>
  <si>
    <t>What if my doctor recommends a treatment that isn’t covered by my plan? (Can I still get it, or appeal somehow?)</t>
  </si>
  <si>
    <t xml:space="preserve">Brief Answer 
The plan document you provided does not spell out an appeal process or a “how to get non-covered treatment approved” process. It does explain that experimental/investigational services are not covered (except as required by law), and it describes an external, independent review option when a service is denied as experimental/investigational and specific qualifications are met.
──────────────────────────────────────────────────
Detailed Explanation
- If a treatment is “not covered” or excluded: 
 The plan document does not provide a general process here for requesting coverage of an excluded/non-covered treatment. I couldn’t find this information in the current plan document.
- If the plan denies because the treatment is “Experimental or Investigational”: 
 The plan states that experimental or investigational services are not covered, except as required by law . 
 However, if coverage is denied or delayed on the basis that it is experimental/investigational, the plan describes an opportunity to request an external, independent review if the Member meets listed qualifications (including having a life-threatening or seriously debilitating condition, provider certification, and having been denied coverage) . 
 The plan also notes timeframes associated with prior authorization decisions generally (routine requests and expedited requests), but it does not provide a full appeals/grievance workflow in the document provided .
- Where to look next (since the general appeal steps are not in the provided data): 
 Please consult the Knowledgebase (ServiceNow) for the standard Blue Shield CA guidance on: 
 - member appeal/grievance steps, and 
 - how to handle requests for non-covered services (including potential exceptions, if applicable). 
──────────────────────────────────────────────────
</t>
  </si>
  <si>
    <t>Can I appeal if my insurance plan refuses to cover a certain treatment or service? What is the process to do so?</t>
  </si>
  <si>
    <t xml:space="preserve">Brief Answer 
I couldn’t find the appeal/grievance process steps in the current plan document you provided. The plan document you shared does describe how prior authorization decisions are made (routine vs. expedited timeframes), but it does not include an actual appeals workflow (how to file, where to send, deadlines, levels of review, etc.).
──────────────────────────────────────────────────
Detailed Explanation
I checked the plan sections available in your PLAN_DATA for an appeal/grievance process and did not see a dedicated “Grievance,” “Appeals,” or “How to file an appeal” section with instructions. Because of that, I can’t reliably provide the appeal process steps from this plan document. (Requirement per rules: “I couldn't find this information in the current plan document.”)
What *is* available in the current plan document is the decision timing for prior authorization requests, which is often the step that occurs *before* an appeal is needed: 
- Routine medical and Mental Health/Substance Use Disorder prior authorization requests: decision within five business days, but not to exceed seven calendar days  
- Expedited medical and Mental Health/Substance Use Disorder prior authorization requests: decision within 72 hours 
If you need the formal appeal/grievance steps for a denial (including filing method, addresses, timelines, and escalation paths), please consult the Knowledgebase.
</t>
  </si>
  <si>
    <t>How long does it usually take for an insurance claim to be processed and paid?</t>
  </si>
  <si>
    <t>Brief Answer 
I couldn't find a specific “claims processing and payment timeframe” in the current plan document you provided. The only timing standard I can confirm from this document is for prior authorization decisions (not claim payment).
──────────────────────────────────────────────────
Detailed Explanation 
- The plan document includes a timing table for prior authorization decisions, not claim processing/payment:
 - Routine prior authorization requests: within 5 business days, but not to exceed 7 calendar days  
 - Expedited prior authorization requests: within 72 hours  
- I did not see any section in the provided plan data that states how long it takes for a medical or pharmacy claim to be processed and paid (e.g., X days from receipt, electronic vs paper, clean claim rules). 
- Next step: Please consult the Knowledgebase (ServiceNow) for Blue Shield’s standard claim processing timeframes and any “clean claim” guidance, since it isn’t specified here.
─────────────────────────────────────────────</t>
  </si>
  <si>
    <t>My claim was denied – what can I do to dispute that decision or have it reviewed?</t>
  </si>
  <si>
    <t xml:space="preserve">Brief Answer 
I couldn't find this information in the current plan document. The plan data you provided includes prior authorization details, but it does not include the appeals/grievance process or how to dispute/contest a denied claim.
──────────────────────────────────────────────────
Detailed Explanation 
- The provided plan document excerpt explains what prior authorization is and notes that Blue Shield may deny payment when prior authorization is required but not obtained, and that the Member would still owe only their cost share in that situation. This section does not describe how to appeal or request a review of a denied claim decision.  
- The plan data you provided also includes general exclusions/limitations language and other administrative sections, but it does not include an appeals/grievance section or instructions for disputing a claim denial. 
Please consult the Knowledgebase for the correct internal steps and member-facing guidance for claim reconsideration/appeals workflows.
</t>
  </si>
  <si>
    <t>Will I receive an Explanation of Benefits (EOB) after each doctor visit or service?</t>
  </si>
  <si>
    <t xml:space="preserve">Brief Answer 
I couldn’t find this information in the current plan document. The PLAN_DATA you provided includes benefit/cost-share details and some EOC narrative sections, but it does not state whether an Explanation of Benefits (EOB) is issued after each doctor visit or service.
──────────────────────────────────────────────────
Detailed Explanation 
I reviewed the available EOC sections in the provided PLAN_DATA (e.g., Prior Authorization, Exclusions and Limitations, Customer Service, Clinical Trials, Services Outside of California) and the benefit categories/cost-share tables, and none of the content addresses EOB issuance frequency (e.g., “after each visit,” “only when a claim is processed,” “only when member owes,” etc.). 
If you need the exact Blue Shield process language for when EOBs are generated (paper vs. electronic, timing, and whether issued for $0 member responsibility claims), please consult the Knowledgebase.
</t>
  </si>
  <si>
    <t>What is an Explanation of Benefits (EOB), and how do I read and understand it?</t>
  </si>
  <si>
    <t xml:space="preserve">Brief Answer 
An Explanation of Benefits (EOB) is a document that shows how a claim was processed—what the provider billed, what Blue Shield allowed/paid, and what the Member may owe. It’s not a bill, but it helps you confirm the claim was processed correctly and understand any remaining balance.
──────────────────────────────────────────────────
Detailed Explanation
What an EOB is (and what it isn’t):
- EOB = claim processing summary. It explains the services billed, how the plan applied benefits (deductible/copay/coinsurance), and the final cost-share amount (if any).
- Not a bill. The provider’s bill/invoice is separate; the EOB is used to validate the bill matches what the plan processed.
How to read an EOB (top to bottom):
1. Member / patient / provider details
 - Confirms the correct Member, date(s) of service, and provider/facility are listed.
2. Claim status
 - Look for whether the claim is processed/paid, denied, or pending (and whether more information is needed).
3. Line-item services
 Each service line generally includes:
 - Billed amount: what the provider charged.
 - Allowed amount: the amount the plan recognizes for payment (often lower than billed, especially in-network).
 - Plan paid: what Blue Shield paid (if any).
 - Member responsibility: what the Member may owe (deductible, copay, coinsurance, and/or non-covered amounts).
4. Why amounts differ (messages / remark codes)
 - EOBs usually include codes or notes explaining adjustments (e.g., non-covered service, exceeded limit, out-of-network, prior authorization not obtained, etc.).
 - These notes are key to interpreting *why* the Member responsibility is what it is.
5. Deductible, coinsurance, copay, and out-of-pocket tracking
 - The EOB typically shows what applied to the deductible and what counted toward the out-of-pocket maximum.
 - This plan has a medical deductible of $1,000 per Individual and $3,000 per Family (combined).  
 - The plan’s out-of-pocket maximum is $4,000 per Individual / $8,000 per Family in-network, and $6,000 per Individual / $12,000 per Family out-of-network. 
How to use an EOB to troubleshoot quickly (CSR workflow):
- If the Member got a bill: compare the provider bill to the EOB line-by-line (dates, procedure codes, and the “Member responsibility” total).
- If the Member thinks they were overcharged: verify whether the EOB shows in-network vs out-of-network processing and whether any amounts were marked as not covered or over the allowed amount.
- If something doesn’t match the plan benefit expectation: check whether the EOB notes indicate issues like medical necessity, exclusions, missing info, or authorization-related processing.
If you need a standardized “how to explain an EOB” call script or job aid, consult the Knowledgebase.
</t>
  </si>
  <si>
    <t>Who should I contact if I think I was charged incorrectly or overbilled for a medical service?</t>
  </si>
  <si>
    <t>Brief Answer 
I couldn't find this information in the provided plan documents. 
Please consult the Knowledgebase for the correct internal steps and member-facing guidance for handling questions related to being billed incorrectly.</t>
  </si>
  <si>
    <t>HW 5/4: Out of Scope Question</t>
  </si>
  <si>
    <t>HW 5/4:  Updated to include a redirect to Knowledge Base</t>
  </si>
  <si>
    <t>If I have two health insurance plans (dual coverage), how do they work together? Will one plan cover costs that the other doesn’t?</t>
  </si>
  <si>
    <t xml:space="preserve">Brief Answer 
I couldn't find this information in the current plan document. The EOC excerpts provided here don’t include Coordination of Benefits (COB) rules that explain how dual coverage is coordinated or whether one plan will pick up costs the other doesn’t.
──────────────────────────────────────────────────
Detailed Explanation 
The plan data you provided includes benefit cost shares and some general plan provisions (e.g., Prior Authorization, Exclusions/Limitations, and the note that “Coordination of Benefits provisions do not apply” specifically to the Outpatient Prescription Drug Rider), but it does not include a Coordination of Benefits (COB) section describing how two medical plans coordinate payments or which plan is primary/secondary. Because of that, I can’t confirm from this plan document how dual coverage would work for this plan, or whether the secondary plan would cover remaining member cost share. 
To answer this accurately, you’ll need the COB language for the medical plan (typically a dedicated “Coordination of Benefits” section) or your internal COB guidance. Please consult the Knowledgebase.
──────────────────────────────────────────────────
</t>
  </si>
  <si>
    <t>Will my coverage automatically renew every year, or do I need to re-enroll during open enrollment each year?</t>
  </si>
  <si>
    <t xml:space="preserve">Brief Answer 
I couldn't find this information in the current plan document. The plan data provided focuses on benefits/cost shares and does not describe employer renewal and annual enrollment requirements.
──────────────────────────────────────────────────
Detailed Explanation 
The plan data includes benefit details (copays/coinsurance, deductible, out-of-pocket maximums, limits, and EOC narrative sections like Prior Authorization, Exclusions, and Services Outside of California), but it does not include language about whether coverage auto-renews or whether Members must re-enroll during open enrollment each year.  
To confirm the correct guidance for this employer group (auto-renewal vs. required re-enrollment), please consult the Knowledgebase. 
</t>
  </si>
  <si>
    <t>Does my health insurance cover pre-existing conditions without any waiting period or limitations?</t>
  </si>
  <si>
    <t>Brief Answer 
I couldn’t find any plan language in the current plan document that specifically confirms coverage of pre-existing conditions or states whether there are any waiting periods or limitations related to them.
Please consult the Knowledgebase for the correct internal steps and member-facing guidance for handling questions related to pre-existing conditions.</t>
  </si>
  <si>
    <t>What happens to my insurance coverage if I leave my job? Do I have options to continue coverage (like COBRA)?</t>
  </si>
  <si>
    <t xml:space="preserve">Brief Answer 
I couldn't find this information in the current plan document. The plan data provided is focused on medical/pharmacy benefits and does not include eligibility/termination-of-coverage rules or continuation coverage details (e.g., COBRA).
──────────────────────────────────────────────────
Detailed Explanation 
I reviewed the provided plan data for any sections addressing what happens when employment ends (e.g., “eligibility,” “termination,” “continuation,” “COBRA,” or “leave of absence”). The plan data included sections such as Prior Authorization, Exclusions and Limitations, Customer Service, and Services Outside of California, but it did not include continuation coverage language or employer separation rules. 
Because this information is not present in the plan document data provided here, I can’t confirm COBRA eligibility, timeframes, costs, or how to elect continuation coverage for this employer group. Please consult the Knowledgebase for the appropriate COBRA/continuation coverage guidance and scripting.
──────────────────────────────────────────────────
</t>
  </si>
  <si>
    <t>How do I add my newborn to my insurance plan?</t>
  </si>
  <si>
    <t xml:space="preserve">Brief Answer 
I couldn't find this information in the current plan document. The plan data provided includes benefit coverage details, but it does not include the administrative process for adding a newborn to coverage.
──────────────────────────────────────────────────
Detailed Explanation 
The provided plan document sections focus on benefit coverage (copays/coinsurance, limits, and coverage descriptions) and do not describe enrollment actions like adding a dependent/newborn, required timeframes, or where to submit the request. I checked the available plan sections and categories and did not find newborn enrollment instructions. 
For the correct “add newborn” workflow (timelines, required forms, and where to route the request), please consult the Knowledgebase. 
──────────────────────────────────────────────────
</t>
  </si>
  <si>
    <t>Out of Scope</t>
  </si>
  <si>
    <t>I got married last month – can I add my spouse to my health plan now, or do I have to wait until open enrollment?</t>
  </si>
  <si>
    <t xml:space="preserve">Brief Answer 
I couldn’t find this information in the current plan document. The plan data provided does not include eligibility/enrollment rules for adding a spouse after marriage (a qualifying life event).
──────────────────────────────────────────────────
Detailed Explanation 
- The provided plan document content includes benefits, exclusions/limitations, prior authorization information, and out-of-area coverage details, but it does not include any section that describes Special Enrollment Periods (SEP), qualifying life events, marriage, or open enrollment rules. 
- Because of that, I can’t confirm from this plan data whether the Member can add a spouse now or must wait until open enrollment.
Please consult the Knowledgebase for the employer group’s enrollment rules/process for “marriage / adding a spouse / qualifying life event” and any required timeframe and documentation.
──────────────────────────────────────────────────
</t>
  </si>
  <si>
    <t>My child is turning 26 this year. When will their coverage end under my plan?</t>
  </si>
  <si>
    <t xml:space="preserve">Brief Answer 
I couldn't find this information in the current plan document. The excerpt provided does not include dependent eligibility rules (including the coverage end date for a dependent turning age 26).
──────────────────────────────────────────────────
Detailed Explanation 
The plan data you provided includes benefit summaries, cost shares, and EOC sections like Prior Authorization, Exclusions, and Services Outside California, but it does not include an Eligibility/Dependent Coverage section that would define when coverage ends for a dependent who turns 26.  
Because those eligibility rules aren’t present in the plan document content provided here, I can’t confirm whether coverage ends on the dependent’s 26th birthday, the end of the month they turn 26, or the end of the plan year. 
Next step: please consult the Knowledgebase for Blue Shield’s dependent age-26 termination policy for this plan type/product and any employer-specific eligibility rules.
</t>
  </si>
  <si>
    <t>Does my health plan cover domestic partners as dependents?</t>
  </si>
  <si>
    <t xml:space="preserve">Brief Answer 
I couldn't find this information in the current plan document. The plan data provided includes medical/pharmacy benefits and cost shares, but it does not include eligibility rules (such as whether domestic partners can be enrolled as dependents).
──────────────────────────────────────────────────
Detailed Explanation 
- The question is about eligibility/enrollment (who can be covered as a dependent), not a medical or pharmacy benefit/cost share. The provided plan data is an EOC-style benefit summary (e.g., benefit categories, cost shares, limits, and general EOC sections like Prior Authorization and Exclusions) and does not include an eligibility section that defines dependent types (spouse, domestic partner, etc.). 
- I reviewed the available EOC sections and benefit categories, and none contain dependent eligibility language (only coverage/services and exclusions). 
If you need the employer group’s eligibility definition for dependents/domestic partners, please consult the Knowledgebase.
</t>
  </si>
  <si>
    <t>My plan comes with a Health Savings Account (HSA). How does the HSA work and what can I use those funds for?</t>
  </si>
  <si>
    <t xml:space="preserve">Brief Answer 
I couldn't find HSA (Health Savings Account) information in the current plan document. The PLAN_DATA provided includes medical and pharmacy benefits (deductibles, copays/coinsurance, OOP maximums), but it does not describe an HSA benefit, eligibility rules, funding, or how HSA funds can be used.
──────────────────────────────────────────────────
Detailed Explanation 
I reviewed the plan data provided and did not see any section that explains an HSA, HSA eligibility, employer/employee contributions, or allowable uses of HSA funds. The available sections include medical/pharmacy benefit structures (deductible/OOPM) and EOC narrative sections like Prior Authorization and Exclusions, but nothing specific to an HSA. 
If you have an HSA summary (often a separate “HSA/Banking” or “Spending Accounts” document from the employer or the HSA administrator), share it here and I can help you turn it into a member-ready explanation. Otherwise, consult the Knowledgebase for the standard HSA/HRA/FSA job aids and talk tracks.
──────────────────────────────────────────────────
</t>
  </si>
  <si>
    <t>How can I find doctors or hospitals in my network that accept my health insurance?</t>
  </si>
  <si>
    <t xml:space="preserve">Brief Answer 
You can direct the Member to use Blue Shield’s “Find a Doctor” tool on blueshieldca.com to search for Participating Providers (in-network doctors and hospitals) for this plan. The plan document also notes Blue Shield has BlueCard relationships for finding participating providers when outside of California. 
──────────────────────────────────────────────────
Detailed Explanation
The plan document indicates:
- To find a Participating Provider, the Member can visit blueshieldca.com and click on “Find a Doctor.” This is referenced in the plan’s Mental Health and Substance Use Disorder section, but it applies as the plan’s general guidance on locating Participating Providers.  
- If the Member is traveling outside of California, the plan notes Blue Shield’s relationships through the BlueCard® Program, and says the Member can find participating providers by visiting bcbs.com. 
If you need internal step-by-step instructions for how to guide the Member in the portal (filters, network selection, etc.), consult the Knowledgebase. 
──────────────────────────────────────────────────
</t>
  </si>
  <si>
    <t>Do I need to notify my insurance before a scheduled surgery or hospital stay (get pre-certification) for it to be covered?</t>
  </si>
  <si>
    <t xml:space="preserve">Brief Answer 
Yes—this plan indicates that surgery and non-emergency inpatient facility services (hospital admissions) are services that require prior authorization (“pre-approval”), and for non-emergency inpatient services the provider should request it at least five business days before admission. If prior authorization is required but not obtained, Blue Shield may deny payment depending on network status and circumstances. 
──────────────────────────────────────────────────
Detailed Explanation
Blue Shield calls “pre-certification” prior authorization (pre-approval). 
When prior authorization is required (per this plan):
- Surgery requires prior authorization.  
- Non-emergency inpatient facility services (such as hospitals and skilled nursing facilities) require prior authorization.  
- For non-emergency inpatient services, the provider should request prior authorization at least five business days before admission.  
What happens if prior authorization is not obtained:
If the Member uses a Participating Provider (in-network):
- The provider must obtain prior authorization when required.  
- If prior authorization is required but not obtained, Blue Shield may deny payment to the provider; the Member is not responsible for Blue Shield’s portion of the Allowable Amount if this occurs—only the Member’s Cost Share. 
If the Member uses a Non-Participating Provider (out-of-network):
- The Member or provider must obtain prior authorization when required.  
- If prior authorization is required but not obtained and the services are determined not a Benefit or not Medically Necessary, Blue Shield may deny payment and the Member may be responsible for all billed charges. 
Exceptions noted in the plan:
- No prior authorization is needed for Emergency Services or emergency hospital admissions, whether at Participating or Non-Participating facilities. 
──────────────────────────────────────────────────
</t>
  </si>
  <si>
    <t>How can I find out if a medical service or procedure requires prior authorization from my insurance?</t>
  </si>
  <si>
    <t xml:space="preserve">Brief Answer 
The plan document explains that some services require prior authorization, but it does not give a definitive “yes/no” list by procedure within the data provided here. Use the plan’s “Prior Authorization List” reference in the EOC, and if you still need confirmation for a specific code/service, consult the [Knowledgebase](https://blueshieldca.service-now.com/essp?id=kb_search&amp;kb_knowledge_base=4ad6bf28dbf79850ba65a04913961915).
──────────────────────────────────────────────────
Detailed Explanation
The plan explains that prior authorization is a pre-approval process for *some* benefits, and that the provider (or the Member, for out-of-network) must obtain it when required. It also directs Members to the website to view the “Prior Authorization List.” 
Where the EOC says to check for prior authorization
- The EOC states: “Visit blueshieldca.com and click on Prior Authorization List for more details about medical and surgical services and select prescription Drugs that require prior authorization.” 
Examples of services the plan flags as often requiring prior authorization (not an exhaustive list)
- Surgery  
- Non-emergency inpatient facility services (Hospitals, Skilled Nursing Facilities)  
- Non-emergency ambulance services  
- Advanced imaging: CT, MRI, MRA, PET, and diagnostic cardiac procedures utilizing nuclear medicine  
- Mental health/substance use: non-emergency inpatient admissions, behavioral health treatment, psychological testing, PHP/IOP, etc. 
What the EOC says is NOT subject to prior authorization
- Emergency Services or emergency Hospital admissions (Participating or Non-Participating facilities) do not require prior authorization. 
If you need a definitive answer for a specific service
- I couldn’t find a procedure-by-procedure prior authorization list inside the plan data provided here, beyond the general direction to use the “Prior Authorization List” and the “frequently-utilized” examples. If you need the workflow to validate a specific CPT/HCPCS/service, consult the [Knowledgebase](https://blueshieldca.service-now.com/essp?id=kb_search&amp;kb_knowledge_base=4ad6bf28dbf79850ba65a04913961915).
──────────────────────────────────────────────────
</t>
  </si>
  <si>
    <t>Physician and other Professional Services</t>
  </si>
  <si>
    <t>Infusion therapy services outpatient facility
Infusion therapy services (excluding medications) in office
Injectable medications</t>
  </si>
  <si>
    <t>Are benefits provided for outpatient infusion centers?</t>
  </si>
  <si>
    <t xml:space="preserve">Brief Answer 
Yes. This plan provides benefits for outpatient infusion therapy in an outpatient hospital department and for infusion therapy services performed in a physician’s office (excluding medications). Costs vary by place of service, and this is an HMO plan (in-network/medical group rules apply).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hospital / hospital outpatient department (facility infusion center):
In-Network Provider 
For in-network providers:  
the plan has a $1,500 deductible per person, not to exceed $3,000 per family.  
However, Hospital Services – Infusion therapy services outpatient facility is not subject to the deductible.  
The plan will reimburse the provider 100% of the allowed amount for Hospital Services – Infusion therapy services outpatient facility. 
Out-of-Network Provider 
For out-of-network providers, the member is responsible for 100% of the provider's billed amount, as the plan only covers in-network providers. 
B) Physician’s office (infusion therapy services, excluding medications):
In-Network Provider 
For in-network providers:  
the plan has a $1,500 deductible per person, not to exceed $3,000 per family.  
However, Physician and other Professional Services – Infusion therapy services (excluding medications) in office is not subject to the deductible.  
The plan will reimburse the provider 100% of the allowed amount for Physician and other Professional Services – Infusion therapy services (excluding medications) in office. 
Out-of-Network Provider 
For out-of-network providers, the member is responsible for 100% of the provider's billed amount, as the plan only covers in-network providers. 
C) Injectable medications:
In-Network Provider 
For in-network providers:  
the plan has a $1,500 deductible per person, not to exceed $3,000 per family.  
However, Injectable medications services (excluding medications) in office is not subject to the deductible.  
The plan will reimburse the provider 100% of the allowed amount for Physician and other Professional Services – Infusion therapy services (excluding medications) in office. 
Out-of-Network Provider 
For out-of-network providers, the member is responsible for 100% of the provider's billed amount, as the plan only covers in-network providers. 
</t>
  </si>
  <si>
    <t xml:space="preserve">Minera Response (Needs to be human validated)
Yes. This PPO plan provides benefits for outpatient infusion therapy services when performed in an outpatient facility (such as a hospital outpatient department/infusion center), subject to the plan’s medical deductible and the applicable in-network/out-of-network cost share.
──────────────────────────────────────────────────
Detailed Explanation:
A) Outpatient infusion center / outpatient facility — Facility charges (Infusion therapy services outpatient facility) [1]:
#### In-Network Provider
For in-network providers, 
The plan has a $750 deductible per person, not to exceed $2,250 per family. [3] 
Outpatient infusion therapy services outpatient facility is subject to this deductible. Once the deductible is met, [1] 
The coinsurance is 20% of the allowed amount, and the plan will reimburse the remaining 80% of the allowed amount for outpatient infusion therapy services outpatient facility services. [1] 
The service applies to the plan's out-of-pocket maximum amount of $6,250 per individual, not to exceed $12,500 per family. When the plan's out-of-pocket maximum amount is satisfied, the health plan will reimburse 100% of the allowed amount. [3]
Professional services disclaimer: 
In addition to the hospital bill, the member can expect related professional fees for services like surgery, anesthesia, and diagnostic testing (radiological, pathology, or laboratory).
#### Out-of-Network Provider
For out-of-network providers, . 
An out-of-network provider has the right to bill for the balance. What this means is that the member may be responsible for the difference between the allowed amount and billed amount. 
The plan has a $750 deductible per person, not to exceed $2,250 per family. [3] 
Outpatient infusion therapy services outpatient facility is subject to this deductible. Once the deductible is met, [1] 
The coinsurance is 40% of the allowed amount, and the plan will reimburse the remaining 60% of the allowed amount for outpatient infusion therapy services outpatient facility services. [1] 
This plan has a maximum payable amount of up to $350 per day. This means the member would also be responsible for all charges above $350 per day. [4] 
The service applies to the plan's out-of-pocket maximum amount of $10,750 per individual, not to exceed $21,500 per family. When the plan's out-of-pocket maximum amount is satisfied, the health plan will reimburse 100% of the allowed amount. [3]
Professional services disclaimer: 
In addition to the hospital bill, the member can expect related professional fees for services like surgery, anesthesia, and diagnostic testing (radiological, pathology, or laboratory).
──────────────────────────────────────────────────
B) Outpatient infusion center / outpatient facility — Professional charges (Physician or surgeon services in an outpatient facility) [2]:
#### In-Network Provider
For in-network providers, 
The plan has a $750 deductible per person, not to exceed $2,250 per family. [3] 
Physician or surgeon services in an outpatient facility is subject to this deductible. Once the deductible is met, [2] 
The coinsurance is 20% of the allowed amount, and the plan will reimburse the remaining 80% of the allowed amount for physician or surgeon services in an outpatient facility services. [2] 
The service applies to the plan's out-of-pocket maximum amount of $6,250 per individual, not to exceed $12,500 per family. When the plan's out-of-pocket maximum amount is satisfied, the health plan will reimburse 100% of the allowed amount. [3]
#### Out-of-Network Provider
For out-of-network providers, . 
An out-of-network provider has the right to bill for the balance. What this means is that the member may be responsible for the difference between the allowed amount and billed amount. 
The plan has a $750 deductible per person, not to exceed $2,250 per family. [3] 
Physician or surgeon services in an outpatient facility is subject to this deductible. Once the deductible is met, [2] 
The coinsurance is 40% of the allowed amount, and the plan will reimburse the remaining 60% of the allowed amount for physician or surgeon services in an outpatient facility services. [2] 
The service applies to the plan's out-of-pocket maximum amount of $10,750 per individual, not to exceed $21,500 per family. When the plan's out-of-pocket maximum amount is satisfied, the health plan will reimburse 100% of the allowed amount. [3]
</t>
  </si>
  <si>
    <t xml:space="preserve">Missing Benefit </t>
  </si>
  <si>
    <t>Added C) Injectable Medications</t>
  </si>
  <si>
    <t>Online consultations (eConsult)</t>
  </si>
  <si>
    <t>Are online consultations with my dermatologist covered?</t>
  </si>
  <si>
    <t xml:space="preserve">Brief Answer 
Yes—online (virtual) consultations are covered under this PPO plan when done through a Virtual Provider, and they are covered at No Charge. Participating providers have a $20 copay , and out-of-network has coinsurance and balance-billing risk.
──────────────────────────────────────────────────
Detailed Explanation
Online consultations (eConsult) — Office (billed as 99446–99449)
In-Network Provider (Virtual Provider) 
For Virtual providers:
You can access Virtual Blue Providers by calling 844-560-6649 or going online at blueshieldca.com/virtualblue. 
Online consultations (eConsult) — Office (billed as 99446–99447–99448–99449) Office is not subject to the deductible. 
The plan will reimburse the provider 100% of the allowed amount for online consultations (eConsult) — Office (billed as 99446–99447–99448–99449) Office. 
In-Network Provider (Particapting Provider)
Online consultations (eConsult) — Office (billed as 99446–99447–99448–99449) Office is not subject to the deductible. 
The plan has a $20 per visit copay for consultations (eConsult) — Office (billed as 99446–99447–99448–99449) Office. 
The service applies to the plan's out-of-pocket maximum amount of$5,500,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online consultations (eConsult) — Office (billed as 99446–99447–99448–99449) Office is subject to this deductible. Once the deductible is met,  
The coinsurance is 40% of the allowed amount, and the plan will reimburse the remaining 60% of the allowed amount for online consultations (eConsult) — Office (billed as 99446–99447–99448–99449) Office.  
The service applies to the plan's out-of-pocket maximum amount of $10,000, not to exceed $20,000 per family. When the plan's out-of-pocket maximum amount is satisfied, the health plan will reimburse 100% of the allowed amount. 
</t>
  </si>
  <si>
    <t xml:space="preserve">Missing Network Tier </t>
  </si>
  <si>
    <t xml:space="preserve">Corrected Brief Answer and added Participating Provider Tier </t>
  </si>
  <si>
    <t>Are outpatient infusion therapies for autoimmune diseases covered?</t>
  </si>
  <si>
    <t xml:space="preserve">Brief Answer 
Yes—outpatient infusion therapy (excluding the medication itself) is covered under this plan, and the plan shows No Charge for the outpatient facility infusion therapy service. Coverage is for in-network (HMO) providers; out-of-network providers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infusion therapy services (excluding medications) — Hospital Outpatient Facility:
In-Network Provider 
For in-network providers:  
the plan has a $1,500 deductible per person, not to exceed $3,000 per family.  
However, Infusion therapy services outpatient facility is not subject to the deductible. Once the deductible is met,  
The plan will reimburse the provider 100% of the allowed amount for Infusion therapy services outpatient facility. 
Out-of-Network Provider 
For out-of-network providers, the member is responsible for 100% of the provider's billed amount, as the plan only covers in-network providers.
Additional note about infusion medications (the drug itself): 
This question is about “infusion therapies.” The plan benefit listed here is specifically infusion therapy services (excluding medications). If you also need the member cost share for the infused drug itself (e.g., a provider-administered biologic), I couldn’t find a specific cost-share line item for those drugs in the current plan document.
</t>
  </si>
  <si>
    <t>Are outpatient nutrition counseling sessions for obesity covered?</t>
  </si>
  <si>
    <t xml:space="preserve">Brief Answer 
Yes—outpatient nutrition counseling is covered under Physician and other Professional Services as “Nutritional therapy/counseling,” and it is No Charge when received in-network. The plan is an HMO, so services must be through an in-network provider/medical group.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Nutritional therapy/counseling (office):
In-Network Provider 
For in-network providers:  
the plan has a $1,500 deductible per person, not to exceed $3,000 per family.  
However, Nutritional therapy/counseling is not subject to the deductible.  
The plan will reimburse the provider 100% of the allowed amount for Nutritional therapy/counseling. 
Out-of-Network Provider 
For out-of-network providers, the member is responsible for 100% of the provider's billed amount, as the plan only covers in-network providers.
</t>
  </si>
  <si>
    <t>Are outpatient nutrition therapy services for chronic kidney disease covered?</t>
  </si>
  <si>
    <t xml:space="preserve">Brief Answer 
Yes—outpatient nutrition therapy/counseling is covered under Physician and other Professional Services. In-network, it’s 20% coinsurance (subject to the medical deductible) and it applies to the medical out-of-pocket maximum.
──────────────────────────────────────────────────
Detailed Explanation
Nutritional therapy/counseling (outpatient medical nutrition therapy):
In-Network Provider 
For in-network providers: 
the plan has a $250 deductible per person, not to exceed $750 per family.  
Nutritional therapy/counseling is subject to this deductible. Once the deductible is met,  
The coinsurance is 20% of the allowed amount, and the plan will reimburse the remaining 80% of the allowed amount for Nutritional therapy/counseling.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Nutritional therapy/counseling is subject to this deductible. Once the deductible is met,  
The coinsurance is 40% of the allowed amount, and the plan will reimburse the remaining 60% of the allowed amount for Nutritional therapy/counseling.  
The service applies to the plan's out-of-pocket maximum amount of $10,250, not to exceed $20,500 per family. When the plan's out-of-pocket maximum amount is satisfied, the health plan will reimburse 100% of the allowed amount.  
</t>
  </si>
  <si>
    <t>Injectable Medications</t>
  </si>
  <si>
    <t>Are outpatient pain injections (such as epidurals) covered?</t>
  </si>
  <si>
    <t xml:space="preserve">Brief Answer 
Yes—outpatient pain injections (including epidural injections) would generally be covered when performed as outpatient professional services and are typically subject to the medical deductible, then 20% coinsurance. This plan is an EPO, so coverage is tied to Participating Providers.
──────────────────────────────────────────────────
Detailed Explanation
Exclusive Provider Organization (EPO) Disclaimer:
This is an Exclusive Provider Organization (EPO) plan. You must receive all Covered Benefits from a Participating Provider,  the exception is with Emergency or Urgent Services.
How this maps in the plan:
“Outpatient pain injections (such as epidurals)” are not listed by that exact name in the plan, but they align best with outpatient professional services (injections/procedures done in an outpatient setting). In the plan, the closest matching benefit is Physician and other Professional Services → In-hospital services → Physician or surgeon services in an outpatient facility (Professional Services Surgery – Outpatient). 
Plan deductible (applies before coinsurance when applicable):
The plan has a $2,500 deductible per person, not to exceed $5,000 per family. 
Outpatient professional pain injection (e.g., epidural) — Professional services:
In-Network Provider 
For in-network providers:  
Professional Services Surgery – Outpatient is subject to this deductible. Once the deductible is met,  
The coinsurance is 20% of the allowed amount, and the plan will reimburse the remaining 80% of the allowed amount for Physician or surgeon services in an outpatient facility.  
The service applies to the plan's out-of-pocket maximum amount of $5,000, not to exceed $10,000 per family. When the plan's out-of-pocket maximum amount is satisfied, the health plan will reimburse 100% of the allowed amount. 
Out-of-Network Provider 
For out-of-network providers:  
Out-of-network providers are not covered under this plan.
Important note about related charges (common with epidurals):
In addition to the surgeon's and facility bill, the member can expect related fees for professional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</si>
  <si>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Physician and other Professional Services
Hospital Services</t>
  </si>
  <si>
    <t>Infusion therapy services (excluding medications) in office
Infusion therapy services outpatient facility</t>
  </si>
  <si>
    <t>Does my plan cover outpatient infusion of immunoglobulin therapy?</t>
  </si>
  <si>
    <t xml:space="preserve">Brief Answer 
Yes—outpatient infusion therapy is covered under this plan when done through an in-network (HMO Provider) setting. For an outpatient hospital or outpatient facility, the cost share shown is No Charge for the facility component, and No Charge for the professional component.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Since “immunoglobulin therapy” is typically administered as an infusion, I mapped this to Infusion therapy services under Hospital Services (Outpatient) (facility) and Physician and other Professional Services (professional). 
A) Outpatient hospital or outpatient facility (Facility charges):
In-Network Provider 
For in-network providers:  
the plan does not have a deductible. 
The plan will reimburse the provider 100% of the allowed amount for Hospital Services – Outpatient (Infusion therapy services outpatient facility).
In addition to the hospital bill, the member can expect related professional fees for services like surgery, anesthesia, and diagnostic testing (radiological, pathology, or laboratory). 
Out-of-Network Provider 
For out-of-network providers, the member is responsible for 100% of the provider's billed amount, as the plan only covers in-network providers.
B) Professional services related to the infusion (Professional charges):
In-Network Provider 
For in-network providers: 
the plan does not have a deductible.
The plan will reimburse the provider 100% of the allowed amount for Professional Services (Infusion therapy services (excluding medications) in office). 
Out-of-Network Provider 
For out-of-network providers, the member is responsible for 100% of the provider's billed amount, as the plan only covers in-network providers.
</t>
  </si>
  <si>
    <t>removed "However... is not subject to the deductible" given plan does not have a deductible.</t>
  </si>
  <si>
    <t>Physician and other Professional Services
Hosptial Services</t>
  </si>
  <si>
    <t>Infusion therapy services
Infusion therapy services outpatient facility</t>
  </si>
  <si>
    <t>Does my plan cover outpatient infusion therapy for multiple sclerosis?</t>
  </si>
  <si>
    <t xml:space="preserve">Brief Answer 
Yes—outpatient infusion therapy is covered under this PPO plan. The member cost share depends on where the infusion is performed (hospital outpatient department vs. physician office/infusion center), and separate professional vs. facility charges may apply.
──────────────────────────────────────────────────
Detailed Explanation
A) Outpatient infusion therapy — Hospital outpatient department (facility charges):
In-Network Provider 
For in-network providers: 
the plan has a $250 deductible per person, not to exceed $750 per family.  
Outpatient infusion therapy services outpatient facility is subject to this deductible. Once the deductible is met,  
The coinsurance is 10% of the allowed amount, and the plan will reimburse the remaining 90% of the allowed amount for Outpatient infusion therapy services outpatient facility.  
The service applies to the plan's out-of-pocket maximum amount of $2,250, not to exceed $4,500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Outpatient infusion therapy services outpatient facility is subject to this deductible. Once the deductible is met,  
The coinsurance is 30% of the allowed amount, and the plan will reimburse the remaining 70% of the allowed amount for Outpatient infusion therapy services outpatient facility.  
This plan has a maximum payable amount of up to $350 per day. This means the member would also be responsible for all charges above $350 per day.  
The service applies to the plan's out-of-pocket maximum amount of $3,500, not to exceed $7,000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B) Outpatient infusion therapy — Physician office / infusion center (professional charges, excluding medications):
In-Network Provider 
For in-network providers: 
the plan has a $250 deductible per person, not to exceed $750 per family.  
Infusion therapy services (excluding medications) in office is subject to this deductible. Once the deductible is met,  
The coinsurance is 10% of the allowed amount, and the plan will reimburse the remaining 90% of the allowed amount for Infusion therapy services (excluding medications) in office.  
The service applies to the plan's out-of-pocket maximum amount of $2,250, not to exceed $4,500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Infusion therapy services (excluding medications) in office is subject to this deductible. Once the deductible is met,  
The coinsurance is 30% of the allowed amount, and the plan will reimburse the remaining 70% of the allowed amount for Infusion therapy services (excluding medications) in office.  
The service applies to the plan's out-of-pocket maximum amount of $3,500, not to exceed $7,000 per family. When the plan's out-of-pocket maximum amount is satisfied, the health plan will reimburse 100% of the allowed amount. 
Additional note (MS infusion drugs themselves):
This plan document states that “Prescription Drugs administered by a Health Care Provider … are covered under the medical benefit and require prior authorization.”  The specific medication and setting may drive additional requirements.
</t>
  </si>
  <si>
    <t>Does my plan cover outpatient IV antibiotic therapy?</t>
  </si>
  <si>
    <t xml:space="preserve">Brief Answer 
Yes — outpatient IV antibiotic therapy is covered under this HMO plan when it’s provided in an outpatient hospital/infusion setting, and the in-network cost share is No Charge. Coverage is in-network only for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IV antibiotic therapy (Infusion therapy services – outpatient facility):
In-Network Provider 
For in-network providers:  
The plan will reimburse the provider 100% of the allowed amount for Infusion therapy services outpatient facility. 
Out-of-Network Provider 
For out-of-network providers, the member is responsible for 100% of the provider's billed amount, as the plan only covers in-network providers.
</t>
  </si>
  <si>
    <t>For a specialist visit under my plan, do I pay a fixed copay or a coinsurance percentage of the visit cost?</t>
  </si>
  <si>
    <t xml:space="preserve">Brief Answer 
For a specialist office visit, the plan uses coinsurance (not a fixed copay): 20% in-network and 40% out-of-network. The specialist visit is also not subject to the medical deductible.
──────────────────────────────────────────────────
Detailed Explanation
Physician and other Professional Services - Specialist Office Visit/Consultation
Specialist Office Visit services are included as a First Dollar Service, this means this plan helps pay for them right away—before the deductible applies. This plan will pay 100% of the allowed amount for specialist office visits at a participating provider, using the First Dollar credit, so the member doesn't pay anything upfront as long as that credit is available. 
The credit is $300 for individual coverage, and $600 for family coverage. 
Once the First Dollar Service credit is used up: 
In-Network: 
This plan has a deductible of $2,000 individual not to exceed $4,000 for the family. However, these services do not apply to the deductible.  The member would pay 20% coinsurance when using a participating provider. This plan has the out-of-pocket maximum, which is: $3000 per individual, not to exceed $6000 per family.
This service does not apply to the annual out of pocket maximum, therefore the plan pays 100% of the allowed amount.
Out of Network:
This plan has a deductible of $2000 per individual, not to exceed $4000 per family. However, these services do not apply to the deductible.  The member would pay 40% coinsurance when using a non-participating provider. All the costs the member pays go towards the out-of-pocket maximum, which is: $10000 per individual, not to exceed $20000 per family.
Once the member reaches that amount, the plan pays 100% of the allowed amount for the rest of the year.
After the your credit maximum is reached, you pay 20% of the Allowable Amount for any additional First Dollar Services until your Calendar Year Out-of-Pocket Maximum has been reached. Once your Calendar Year Out-of-Pocket Maximum amount has been reached, Blue Shield pays 100% of the Allowable Amount for subsequent services.
Out-of-Network Provider 
For out-of-network providers:  
An out-of-network provider has the right to bill for the balance. What this means is that the member may be responsible for the difference between the allowed amount and billed amount. 
This is an Active Choice Plan that allows you to use your First Dollar Services credit towards these services before any Deductible applies. You credit is $300 for individual coverage, and $600 if you have family coverage. 
The plan's deductible is $2,000 per individual, not to exceed $4,000  per family. 
The Out-of-Pocket Maximum amount is $10,000 per individual, not to exceed $20,000 per family.
After the your credit maximum is reached, you pay 40% of the Allowable Amount for any additional First Dollar Services until your Calendar Year Out-of-Pocket Maximum has been reached. Once your Calendar Year Out-of-Pocket Maximum amount has been reached, Blue Shield pays 100% of the Allowable Amount for subsequent services.
</t>
  </si>
  <si>
    <t xml:space="preserve">HW 5/11: New LLM 53
 </t>
  </si>
  <si>
    <t>I was just diagnosed with Sjogren's, an autoimmune disorder, and need to know if a vision exam will be covered?</t>
  </si>
  <si>
    <t xml:space="preserve">Brief Answer 
Yes—this plan covers a vision exam to diagnose or treat a medical condition with a $30 copay per visit when done by an in-network (HMO) provider. Out-of-network vision exams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Vision exam (to diagnose or treat a medical condition):
#### In-Network Provider
For in-network providers:  
the plan does not have a deductible.  
The copay for Vision exam to diagnose or treat a medical condition services is $30.  
The service applies to the plan's out-of-pocket maximum amount of $1,500, not to exceed $3,000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t>
  </si>
  <si>
    <t>Is Botox for chronic migranes covered?</t>
  </si>
  <si>
    <t xml:space="preserve">Brief Answer 
I couldn't find this information in the current plan document. Botox could fall under different benefit categories depending on how it’s billed (office-administered injectable drug vs. procedure), but the plan data provided doesn’t specifically list Botox for chronic migraines.
──────────────────────────────────────────────────
Detailed Explanation
A)Injectable Medications - For in-network providers:
the plan has a $750 deductible per person, not to exceed $1,500 per family. 
However, Physician and other Professional Services - Injectable medications is not subject to the deductible.The plan will reimburse the provider 100% of the allowed amount for Injectable medications.
 Out-of-Network Provider
For out-of-network providers, the member is responsible for 100% of the provider's billed amount, as the plan only covers in-network providers.
</t>
  </si>
  <si>
    <t>Added A) Injectable Medications</t>
  </si>
  <si>
    <t>Is Botox for excessive sweating (hyperhidrosis) covered?</t>
  </si>
  <si>
    <t xml:space="preserve">Injectable medications:
Participating Providers:
20% coinsurance, deductible $1K ind/ $3K family, OOPM $5500 indiv/ 11K family
Non-Particpating:
40% coinsurance, deductible $3K ind/ $9K family, OOPM $10K indiv/ 20K family
Specialist Office Vst:
Par - $40 copay, no deductibe - same oopm as above
Non-Par - 40%, subject to deductilbe - same as above, oopm same as above
</t>
  </si>
  <si>
    <t>HW 5/4: Missing Benefit</t>
  </si>
  <si>
    <t>HW 5/4: No benefits given. Should be Physician and other Professional - Injectable medications</t>
  </si>
  <si>
    <t>Is coverage available for outpatient infusion of specialty medications?</t>
  </si>
  <si>
    <t xml:space="preserve">Brief Answer 
Yes—outpatient infusion therapy itself is covered at No Charge under this plan, but the infused specialty medication may require prior authorization and may be covered under the medical benefit when administered by a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Infusion therapy services (facility charge) — Outpatient hospital department:
In-Network Provider 
For in-network providers: 
the plan has a $2,000 deductible per person, not to exceed $4,000 per family.  
However, Infusion therapy services outpatient facility is not subject to the deductible.  
The plan will reimburse the provider 100% of the allowed amount for Infusion therapy services outpatient facility. 
Out-of-Network Provider 
For out-of-network providers, the member is responsible for 100% of the provider's billed amount, as the plan only covers in-network providers. 
B. Infusion therapy services (professional charge) — Office setting (excluding medications):
In-Network Provider 
For in-network providers: 
the plan has a $2,000 deductible per person, not to exceed $4,000 per family.  
However, Infusion therapy office services (excluding medications) is not subject to the deductible.  
The plan will reimburse the provider 100% of the allowed amount for Infusion therapy office services (excluding medications). 
Out-of-Network Provider 
For out-of-network providers, the member is responsible for 100% of the provider's billed amount, as the plan only covers in-network providers. 
C. Specialty medication administered by a Health Care Provider (medical benefit; prior authorization note):
Drugs administered by a Health Care Provider in a Physician’s office, an infusion center, or the Outpatient Department of a Hospital are covered under the medical benefit and require prior authorization from the member’s Medical Group or from Blue Shield. 
</t>
  </si>
  <si>
    <t>Is coverage available for outpatient IV hydration therapy?</t>
  </si>
  <si>
    <t xml:space="preserve">Brief Answer 
Yes—outpatient IV hydration therapy appears to be covered under the plan’s outpatient infusion therapy services (excluding medications) benefit, and it is listed as No Charge when received from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IV hydration therapy (mapped to “Infusion therapy services (excluding medications)”):
#### In-Network Provider
For in-network providers:  
the plan has a $250 deductible per person, not to exceed $500 per family.  
However, Infusion therapy services (excluding medications) in office is not subject to the deductible.  
The plan will reimburse the provider 100% of the allowed amount for Infusion therapy services (excluding medications) in office. 
#### Out-of-Network Provider
For out-of-network providers, the member is responsible for 100% of the provider's billed amount, as the plan only covers in-network providers. 
</t>
  </si>
  <si>
    <t>Telehealth</t>
  </si>
  <si>
    <t>Is coverage available for remote consultations with medical specialists?</t>
  </si>
  <si>
    <t xml:space="preserve">Brief Answer 
Yes. This PPO plan covers remote (telehealth) consultations, and specialist consultations are covered as office visit/consultation services. Telehealth is covered under Physician and other Professional Services, and there is also a Teladoc Health Consult benefit with $0 cost share when in-network.
──────────────────────────────────────────────────
Detailed Explanation
A) Telehealth consultations (remote consultations):
In-Network Provider 
For in-network providers: 
the plan has a $3,000 deductible per person, not to exceed $6,000 per family.  
However, Telehealth consultations is not subject to the deductible. Once the deductible is met, 
The plan will reimburse the provider 100% of the allowed amount for Teladoc Health Consult. 
Out-of-Network Provider 
For out-of-network providers: 
An out-of-network provider has the right to bill for the balance. What this means is that the member may be responsible for the difference between the allowed amount and billed amount. 
The {benefit_name} is not a benefit of this health plan. The member would be responsible for 100% of the billed amount. 
B) Specialist remote consults (specialist office visit/consultation):
Because telehealth is covered “on the same basis…as a service conducted in person,” a remote specialist consult would generally follow the Specialist Office Visit/Consultation cost share. 
In-Network Provider 
For in-network providers: 
the plan has a $3,000 deductible per person, not to exceed $6,000 per family.  
However, Specialist Office Visit/Consultation is not subject to the deductible. Once the deductible is met, 
The copay for Specialist Office Visit/Consultation services is $35 per visit.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Specialist Office Visit/Consultation is subject to this deductible. Once the deductible is met, 
The coinsurance is 50% of the allowed amount, and the plan will reimburse the remaining 50% of the allowed amount for Specialist Office Visit/Consultation.  
The service applies to the plan's out-of-pocket maximum amount of $13,000, not to exceed $26,000 per family. When the plan's out-of-pocket maximum amount is satisfied, the health plan will reimburse 100% of the allowed amount. 
</t>
  </si>
  <si>
    <t>Is coverage available for second surgical opinions?</t>
  </si>
  <si>
    <t xml:space="preserve">Brief Answer 
Yes. The plan covers second medical opinions as part of the Physician and other Professional Services benefit. Coverage (and cost) depends on whether the second opinion is through a Virtual Provider or a Participating Provider.
────────────────────────────────────────────────
Detailed Explanation
Exclusive Provider Organization (EPO) Disclaimer:
This is an Exclusive Provider Organization (EPO) plan. You must receive all Covered Benefits from a Participating Provider,  the exception is with Emergency or Urgent Services.
Second medical opinion (Specialist):
For Virtual providers:  
The plan has a $1,800 - Individual deductible for individual coverage, not to exceed $3,400 - Family Embedded Individual deductible per individual or $3,600 - Family deductible per family for family coverage.  
However, Office Visit/Consultation Physician Care - Specialist services is not subject to the deductible. The plan will reimburse the provider 100% of the allowed amount for Office Visit/Consultation Physician Care - Specialist services. 
For in-network providers, The plan has a $1,800 deductible for individual coverage, not to exceed $3,400 per individual or $3,600 per family for family coverage. Office Visit/Consultation Physician Care - Specialist services is subject to this deductible. Once the deductible is met, The coinsurance is 20% of the allowed amount, and the plan will reimburse the remaining 80% of the allowed amount for Office Visit/Consultation Physician Care - Specialist services.
Second medical opinion (Generalist):
For Virtual providers:  
The plan has a $1,800 deductible for individual coverage, not to exceed $3,400 per individual or $3,600 per family for family coverage.
However, Office Visit/Consultation Physician Care - Generalist is not subject to the deductible. The plan will reimburse the provider 100% of the allowed amount for Office Visit/Consultation Physician Care - Generalist. 
For in-network providers, The plan has a $1,800 deductible for individual coverage, not to exceed $3,400 per individual or $3,600 per family for family coverage. Office Visit/Consultation Physician Care - Generalist services is subject to this deductible. Once the deductible is met,The coinsurance is 20% of the allowed amount, and the plan will reimburse the remaining 80% of the allowed amount for Office Visit/Consultation Physician Care - Generalist.
</t>
  </si>
  <si>
    <t>Is coverage provided for medical nutrition therapy for chronic diseases?</t>
  </si>
  <si>
    <t xml:space="preserve">Brief Answer 
Yes. The plan covers medical nutrition therapy when it’s prescribed by a physician and provided by a Registered Dietitian Nutritionist (or other appropriately licensed/certified provider). Cost share depends on the setting and network.
──────────────────────────────────────────────────
Detailed Explanation
Medical Nutrition Therapy (for conditions other than diabetes):
In-Network Provider 
For in-network providers: 
the plan has a $2,250 deductible per person, not to exceed $4,500 per family.  
Medical nutrition therapy is subject to this deductible. Once the deductible is met,  
The coinsurance is 20% of the allowed amount, and the plan will reimburse the remaining 80% of the allowed amount for Medical nutrition therapy (office visits).  
The service applies to the plan's out-of-pocket maximum amount of $3,500, not to exceed $7,000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Medical nutrition therapy is subject to this deductible. Once the deductible is met,  
The coinsurance is 50% of the allowed amount, and the plan will reimburse the remaining 50% of the allowed amount for Medical nutrition therapy (office visits).  
The service applies to the plan's out-of-pocket maximum amount of $6,000, not to exceed $12,000 per family. When the plan's out-of-pocket maximum amount is satisfied, the health plan will reimburse 100% of the allowed amount.  
Additional details: 
- Treatment must be prescribed by a Physician.  
- Services must be provided by a Registered Dietitian Nutritionist or other appropriately licensed/certified provider.  
- The Member can continue to receive medical nutrition therapy as long as it’s medically necessary.  
- Blue Shield may periodically review the provider’s treatment plan/records for medical necessity.  
Additional details: 
- Treatment must be prescribed by a Physician.  
- Services must be provided by a Registered Dietitian Nutritionist or other appropriately licensed/certified provider.  
- The Member can continue to receive medical nutrition therapy as long as it’s medically necessary.  
- Blue Shield may periodically review the provider’s treatment plan/records for medical necessity.  
</t>
  </si>
  <si>
    <t>Benefit Category: Physician and other Professional Services/ Nutritional therapy
Par - 20% Coinsurance, Subject to Deductible – Yes, Applies to Annual Copay Max – Yes
Ded – $1,800 ind, $3,600 fam, $3,400 fam emb ind
OOPM - $4,500 ind, $9,000 fam, $4,500 fam emb ind
Non- Par – no coverage</t>
  </si>
  <si>
    <t>Is coverage provided for nutritional counseling for weight management?</t>
  </si>
  <si>
    <t xml:space="preserve">Brief Answer 
I couldn’t find a specific “nutritional counseling for weight management” benefit in the current plan document. The plan does include nutritional therapy/counseling under Physician and other Professional Services, but the document does not state that weight-management counseling is specifically covered under that benefit.
──────────────────────────────────────────────────
Detailed Explanation
The closest matching benefit in the plan is “Nutritional therapy/counseling” under Physician and other Professional Services (In-office services). Here are the cost shares:
Nutritional therapy/counseling (Physician &amp; other Professional Services → In-office services → Nutritional therapy):
In-Network Provider 
For in-network providers: 
the plan has a $1,000 deductible per person, not to exceed $3,000 per family.  
Nutritional therapy/counseling is subject to this deductible. Once the deductible is met,  
The coinsurance is 10% of the allowed amount, and the plan will reimburse the remaining 90% of the allowed amount for Nutritional therapy/counseling.  
The service applies to the plan's out-of-pocket maximum amount of $4,000, not to exceed $8,000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$1,000 deductible per person, not to exceed $3,000 per family.  
Nutritional therapy/counseling is subject to this deductible. Once the deductible is met,  
The coinsurance is 30% of the allowed amount, and the plan will reimburse the remaining 70% of the allowed amount for Nutritional therapy/counseling.  
The service applies to the plan's out-of-pocket maximum amount of $6,000, not to exceed $12,000 per family. When the plan's out-of-pocket maximum amount is satisfied, the health plan will reimburse 100% of the allowed amount. 
Important note about “weight management”:
The plan’s exclusions section states: “This Plan does not cover weight control programs and exercise programs, except as described in this EOC in the Diabetes care services section or as required by law.”  
Because the plan does not explicitly define “nutritional counseling for weight management” as covered (or excluded) under the “Nutritional therapy/counseling” benefit, I can’t confirm coverage specifically for weight-management counseling from this document alone.
</t>
  </si>
  <si>
    <t xml:space="preserve">Benefit: Physician and other Professional Services: Nutritional therapy
HMO: $0 copay, No ded, No OOPM
Treatment must be prescribed by a Physician and provided by a Registered Dietitian Nutritionist or other appropriately-licensed or certified Health Care Provider. You can continue to receive medical nutrition therapy as long as your treatment is Medically Necessary. Blue Shield may periodically review the provider’s treatment plan and records for Medical Necessity. </t>
  </si>
  <si>
    <t>Is coverage provided for remote consultations with medical specialists?</t>
  </si>
  <si>
    <t>32.814</t>
  </si>
  <si>
    <t xml:space="preserve">Brief Answer
Yes. The plan covers specialist consultations, and the plan document says telehealth consultations provided remotely are covered on the same basis and to the same extent as in-person services.
──────────────────────────────────────────────────
Detailed Explanation
Remote specialist consultations
In-Network Provider
Specialist office visits/consultations are covered under Physician and other Professional Services. 
Telehealth consultations provided remotely via communication technologies are covered on the same basis and to the same extent as a service conducted in person.
This is an active choice plan that allows you to use your First Dollar Services credit towards these services before any Deductible applies. Your credit is $850 for individual coverage, and $1,700 if you have family coverage. 
After the first $850  per Member or $1,700 per Family First Dollar Services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 has a $1,000 deductible per person, not to exceed $2,000 per family.  
The service applies to the plan's out-of-pocket maximum amount of $5,000, not to exceed $10,000 per family. 
When the plan's out-of-pocket maximum amount is satisfied, the health plan will reimburse 100% of the allowed amount.  
Out-of-Network Provider
An out-of-network provider has the right to bill for the balance. What this means is that the member may be responsible for the difference between the allowed amount and billed amount. 
This is an active choice plan that allows you to use your First Dollar Services credit towards these services before any Deductible applies. Your credit is $850 for individual coverage, and $1,700 if you have family coverage. 
After the first $850 per Member or $1,700 per Family First Dollar Services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 has a $1,000 deductible per person, not to exceed $2,000 per family.  
The service applies to the plan’s out-of-pocket maximum of $10,000 individual / $20,000 family for non-participating providers .
When the plan's out-of-pocket maximum amount is satisfied, the health plan will reimburse 100% of the allowed amount.  
</t>
  </si>
  <si>
    <t xml:space="preserve">HW 5/18: New rule 57 </t>
  </si>
  <si>
    <t>Is there a copay for remote telehealth visits?</t>
  </si>
  <si>
    <t xml:space="preserve">Brief Answer 
For Teladoc Health (remote) general medical consultations, the plan shows no copay (No Charge) when using an in-network (HMO Provider) telehealth benefit.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Teladoc Health Consult (Telehealth Services):
#### In-Network Provider
For in-network providers:  
the plan does not have a deductible.  
However,   
The plan will reimburse the provider 100% of the allowed amount for Teladoc Health Consult. 
This member's Professional Physician Services benefits are administered by Teladoc Health. For questions about Professional Physician Services, Teladoc Health participating providers, or Professional Physician Services benefits, contact Teladoc Health at (800) 835-2362. [If vendor website is available: You can also visit Not available in the plan document for more information.] 
#### Out-of-Network Provider
For out-of-network providers, the member is responsible for 100% of the provider's billed amount, as the plan only covers in-network providers. 
</t>
  </si>
  <si>
    <t>KT0505 - LLM Rule(Deductible).  Also we should remove the "Yes" from the answer as it is confusing</t>
  </si>
  <si>
    <t>Remove Teladoc Health Consult is not subject to the deductible.  Also remove "Yes" from the below - Yes. For Teladoc Health (remote) general medical consultations, the plan shows no copay (No Charge) when using an in-network (HMO Provider) telehealth benefit.</t>
  </si>
  <si>
    <t>My primary doctor removed mole today in her office. Do you know what I would be expected to pay for that?</t>
  </si>
  <si>
    <t xml:space="preserve">Brief Answer 
A mole removal done in a doctor’s office would typically process as an office-based surgery/procedure. Under this PPO plan, it is subject to the $250 individual / $750 family medical deductible, and once the deductible is met the member pays 10% coinsurance in-network.
──────────────────────────────────────────────────
Detailed Explanation
A. Office-based procedure (Doctor’s office):
#### In-Network Provider
For in-network providers:  
the plan has a $250 deductible per person, not to exceed $750 per family.  
Professional Physician Services – Office-based surgeries is subject to this deductible. Once the deductible is met,  
The coinsurance is 10% of the allowed amount, and the plan will reimburse the remaining 90% of the allowed amount for Professional Physician Services – Office-based surgeries.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Professional Physician Services – Office-based surgeries is subject to this deductible. Once the deductible is met,  
The coinsurance is 40% of the allowed amount, and the plan will reimburse the remaining 60% of the allowed amount for Professional Physician Services – Office-based surgeries.  
The service applies to the plan's out-of-pocket maximum amount of $7,750, not to exceed $15,500 per family. When the plan's out-of-pocket maximum amount is satisfied, the health plan will reimburse 100% of the allowed amount. 
Additional Information: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</si>
  <si>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What are my benefits for a new patient office visit?</t>
  </si>
  <si>
    <t xml:space="preserve">Brief Answer 
For a new patient office visit, the plan covers the visit with a $25 copay in-network. If the provider is out-of-network, the member pays 40% coinsurance and may also be billed for the balance.
──────────────────────────────────────────────────
Detailed Explanation
New patient office visit (Office Visit/Consultation – Generalist):
#### In-Network Provider
For in-network providers: 
the plan has a $750 deductible per person, not to exceed $2,250 per family.  
However, Office Visit/Consultation Physician Care - Generalist is not subject to the deductible.  
The copay for Office Visit/Consultation Physician Care - Generalist services is $25.  
The service applies to the plan's out-of-pocket maximum amount of $5,250, not to exceed $10,500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Office Visit/Consultation Physician Care - Generalist is subject to this deductible. Once the deductible is met,  
The coinsurance is 40% of the allowed amount, and the plan will reimburse the remaining 60% of the allowed amount for Office Visit/Consultation Physician Care - Generalist.  
The service applies to the plan's out-of-pocket maximum amount of $9,500, not to exceed $19,000 per family. When the plan's out-of-pocket maximum amount is satisfied, the health plan will reimburse 100% of the allowed amount. 
</t>
  </si>
  <si>
    <t>What benefits do I have for wound care services?</t>
  </si>
  <si>
    <t>8.965</t>
  </si>
  <si>
    <t xml:space="preserve">Brief Answer
I need a little more detail to map wound care to the correct benefit. Please tell me whether the care is being done in an office, outpatient hospital, inpatient hospital, or at home, and whether it is routine wound care or a procedure such as debridement.
──────────────────────────────────────────────────
Detailed Explanation
Wound care can fall under different benefit categories depending on the setting and whether it is a routine treatment, a physician service, a hospital outpatient service, or home health care. I can give the correct coverage details once I know the place of service and the type of wound care.
</t>
  </si>
  <si>
    <t>What is my benefit for an epidural steroid injection?</t>
  </si>
  <si>
    <t xml:space="preserve">Brief Answer 
An epidural steroid injection would be covered under the plan’s Physician and other Professional Services (professional/injectable medication administration) benefit, and it is listed as No Charge when performed by an in-network (HMO) provider. Because this is an HMO plan, there is no out-of-network coverage (member would pay 100% of billed charges).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Epidural steroid injection (mapped to Injectable medications – Office Location):
#### In-Network Provider
For in-network providers:  
the plan does not have a deductible.  
.  
The plan will reimburse the provider 100% of the allowed amount for Injectable medications – Office Location. 
#### Out-of-Network Provider
For out-of-network providers, the member is responsible for 100% of the provider's billed amount, as the plan only covers in-network providers. 
</t>
  </si>
  <si>
    <t>Removed However, Injectable medications – Office Location is not subject to the deductible</t>
  </si>
  <si>
    <t>What is my benefits for seeing a physician?</t>
  </si>
  <si>
    <t xml:space="preserve">Brief Answer 
For this Trio ACO HMO plan, physician visits are covered in-network through the Member’s medical group, and the standard cost share for a physician office visit is $30 per visit. Out-of-network physician services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Physician office visit (Generalist / Primary Care):
In-Network Provider 
For in-network providers: 
the plan does not have a deductible. 
The copay for Office Visit/Consultation (Generalist) services is $30.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Physician office visit (Specialist):
In-Network Provider 
For in-network providers: 
the plan does not have a deductible. 
. 
The copay for Office Visit/Consultation (Specialist) services is $30.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</si>
  <si>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Removed However, Office Visit/Consultation (Generalist) is not subject to the deductible. 
However, Office Visit/Consultation (Specialist) is not subject to the deductible</t>
  </si>
  <si>
    <t>M0002001</t>
  </si>
  <si>
    <t>What is my cost share for infusion therapy at my physician's office?</t>
  </si>
  <si>
    <t xml:space="preserve">Brief Answer 
For infusion therapy services (excluding medications) in a physician’s office, the cost share depends on the network level: In-network (Level 1 HMO Provider): No Charge; Level 2 PPO Provider: 20% coinsurance (subject to the medical deductible); Level 3 Non-Participating Provider: 40% coinsurance (subject to the medical deductible).
──────────────────────────────────────────────────
Detailed Explanation
Infusion therapy services (excluding medications) in office:
For Level 1 HMO in-network providers,  services must be provided or prior authorized by your primary care physician (PCP) or assigned medical group / IPA.  There is no deductible and you have a $0 cost share.
For Level 2 PPO in-network providers, you may access services without a referral. The plan has a $500 deductible per person, not to exceed $1,000 per family.  Once the deductible is met, the plan will reimburse the provider 80% of the allowed amount for Infusion therapy services (excluding medications) in offices.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Infusion therapy services (excluding medications) in office.  
The service applies to the plan's out-of-pocket maximum amount of $5,500, not to exceed $16,000 per family. When the plan's out-of-pocket maximum amount is satisfied, the health plan will reimburse 100% of the allowed amount.  
</t>
  </si>
  <si>
    <t>Product Does Not Exist</t>
  </si>
  <si>
    <t>What is my coverage for seeing a Gastroenterologist?</t>
  </si>
  <si>
    <t xml:space="preserve">Brief Answer 
For a Gastroenterologist visit, the plan treats this as a specialist office visit. In-network the Member pays a $15 copay per visit; out-of-network the Member pays 30% coinsurance (and the out-of-network provider may balance bill). 
──────────────────────────────────────────────────
Detailed Explanation
Gastroenterologist (Specialist Office Visit/Consultation):
#### In-Network Provider
For in-network providers: 
the plan has a $250 deductible per person, not to exceed $750 per family.  
However, Specialist Office Visit/Consultation is not subject to the deductible. Once the deductible is met,  
The copay for Specialist Office Visit/Consultation services is $15.  
The service applies to the plan's out-of-pocket maximum amount of $2,750, not to exceed $5,500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Specialist Office Visit/Consultation is subject to this deductible. Once the deductible is met,  
The coinsurance is 30% of the allowed amount, and the plan will reimburse the remaining 70% of the allowed amount for Specialist Office Visit/Consultation.  
The service applies to the plan's out-of-pocket maximum amount of $5,250, not to exceed $10,500 per family. When the plan's out-of-pocket maximum amount is satisfied, the health plan will reimburse 100% of the allowed amount. 
</t>
  </si>
  <si>
    <t>Specialist Office Visit/Consultation</t>
  </si>
  <si>
    <t>What is my coverage for seeing a Urologist?</t>
  </si>
  <si>
    <t xml:space="preserve">Brief Answer 
For this PPO plan, a urologist visit is covered as a Specialist Office Visit/Consultation. In-network, the cost is a $30 copay per visit; out-of-network, it’s 50% coinsurance and the provider may balance bill.
──────────────────────────────────────────────────
Detailed Explanation
Specialist Office Visit/Consultation (Urologist)
In-Network Provider 
For in-network providers: 
the plan has a $2,500 deductible per person, not to exceed $5,000 per family.  
However, Specialist Office Visit/Consultation is not subject to the deductible.  
The copay for Specialist Office Visit/Consultation services is $30.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Specialist Office Visit/Consultation is subject to this deductible. Once the deductible is met,  
The coinsurance is 50% of the allowed amount, and the plan will reimburse the remaining 50% of the allowed amount for Specialist Office Visit/Consultation.  
The service applies to the plan's out-of-pocket maximum amount of $10,500, not to exceed $21,000 per family. When the plan's out-of-pocket maximum amount is satisfied, the health plan will reimburse 100% of the allowed amount. 
</t>
  </si>
  <si>
    <t>What is the copayment for a visit to a Pediatrician for my son?</t>
  </si>
  <si>
    <t xml:space="preserve">Brief Answer 
I couldn’t find a benefit in the current plan document specifically labeled “Pediatrician visit.” However, pediatrician visits are typically processed under the plan’s Physician office visit (Generalist) benefit, which is $20 per visit in-network.
──────────────────────────────────────────────────
Detailed Explanation
Pediatrician office visit (mapped to Office Visit/Consultation – Physician Care (Generalist)):
In-Network Provider 
For in-network providers: 
the plan has a $500 deductible per person, not to exceed $1,500 per family.  
However, Office Visit/Consultation Physician Care - Generalist is not subject to the deductible.  
The copay for Office Visit/Consultation Physician Care - Generalist services is $20.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I couldn’t find out-of-network office visit cost-share details in the current plan document.
</t>
  </si>
  <si>
    <t>What is the coverage for telehealth consults?</t>
  </si>
  <si>
    <t xml:space="preserve">Brief Answer 
Telehealth consults (Teladoc Health Consult) are covered at no charge when provided by a participating (in-network) provider. Out-of-network telehealth consults are not covered under this plan.
──────────────────────────────────────────────────
Detailed Explanation
Telehealth consults (Teladoc Health Consult)
In-Network Provider 
For in-network providers: 
the plan has a $750 deductible per person, not to exceed $2,250 per family.  
However, Teladoc Health Consult is not subject to the deductible.  
The plan will reimburse the provider 100% of the allowed amount for Teladoc Health Consult. 
Out-of-Network Provider 
For out-of-network providers: 
An out-of-network provider has the right to bill for the balance. What this means is that the member may be responsible for the difference between the allowed amount and billed amount.  
Teladoc Health Consult is not a benefit of this health plan. The member would be responsible for 100% of the billed amount. 
</t>
  </si>
  <si>
    <t>What would the copayment be for visit with the Nurse Practitioners (NPs)?</t>
  </si>
  <si>
    <t xml:space="preserve">Brief Answer 
For a visit with a Nurse Practitioner (NP), the plan shows a $30 copay per visit when the Member sees a Participating (in-network) Provider. Out-of-network NP visits show 40% coinsurance (and balance billing may apply).
──────────────────────────────────────────────────
Detailed Explanation
Nurse Practitioner office visit (mapped to “Other practitioner office visit”):
In-Network Provider 
For in-network providers: 
the plan has a $750 deductible per person, not to exceed $2,250 per family.  
However, Other practitioner office visit is not subject to the deductible.  
The copay for Other practitioner office visit services is $30.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Other practitioner office visit is subject to this deductible. Once the deductible is met,  
The coinsurance is 40% of the allowed amount, and the plan will reimburse the remaining 60% of the allowed amount for Other practitioner office visit .  
The service applies to the plan's out-of-pocket maximum amount of $10,750, not to exceed $21,500 per family. When the plan's out-of-pocket maximum amount is satisfied, the health plan will reimburse 100% of the allowed amount. 
</t>
  </si>
  <si>
    <t>Brief Answer
For an in-network Nurse Practitioner (NP) office visit, the copayment is $20 per visit. Out-of-network NP visits are not covered under this HMO plan.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Nurse Practitioner (NP) office visit (mapped to “Other practitioner office visit”):
#### In-Network Provider
For in-network providers, [2]
The plan has a $1,500 deductible per person, not to exceed $3,000 per family. [3]
However, Other practitioner office visit is not subject to the deductible. [2]
The copay for Other practitioner office visit (NP) services is $20. [2]
The service applies to the plan's out-of-pocket maximum amount of $3,000 individual out-of-pocket maximum, not to exceed $6,000 per family. When the plan's out-of-pocket maximum amount is satisfied, the health plan will reimburse 100% of the allowed amount. [2][4]
#### Out-of-Network Provider
For out-of-network providers, the member is responsible for 100% of the provider's billed amount, as the plan only covers in-network providers.
──────────────────────────────────────────────────
Sources &amp; Citations
--- TABLE ---
Ref | Benefit/Service | Cost Share | Source
[1] | HMO PCP/Medical Group coordination disclaimer | N/A | RULES_JSON &gt; levels[2] &gt; rules[0] (Rule 4)
[2] | Other practitioner office visit (used for NP visits) | $20 per visit; Not subject to deductible; OOPM applies: true | eocCategories &gt; Physician and other Professional Services &gt; benefitSubCategories &gt; In-office services &gt; benefits &gt; Other practitioner office visit &gt; providerCostShares[0]
[3] | Medical Deductible (Facility) | $1,500 Individual Facility / $3,000 Family Facility | planCostShares[costShareType="Medical Deductible"] &gt; providerCostShares[providerCostShareType="HMO Provider"] &gt; coveredParties
[4] | Out-of-Pocket Maximum | $3,000 Individual / $6,000 Family | planCostShares[costShareType="OOP Maximum"] &gt; providerCostShares[providerCostShareType="HMO Provider"] &gt; coveredParties</t>
  </si>
  <si>
    <t>Other practitioner office visit</t>
  </si>
  <si>
    <t>What would the copayment be for visit with the Physician Assistant (PAs)?</t>
  </si>
  <si>
    <t xml:space="preserve">Brief Answer 
For a visit with a Physician Assistant (PA), the copay is $15 per visit (in-network). This PA visit is not subject to the plan’s facility deductible.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Physician Assistant (PA) office visit (maps to “Other practitioner office visit”):
In-Network Provider 
For in-network providers:  
the plan has a $1,500 deductible per person, not to exceed $3,000 per family.  
However, Other practitioner office visit is not subject to the deductible.  
The copay for Other practitioner office visit services is $15 per visit.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</si>
  <si>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 xml:space="preserve">Minera Response (Needs to be human validated)
For an in-network Physician Assistant (PA) office visit, the copay is $30 per visit. If the PA is out-of-network, the cost share is 40% coinsurance (and the provider may balance bill).
──────────────────────────────────────────────────
Detailed Explanation:
Physician Assistant (PA) office visit (Other practitioner office visit):
#### In-Network Provider
For in-network providers, [1] 
The plan has a $750 deductible per person, not to exceed $2,250 per family. [3] 
However, Physician Assistant (PA) office visit (other practitioner office visit) is not subject to the deductible. [1] 
The copay for Physician Assistant (PA) office visit (other practitioner office visit) services is $30 per visit. [1] 
The service applies to the plan's out-of-pocket maximum amount of $6,250 per individual, not to exceed $12,500 per family. When the plan's out-of-pocket maximum amount is satisfied, the health plan will reimburse 100% of the allowed amount. [4]
#### Out-of-Network Provider
For out-of-network providers, . [2] 
An out-of-network provider has the right to bill for the balance. What this means is that the member may be responsible for the difference between the allowed amount and billed amount. [2] 
The plan has a $750 deductible per person, not to exceed $2,250 per family. [3] 
Physician Assistant (PA) office visit (other practitioner office visit) is subject to this deductible. Once the deductible is met, [2] 
The coinsurance is 40% of the allowed amount, and the plan will reimburse the remaining 60% of the allowed amount for Physician Assistant (PA) office visit (other practitioner office visit) services. [2] 
The service applies to the plan's out-of-pocket maximum amount of $10,750 per individual, not to exceed $21,500 per family. When the plan's out-of-pocket maximum amount is satisfied, the health plan will reimburse 100% of the allowed amount. [5]
</t>
  </si>
  <si>
    <t>What's my cost for seeing a Neurologist?</t>
  </si>
  <si>
    <t xml:space="preserve">Brief Answer 
For this PPO plan, a Neurologist visit is treated as a Specialist Office Visit/Consultation. The in-network copay is $30 per visit, and it is not subject to the medical deductible.
──────────────────────────────────────────────────
Detailed Explanation
Because this is a PPO plan, the neurologist visit is quoted under Physician and other Professional Services &gt; Specialist Office Visit/Consultation.
Neurologist (Specialist Office Visit/Consultation):
For in-network providers: 
the plan has a $1,500 deductible per person, not to exceed $3,000 per family.
However, Specialist Office Visit/Consultation is not subject to the deductible. Once the deductible is met,  
The copay for Specialist Office Visit/Consultation services is $20.
The service applies to the plan's out-of-pocket maximum amount of $5,500, not to exceed $11,000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Specialist Office Visit/Consultation is subject to this deductible. Once the deductible is met,  
The coinsurance is 40% of the allowed amount, and the plan will reimburse the remaining 60% of the allowed amount for Specialist Office Visit/Consultation. 
The service applies to the plan's out-of-pocket maximum amount of $10,000, not to exceed $20,000 per family. When the plan's out-of-pocket maximum amount is satisfied, the health plan will reimburse 100% of the allowed amount. 
</t>
  </si>
  <si>
    <t>Incorrect Cost Share</t>
  </si>
  <si>
    <t xml:space="preserve">Corrected InNetwork copay from 30 to 20 </t>
  </si>
  <si>
    <t>What's my cost for seeing an OBGYN?</t>
  </si>
  <si>
    <t xml:space="preserve">Brief Answer 
For this Access+ HMO plan, an OB/GYN office visit is $20 per visit when the Member sees an in-network (HMO Provider) OB/GYN. Out-of-network OB/GYN office visits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OB/GYN Office Visit (Specialist Office Visit/Consultation):
In-Network Provider 
For in-network providers:  
the plan has a $1,500 deductible per person, not to exceed $3,000 per family.  
However, Specialist Office Visit/Consultation Physician Care - Specialist is not subject to the deductible.  
The copay for Specialist Office Visit/Consultation Physician Care - Specialist services is $20.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</si>
  <si>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I am having a cataract surgery soon. What charges should I expect for the surgery? </t>
  </si>
  <si>
    <t xml:space="preserve">Brief Answer 
Cataract surgery is typically processed as an outpatient surgery, so you can expect (1) professional fees (surgeon, anesthesia, etc.) and (2) a facility fee (hospital outpatient surgery department or ambulatory surgery center). Under this Access+ HMO plan, the professional surgery charges are $0 (no charge), and the facility charge is 30% coinsurance (hospital outpatient) or 15% coinsurance (ambulatory surgery center), and the facility coinsurance is subject to the $1,500 individual / $3,000 family facility deductible.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cataract surgery — Professional fees (surgeon/physician):
In-Network Provider 
For in-network providers:  
the plan has a $1,500 deductible per person, not to exceed $3,000 per family.  
However, Physician or surgeon services in an outpatient facility is not subject to the deductible. Once the deductible is met,  
The plan will reimburse the provider 100% of the allowed amount for Physician or surgeon services in an outpatient facility. 
Out-of-Network Provider 
For out-of-network providers, the member is responsible for 100% of the provider's billed amount, as the plan only covers in-network providers. 
──────────────────────────────────────────────────
Outpatient cataract surgery — Facility fee (where the surgery is performed):
#### A) Hospital outpatient surgery department (facility services)
In-Network Provider 
For in-network providers:  
the plan has a $1,500 deductible per person, not to exceed $3,000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B) Ambulatory Surgery Center (ASC) (free-standing facility services)
In-Network Provider 
For in-network providers:  
the plan has a $1,500 deductible per person, not to exceed $3,000 per family.  
Ambulatory Surgery Center Free Standing Facility Services is subject to this deductible. Once the deductible is met,  
The coinsurance is 15% of the allowed amount, and the plan will reimburse the remaining 85% of the allowed amount for Ambulatory Surgery Center Free Standing Facility Services.  
The service applies to the plan's out-of-pocket maximum amount of $3,000, not to exceed $6,000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</si>
  <si>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I have Carpal Tunnel and may need surgery to release the wrist ligament. What does my health plan cover for surgeries?</t>
  </si>
  <si>
    <t>Brief Answer 
This PPO plan covers medically necessary surgeries, but what the Member pays depends on where the surgery is done (ambulatory surgery center vs. outpatient hospital vs. inpatient hospital) and whether the provider is in-network. Carpal tunnel release is typically an outpatient surgery, so the main costs to quote are the outpatient professional (surgeon) and outpatient facility benefits.
──────────────────────────────────────────────────
Detailed Explanation
Plan deductible and out-of-pocket maximum (context for surgery):
the plan has a $250 deductible per person, not to exceed $750 per family.  
- In-network OOPM: $3,750 individual / $7,500 family.  
- Out-of-network OOPM: $10,250 individual / $20,500 family. 
A) Professional (surgeon) services — Outpatient (typical for carpal tunnel release):
In-Network Provider:
For in-network providers: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Professional Services Surgery - Outpatient is subject to this deductible. Once the deductible is met,  
The coinsurance is 40% of the allowed amount, and the plan will reimburse the remaining 60% of the allowed amount for Professional Services Surgery - Outpatient.  
The service applies to the plan's out-of-pocket maximum amount of $10,250, not to exceed $20,500 per family. When the plan's out-of-pocket maximum amount is satisfied, the health plan will reimburse 100% of the allowed amount. 
B) Facility services — where the surgery is performed:
Option 1: Ambulatory Surgery Center (Free Standing) — Surgery (Facility):
#### In-Network Provider
For in-network providers: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$10,250, not to exceed $20,500 per family. When the plan's out-of-pocket maximum amount is satisfied, the health plan will reimburse 100% of the allowed amount. 
Option 2: Outpatient Hospital — Surgery (Facility):
#### In-Network Provider
For in-network providers: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Outpatient Hospital Facility Services for Surgery is subject to this deductible. Once the deductible is met,  
The coinsurance is 40% of the allowed amount, and the plan will reimburse the remaining 60%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$10,250, not to exceed $20,500 per family. When the plan's out-of-pocket maximum amount is satisfied, the health plan will reimburse 100% of the allowed amount. 
C) If the surgery is instead done as an inpatient admission (less common for carpal tunnel, but included if needed):
In-Network Provider (Inpatient Hospital Facility):
For in-network providers:  
Hospital Room Facility Services - Room and board and all medically necessary ancillary services and supplies is subject to this deductible. Once the deductible is met,  
The coinsurance is 20% of the allowed amount, and the plan will reimburse the remaining 80% of the allowed amount for Hospital Room Facility Services - Room and board and all medically necessary ancillary services and supplies.  
The service applies to the plan's out-of-pocket maximum amount of $3,750, not to exceed $7,500 per family. When the plan's out-of-pocket maximum amount is satisfied, the health plan will reimburse 100% of the allowed amount. 
Out-of-Network Provider (Inpatient Hospital Facility):
For out-of-network providers:  
An out-of-network provider has the right to bill for the balance. What this means is that the member may be responsible for the difference between the allowed amount and billed amount.  
Hospital Room Facility Services - Room and board and all medically necessary ancillary services and supplies is subject to this deductible. Once the deductible is met,  
The coinsurance is 40% of the allowed amount, and the plan will reimburse the remaining 60% of the allowed amount for Hospital Room Facility Services - Room and board and all medically necessary ancillary services and supplies.  
This plan has a maximum payable amount of up to $600 per day. This means the member would also be responsible for all charges above $600 per day.  
The service applies to the plan's out-of-pocket maximum amount of $10,250, not to exceed $20,500 per family. When the plan's out-of-pocket maximum amount is satisfied, the health plan will reimburse 100% of the allowed amount.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t>
  </si>
  <si>
    <t>I need a breast biopsy. What will I need to pay for that?</t>
  </si>
  <si>
    <t xml:space="preserve">Brief Answer 
A breast biopsy would be treated as a medical procedure. Based on this plan’s EPO structure, your cost depends on where it’s performed (office vs outpatient hospital vs ambulatory surgery center). I couldn’t find a specific “breast biopsy” line item, so I’m mapping it to the plan’s general outpatient surgery/procedure benefits.
──────────────────────────────────────────────────
Detailed Explanation
Exclusive Provider Organization (EPO) Disclaimer:
This is an Exclusive Provider Organization (EPO) plan. You must receive all Covered Benefits from a Participating Provider,  the exception is with Emergency or Urgent Services.
A) Professional services (surgeon/physician) — typically billed separately:
In-Network Provider:
For in-network providers: 
the plan has a $2,500 deductible per person, not to exceed $5,000 per family.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$5,000, not to exceed $10,000 per family. When the plan's out-of-pocket maximum amount is satisfied, the health plan will reimburse 100% of the allowed amount. 
──────────────────────────────────────────────────
B) Facility services — where the biopsy is performed:
Option 1: Outpatient hospital facility (surgery):
#### In-Network Provider
For in-network providers: 
the plan has a $2,500 deductible per person, not to exceed $5,000 per family.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$5,000, not to exceed $10,000 per family. When the plan's out-of-pocket maximum amount is satisfied, the health plan will reimburse 100% of the allowed amount. 
Option 2: Ambulatory Surgery Center (ASC) facility:
#### In-Network Provider
For in-network providers: 
the plan has a $2,500 deductible per person, not to exceed $5,000 per family.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$5,000, not to exceed $10,000 per family. When the plan's out-of-pocket maximum amount is satisfied, the health plan will reimburse 100% of the allowed amount. 
──────────────────────────────────────────────────
#### Out-of-Network Provider (Non-Participating Provider)
For out-of-network providers:  
Out-of-network providers are not covered under this plan.
Additinal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</si>
  <si>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Physician or surgeon services in an outpatient facility
Outpatient: Surgeries
Ambulatory Service Centers</t>
  </si>
  <si>
    <t>I need a hernia repair, how does my insurance cover that?</t>
  </si>
  <si>
    <t xml:space="preserve">Brief Answer 
A hernia repair is generally treated as a surgical procedure, so coverage depends on where it’s done (outpatient hospital vs. ambulatory surgery center vs. inpatient). On this Local Access+ HMO plan, the Member typically pays $200 per surgery at an Ambulatory Surgery Center or $500 per surgery at an Outpatient Hospital, and the surgeon’s professional services are No Charge when in-network.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surgery — Professional (surgeon):
This plan does not have a deductible. 
The plan will reimburse the provider 100% of the allowed amount for Professional Services Surgery - Outpatient. 
For out-of-network providers: 
For out-of-network providers, the member is responsible for 100% of the provider's billed amount, as the plan only covers in-network providers.
In addition to the surgeon's and facility bill, the member can expect related fees for professional services like anesthesia or any related to diagnostic testing (e.g., radiological, pathology, or laboratory). 
B) Outpatient surgery — Facility (Outpatient Hospital):
For in-network providers: 
This plan does not have a deductible. 
The copay for Outpatient Hospital Facility Services for Surgery services is $500.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C) Outpatient surgery — Facility (Ambulatory Surgery Center):
For in-network providers: 
This plan does not have a deductible.
The copay for Ambulatory Surgery Center Free Standing Facility Services services is $200.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D) If the hernia repair requires inpatient admission (Hospital stay):
For in-network providers: 
This plan does not have a deductible.
The copay for Hospital Room Facility Services - Room and board and all medically necessary ancillary services and supplies services is $750 per day. 
This plan has a maximum copayment of $750 per day up to 3 days per admission. This means after 3 days, the member would have no cost share for any additional days of their admission.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In addition to the hospital bill, the member can expect related professional fees for services like surgery, anesthesia, and diagnostic testing (radiological, pathology, or laboratory). 
</t>
  </si>
  <si>
    <t xml:space="preserve">Physician or surgeon services in an outpatient facility
Surgery- Surgeries
Hospital Services - Ambulatory Surgery Centers - Surgery
Hospital Services - Outpatient - Surgeries
</t>
  </si>
  <si>
    <t>I probably torn my meniscus and need a knee arthroscopy, what will that cost?</t>
  </si>
  <si>
    <t xml:space="preserve">Brief Answer 
A knee arthroscopy is typically an outpatient surgery, so the Member’s cost will usually include facility charges (hospital outpatient or ambulatory surgery center) plus professional charges (surgeon, anesthesia, and any related diagnostic testing). Under this PPO plan, the Member will generally pay 10% coinsurance for outpatient professional services and either 15% coinsurance (outpatient hospital facility) or 5% coinsurance (ASC facility) after the $250 individual / $750 family in-network medical deductible is met.
──────────────────────────────────────────────────
Detailed Explanation
Knee arthroscopy is a surgical procedure commonly performed in an outpatient setting, so the relevant benefits are outpatient professional (surgeon/anesthesia) and outpatient facility (hospital outpatient or ambulatory surgery center). 
A) Professional Services (Surgeon/Anesthesia) — Outpatient:
#### In-Network Provider
For in-network providers:  
the plan has a $250 deductible per person, not to exceed $750 per family.  
Professional Services Surgery - Outpatient is subject to this deductible. Once the deductible is met,  
The coinsurance is 10% of the allowed amount, and the plan will reimburse the remaining 90% of the allowed amount for Professional Services Surgery - Outpatient.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Professional Services Surgery - Outpatient is subject to this deductible. Once the deductible is met,  
The coinsurance is 30% of the allowed amount, and the plan will reimburse the remaining 70% of the allowed amount for Professional Services Surgery - Outpatient.  
The service applies to the plan's out-of-pocket maximum amount of $3,500, not to exceed $7,000 per family. When the plan's out-of-pocket maximum amount is satisfied, the health plan will reimburse 100% of the allowed amount. 
──────────────────────────────────────────────────
B) Facility Services — Outpatient Hospital (if done in a hospital outpatient department):
#### In-Network Provider
For in-network providers:  
the plan has a $250 deductible per person, not to exceed $750 per family.  
Outpatient Hospital Facility Services for Surgery is subject to this deductible. Once the deductible is met,  
The coinsurance is 15% of the allowed amount, and the plan will reimburse the remaining 85% of the allowed amount for Outpatient Hospital Facility Services for Surgery.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$3,500, not to exceed $7,000 per family. When the plan's out-of-pocket maximum amount is satisfied, the health plan will reimburse 100% of the allowed amount. 
──────────────────────────────────────────────────
C) Facility Services — Ambulatory Surgery Center (ASC) (if done at a freestanding surgery center):
#### In-Network Provider
For in-network providers:  
the plan has a $250 deductible per person, not to exceed $750 per family.  
Ambulatory Surgery Center Free Standing Facility Services is subject to this deductible. Once the deductible is met,  
The coinsurance is 5% of the allowed amount, and the plan will reimburse the remaining 95% of the allowed amount for Ambulatory Surgery Center Free Standing Facility Services.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Ambulatory Surgery Center Free Standing Facility Services is subject to this deductible. Once the deductible is met,  
The coinsurance is 30% of the allowed amount, and the plan will reimburse the remaining 70%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$3,500, not to exceed $7,000 per family. When the plan's out-of-pocket maximum amount is satisfied, the health plan will reimburse 100% of the allowed amount.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</si>
  <si>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It looks like I'm going to need a hip replacement and I'm trying to plan for the cost of that, can you tell me what my insurance will cover and what I will need to pay?</t>
  </si>
  <si>
    <t xml:space="preserve">Brief Answer 
A hip replacement is typically an inpatient surgery, so the member’s main cost will usually be 40% coinsurance for the hospital (facility) charges, while the surgeon/physician (professional) services are covered at No Charge under this plan when done in-network. The member may also have additional related professional fees (e.g., anesthesia, diagnostic testing), but many professional services show No Charge in the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Inpatient Hospital (Facility charges — room/board + ancillary services)
In-Network Provider 
For in-network providers:  
.  
The coinsurance is 40% of the allowed amount, and the plan will reimburse the remaining 60% of the allowed amount for Inpatient Hospital Facility Services.  
The service applies to the plan's out-of-pocket maximum amount of $4,000, not to exceed $8,000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Additional details: 
- Inpatient hospital benefits include room and board and medically necessary ancillary services and supplies. 
Out-of-Network Provider 
For out-of-network providers, the member is responsible for 100% of the provider's billed amount, as the plan only covers in-network providers.
──────────────────────────────────────────────────
B) Inpatient Professional (Surgeon/physician professional services)
In-Network Provider 
For in-network providers:  
The plan will reimburse the provider 100% of the allowed amount for Physician or surgeon services in an inpatient facility. 
Out-of-Network Provider 
For out-of-network providers, the member is responsible for 100% of the provider's billed amount, as the plan only covers in-network providers.
──────────────────────────────────────────────────
C) Related services you may also see billed with a hip replacement (common examples) 
The plan document notes that, in addition to the surgeon’s and facility bill, the member can expect related professional fees like anesthesia and diagnostic testing.  
- If you need help confirming how anesthesia and any specific diagnostic testing lines will process under this plan for the planned setting, I recommend checking the relevant benefit category in the Knowledgebase.
</t>
  </si>
  <si>
    <t>Surgery</t>
  </si>
  <si>
    <t>My daughter has been referred to have a Tonsillectomy with Adenoidectomy, can you tell me how that's covered?</t>
  </si>
  <si>
    <t xml:space="preserve">Brief Answer 
A tonsillectomy with adenoidectomy is covered as a surgical procedure under this PPO plan, and costs will vary based on where it’s done (outpatient surgery center vs. outpatient hospital vs. inpatient). Based on the plan’s standard surgery benefits, the Member would have deductible + coinsurance (and possibly a facility copay), and there may also be separate charges for anesthesia and related diagnostic testing.
──────────────────────────────────────────────────
Detailed Explanation
Because the place of service isn’t specified, below are both outpatient and inpatient possibilities.
A) Outpatient surgery (most common for tonsillectomy/adenoidectomy):
1) Professional (surgeon) — Physician or surgeon services in an outpatient facility 
In-Network Provider 
For in-network providers: 
The plan has a $2,000 deductible per person, not to exceed $4,000 per family. 
Physician or surgeon services in an outpatient facility is subject to this deductible. Once the deductible is met, the coinsurance is 20% of the allowed amount, and the plan will reimburse the remaining 80% of the allowed amount for Physician or surgeon services in an outpatient facility.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Physician or surgeon services in an outpatient facility is subject to this deductible. Once the deductible is met, the coinsurance is 40% of the allowed amount, and the plan will reimburse the remaining 60% of the allowed amount for Physician or surgeon services in an outpatient facility. 
The service applies to the plan's out-of-pocket maximum amount of $10,000, not to exceed $20,000 per family. When the plan's out-of-pocket maximum amount is satisfied, the health plan will reimburse 100% of the allowed amount. 
2) Facility — Outpatient Hospital Facility Services for Surgery 
In-Network Provider 
For in-network providers: 
The plan has a $2,000 deductible per person, not to exceed $4,000 per family. 
Outpatient Hospital Facility Services for Surgery is subject to this deductible. Once the deductible is met, the member's cost share for Outpatient Hospital Facility Services for Surgery is $400 per surgery + 20% Coinsurance.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Outpatient Hospital Facility Services for Surgery is subject to this deductible. Once the deductible is met, the coinsurance is 40% of the allowed amount, and the plan will reimburse the remaining 60% of the allowed amount for Outpatient Hospital Facility Services for Surgery.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3) Facility — Ambulatory Surgery Center (Free Standing) Facility 
In-Network Provider 
For in-network providers: 
The plan has a $2,000 deductible per person, not to exceed $4,000 per family. 
Ambulatory Surgery Center Free Standing Facility Services is subject to this deductible. Once the deductible is met, the member's cost share for Ambulatory Surgery Center is $250 per surgery + 20% Coinsurance.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
B) If the procedure is done as an inpatient admission (less common, but possible):
1) Facility — Hospital Room Facility Services 
In-Network Provider 
For in-network providers: 
the plan has a $2,000 deductible per person, not to exceed $4,000 per family. 
Hospital Room Facility Services - Room and board and all medically necessary ancillary services and supplies is subject to this deductible. Once the deductible is met, the member's cost share for Facility — Hospital Room Facility Services $500 per admission + 20% Coinsurance.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Hospital Room Facility Services - Room and board and all medically necessary ancillary services and supplies is subject to this deductible. Once the deductible is met, the coinsurance is 40% of the allowed amount, and the plan will reimburse the remaining 60% of the allowed amount for Hospital Room Facility Services - Room and board and all medically necessary ancillary services and supplies. 
The service applies to the plan's out-of-pocket maximum amount of $10,000, not to exceed $20,000 per family. When the plan's out-of-pocket maximum amount is satisfied, the health plan will reimburse 100% of the allowed amount. 
This plan has a maximum payable amount of up to $600 per day. This means the member would also be responsible for all charges above $600 per day. 
2) Professional — Physician or surgeon services in an inpatient facility 
In-Network Provider 
For in-network providers: 
The plan has a $2,000 deductible per person, not to exceed $4,000 per family. 
Physician or surgeon services in an inpatient facility is subject to this deductible. Once the deductible is met, the coinsurance is 20% of the allowed amount, and the plan will reimburse the remaining 80% of the allowed amount for Physician or surgeon services in an inpatient facility. 
The service applies to the plan's out-of-pocket maximum amount of $3,000, not to exceed $6,000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$2,000 deductible per person, not to exceed $4,000 per family. 
Physician or surgeon services in an inpatient facility is subject to this deductible. Once the deductible is met, the coinsurance is 40% of the allowed amount, and the plan will reimburse the remaining 60% of the allowed amount for Physician or surgeon services in an inpatient facility. 
The service applies to the plan's out-of-pocket maximum amount of $10,000, not to exceed $20,000 per family. When the plan's out-of-pocket maximum amount is satisfied, the health plan will reimburse 100% of the allowed amount. 
Additional Information: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</si>
  <si>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 xml:space="preserve">HW 5/11: New LLM 52
 </t>
  </si>
  <si>
    <t>My daughter needs to have a cleft palate repair. Can you tell me how much I will need to pay for that and what my insurance covers?</t>
  </si>
  <si>
    <t xml:space="preserve">Brief Answer 
For this Trio HMO plan, a cleft palate repair is covered when done in-network (through the Member’s medical group), and the plan shows No Charge for both the hospital (facility) and surgeon/physician (professional) portions. Out-of-network coverage is generally not available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Since the place of service for cleft palate repair can vary, below are the common inpatient and outpatient/ASC cost share components for surgery-related care.
A) Inpatient Hospital (if the cleft palate repair is performed as an inpatient surgery):
#### In-Network Provider
For in-network providers:  
The plan will reimburse the provider 100% of the allowed amount for Inpatient hospital facility services (Hospital Room/Facility). 
For in-network providers:  
The plan will reimburse the provider 100% of the allowed amount for Physician/surgeon services in an inpatient facility (professional fees). 
In addition to the hospital bill, the member can expect related professional fees for services like surgery, anesthesia, and diagnostic testing (radiological, pathology, or laboratory). 
#### Out-of-Network Provider
For out-of-network providers, the member is responsible for 100% of the provider's billed amount, as the plan only covers in-network providers.
──────────────────────────────────────────────────
B) Outpatient Hospital or Ambulatory Surgery Center (ASC) (if the cleft palate repair is outpatient):
#### In-Network Provider
For in-network providers:  
The plan will reimburse the provider 100% of the allowed amount for Physician or surgeon services in an outpatient facility (professional fees). 
For in-network providers:  
The plan will reimburse the provider 100% of the allowed amount for Outpatient hospital facility services for surgery (facility fees). 
For in-network providers:  
The plan will reimburse the provider 100% of the allowed amount for Ambulatory Surgery Center (free-standing) facility servics (facility fees).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Out-of-Network Provider
For out-of-network providers, the member is responsible for 100% of the provider's billed amount, as the plan only covers in-network providers.
──────────────────────────────────────────────────
C) Why cleft palate repair is covered under the medical plan:
The plan’s “Medical treatment of the teeth, gums, jaw joints, and jaw bones” benefit specifically includes “Dental and orthodontic services directly related to cleft palate repair.” 
</t>
  </si>
  <si>
    <t>My husband was just admitted in the hospital. He needs to have his appendix removed. Can you help me understand what that will cost? </t>
  </si>
  <si>
    <t xml:space="preserve">Brief Answer 
An appendectomy is typically an inpatient surgery, so the Member’s costs will generally be driven by the inpatient hospital facility coinsurance (and facility deductible) plus professional services (surgeon/physician) which show as no charge under this plan. The plan document also notes the Member may receive separate bills for items like anesthesia and diagnostic testing.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Inpatient Hospital Admission (Facility Services):
For in-network providers:  
the plan has a $750 deductible per person, not to exceed $1,500 per family.  
Hospital Room Facility Services - Room and board and all medically necessary ancillary services and supplies is subject to this deductible. Once the deductible is met,  
The coinsurance is 10% of the allowed amount, and the plan will reimburse the remaining 90% of the allowed amount for Hospital Room Facility Services - Room and board and all medically necessary ancillary services and supplies.  
The service applies to the plan's out-of-pocket maximum amount of $2,500, not to exceed $5,000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Out-of-Network Provider 
For out-of-network providers, the member is responsible for 100% of the provider's billed amount, as the plan only covers in-network providers.
B) Inpatient Professional Services (Surgeon/Physician):
For in-network providers:  
the plan has a $750 deductible per person, not to exceed $1,500 per family.  
However, Physician Care at a hospital/hospital visit is not subject to the deductible.  
The plan will reimburse the provider 100% of the allowed amount for Physician Care at a hospital/hospital visit. 
Out-of-Network Provider 
For out-of-network providers, the member is responsible for 100% of the provider's billed amount, as the plan only covers in-network providers.
</t>
  </si>
  <si>
    <t>What is my benefit for a bladder cystoscopy?</t>
  </si>
  <si>
    <t xml:space="preserve">Brief Answer 
A bladder cystoscopy is generally processed as an outpatient procedure. Under this PPO plan, the Member would typically have 20% coinsurance (professional) plus facility coinsurance (10% at an ASC or 25% at an outpatient hospital) after the medical deductible applies.
──────────────────────────────────────────────────
Detailed Explanation
Bladder cystoscopy is a medical procedure where the cost share depends on the place of service (professional vs. facility). The plan documents don’t list “cystoscopy” by name, so the closest match is the plan’s outpatient surgery/procedure benefits.
A) Professional Services (Physician/surgeon) — Outpatient:
In-Network Provider 
For in-network providers: 
the plan has a $1,000 deductible per person, not to exceed $3,000 per family.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Professional Services Surgery - Outpatient is subject to this deductible. Once the deductible is met,  
The coinsurance is 40% of the allowed amount, and the plan will reimburse the remaining 60% of the allowed amount for Professional Services Surgery - Outpatient.  
The service applies to the plan's out-of-pocket maximum amount of $10,000, not to exceed $20,000 per family. When the plan's out-of-pocket maximum amount is satisfied, the health plan will reimburse 100% of the allowed amount. 
B) Facility Services — Outpatient Hospital (if done in a hospital outpatient department):
In-Network Provider 
For in-network providers: 
the plan has a $1,000 deductible per person, not to exceed $3,000 per family.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Outpatient Hospital Facility Services for Surgery is subject to this deductible. Once the deductible is met,  
The coinsurance is 40% of the allowed amount, and the plan will reimburse the remaining 60% of the allowed amount for Outpatient Hospital Facility Services for Surgery.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C) Facility Services — Ambulatory Surgery Center (ASC) (if done at a surgery center):
In-Network Provider 
For in-network providers: 
the plan has a $1,000 deductible per person, not to exceed $3,000 per family.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The service applies to the plan's out-of-pocket maximum amount of $10,000, not to exceed $20,000 per family. When the plan's out-of-pocket maximum amount is satisfied, the health plan will reimburse 100% of the allowed amount.  
This plan has a maximum payable amount of up to $350 per day. This means the member would also be responsible for all charges above $350 per day. 
Additional procedure-related billing note: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</si>
  <si>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What is my benefit for a breast biopsy?</t>
  </si>
  <si>
    <t xml:space="preserve">Brief Answer 
A breast biopsy would be covered as a medical procedure, and the member’s cost share depends on where it’s performed (office/outpatient hospital/ambulatory surgery center vs. inpatient). Based on the current plan document, the professional (doctor) portion is No Charge, and the facility portion is typically subject to the facility deductible and then coinsurance.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Breast biopsy (treated as a medical procedure/surgery) — place of service can vary: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A) Professional (physician/surgeon) services:
#### In-Network Provider
For in-network providers: 
the plan has a $2,000 deductible per person, not to exceed $4,000 per family.  
However, Professional Services Surgery - Outpatient is not subject to the deductible. Once the deductible is met, 
The plan will reimburse the provider 100% of the allowed amount for Professional Services Surgery - Outpatient.  
The service applies to the plan's out-of-pocket maximum amount of $3,500, not to exceed $7,000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B) Facility services (where the biopsy is performed):
#### Option 1: Outpatient hospital (common for biopsies done in a hospital outpatient setting)
##### In-Network Provider
For in-network providers: 
the plan has a $2,000 deductible per person, not to exceed $4,000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$3,500, not to exceed $7,000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Option 2: Ambulatory Surgery Center (ASC) (if the biopsy is done at a freestanding surgery center)
##### In-Network Provider
For in-network providers: 
the plan has a $2,000 deductible per person, not to exceed $4,000 per family.  
Ambulatory Surgery Center Free Standing Facility Services is subject to this deductible. Once the deductible is met,  
The coinsurance is 20% of the allowed amount, and the plan will reimburse the remaining 80% of the allowed amount for Ambulatory Surgery Center Free Standing Facility Services.  
The service applies to the plan's out-of-pocket maximum amount of $3,500, not to exceed $7,000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Option 3: Inpatient hospital (less common, but possible depending on clinical situation)
##### In-Network Provider
For in-network providers: 
the plan has a $2,000 deductible per person, not to exceed $4,000 per family.  
Hospital Room Facility Services - Room and board and all medically necessary ancillary services and supplies is subject to this deductible. Once the deductible is met,  
The coinsurance is 30% of the allowed amount, and the plan will reimburse the remaining 70% of the allowed amount for Hospital Room Facility Services - Room and board and all medically necessary ancillary services and supplies.  
The service applies to the plan's out-of-pocket maximum amount of $3,500, not to exceed $7,000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t>
  </si>
  <si>
    <t>What is my benefit for a breast lumpectomy?</t>
  </si>
  <si>
    <t xml:space="preserve">Brief Answer 
A breast lumpectomy is a surgical procedure, so the Member’s cost will depend on where it’s performed (outpatient hospital/ambulatory surgery center vs. inpatient hospital). Based on this plan, professional (surgeon) services are No Charge, while the facility portion may be subject to the facility deductible ($250 individual / $500 family) and then coinsurance.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lumpectomy (Outpatient Hospital or Ambulatory Surgery Center):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1) Professional services (surgeon) – Outpatient
In-Network Provider 
For in-network providers: 
the plan has a $250 deductible per person, not to exceed $500 per family. 
However, Professional Services Surgery - Outpatient is not subject to the deductible. 
The plan will reimburse the provider 100% of the allowed amount for Professional Services Surgery - Outpatient. 
Out-of-Network Provider 
For out-of-network providers, the member is responsible for 100% of the provider's billed amount, as the plan only covers in-network providers. 
#### 2) Facility services – Outpatient Hospital (facility)
In-Network Provider 
For in-network providers: 
the plan has a $250 deductible per person, not to exceed $500 per family. 
Outpatient Hospital Facility Services for Surgery is subject to this deductible. Once the deductible is met, 
The coinsurance is 15% of the allowed amount, and the plan will reimburse the remaining 85% of the allowed amount for Outpatient Hospital Facility Services for Surgery.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3) Facility services – Ambulatory Surgery Center (ASC)
In-Network Provider 
For in-network providers: 
the plan has a $250 deductible per person, not to exceed $500 per family. 
Ambulatory Surgery Center Free Standing Facility Services is subject to this deductible. Once the deductible is met, 
The coinsurance is 5% of the allowed amount, and the plan will reimburse the remaining 95% of the allowed amount for Ambulatory Surgery Center Free Standing Facility Services.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B) Inpatient lumpectomy (if the Member is admitted):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1) Professional services (surgeon) – Inpatient
In-Network Provider 
For in-network providers: 
the plan has a $250 deductible per person, not to exceed $500 per family. 
However, Physician Care at a hospital/hospital visit is not subject to the deductible. 
The plan will reimburse the provider 100% of the allowed amount for Physician Care at a hospital/hospital visit. 
Out-of-Network Provider 
For out-of-network providers, the member is responsible for 100% of the provider's billed amount, as the plan only covers in-network providers. 
#### 2) Facility services – Inpatient Hospital (room &amp; board / hospital stay)
In-Network Provider 
For in-network providers: 
the plan has a $250 deductible per person, not to exceed $500 per family. 
Hospital Room Facility Services - Room and board and all medically necessary ancillary services and supplies is subject to this deductible. Once the deductible is met, 
The coinsurance is 10% of the allowed amount, and the plan will reimburse the remaining 90% of the allowed amount for Hospital Room Facility Services - Room and board and all medically necessary ancillary services and supplies.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</si>
  <si>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Diagnostic</t>
  </si>
  <si>
    <t>What is my benefit for a bronchoscopy?</t>
  </si>
  <si>
    <t>34.846</t>
  </si>
  <si>
    <t xml:space="preserve">Brief Answer
Bronchoscopy isn’t listed by name in the plan, but it most closely maps to the plan’s procedure benefits. Most bronchoscopy services would fall under the outpatient procedure and professional benefits; if it’s done during an inpatient admission, the inpatient hospital and professional benefits would apply.
──────────────────────────────────────────────────
Detailed Explanation
A. Outpatient bronchoscopy
- In-Network Provider
 - The plan has a $3,000 deductible per person, not to exceed $6,000 per family. 
 - For the outpatient facility portion, the plan pays 20% coinsurance after the deductible is met, and for the professional portion it also pays 20% coinsurance after the deductible is met. 
 - The service applies to the plan’s out-of-pocket maximum of $6,850 per individual, not to exceed $13,700 per family. 
 - In addition to the hospital bill, the member can expect related professional fees for services like anesthesia or diagnostic testing such as radiology, pathology, or laboratory services. 
- Out-of-Network Provider
 - The plan has a $3,000 deductible per person, not to exceed $6,000 per family. 
 - For the outpatient facility portion, the plan pays 50% coinsurance after the deductible is met, and for the professional portion it also pays 50% coinsurance after the deductible is met. 
 - The outpatient hospital facility portion has a maximum payable amount of up to $350 per day per member, so the member would also be responsible for charges above $350 per day. 
 - The service applies to the plan’s out-of-pocket maximum of $13,000 per individual, not to exceed $26,000 per family. 
 - An out-of-network provider has the right to bill for the balance, so the member may be responsible for the difference between the allowed amount and billed amount. 
B. Inpatient bronchoscopy
- In-Network Provider
 - The plan has a $3,000 deductible per person, not to exceed $6,000 per family. 
 - For the inpatient facility portion, the plan pays 20% coinsurance after the deductible is met, and for the professional portion it also pays 20% coinsurance after the deductible is met. 
 - The service applies to the plan’s out-of-pocket maximum of $6,850 per individual, not to exceed $13,700 per family. 
 - In addition to the hospital bill, the member can expect related professional fees for services like anesthesia or diagnostic testing such as radiology, pathology, or laboratory services. 
- Out-of-Network Provider
 - The plan has a $3,000 deductible per person, not to exceed $6,000 per family. 
 - For the inpatient facility portion, the plan pays 50% coinsurance after the deductible is met, and for the professional portion it also pays 50% coinsurance after the deductible is met. 
 - The inpatient hospital facility portion has a maximum payable amount of up to $600 per day per member, so the member would also be responsible for charges above $600 per day. 
 - The service applies to the plan’s out-of-pocket maximum of $13,000 per individual, not to exceed $26,000 per family. 
 - An out-of-network provider has the right to bill for the balance, so the member may be responsible for the difference between the allowed amount and billed amount. 
</t>
  </si>
  <si>
    <t>What is my benefit for a carpal tunnel release surgery?</t>
  </si>
  <si>
    <t xml:space="preserve">Brief Answer 
Carpal tunnel release is typically an outpatient surgery, so the Member’s costs will generally include professional (surgeon) fees plus facility fees (either an outpatient hospital or an ambulatory surgery center), and it is subject to the medical deductible. After the deductible is met, the plan pays based on coinsurance/copays shown below.
──────────────────────────────────────────────────
Detailed Explanation
The plan has a $1,800 - Individual deductible for individual coverage, not to exceed $3,400 - Family Embedded Individual deductible per individual or $3,600 - Family deductible per family for family coverage
A) Professional services (surgeon/physician) — Outpatient facility:
In-Network Provider:
For in-network providers: 
The plan has a $1,800 - Individual deductible for individual coverage, not to exceed $3,400 - Family Embedded Individual deductible per individual or $3,600 - Family deductible per family for family coverage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$4,500 for the individual, not to exceed $4,500 Family Embedded out of pocket per individual, or $9,000 per family.  . When the plan's out-of-pocket maximum amount is satisfied, the health plan will reimburse 100% of the allowed amount. 
Out-of-Network Provider:
For out-of-network providers, the member is responsible for 100% of the provider's billed amount, as the plan only covers in-network providers. 
B) Facility services — Outpatient hospital (hospital outpatient surgery):
In-Network Provider:
For in-network providers: 
The plan has a $1,800 - Individual deductible for individual coverage, not to exceed $3,400 - Family Embedded Individual deductible per individual or $3,600 - Family deductible per family for family coverage.
Outpatient Hospital Facility Services for Surgery is subject to this deductible. Once the deductible is met, 
The coinsurance is 20% of the allowed amount, and the plan will reimburse the remaining 80% of the allowed amount for Outpatient Hospital Facility Services for Surgery. 
The service applies to the plan's out-of-pocket maximum amount of $4,500 for the individual, not to exceed $4,500 Family Embedded out of pocket per individual, or $9,000 per family.  . When the plan's out-of-pocket maximum amount is satisfied, the health plan will reimburse 100% of the allowed amount. 
Out-of-Network Provider:
For out-of-network providers, the member is responsible for 100% of the provider's billed amount, as the plan only covers in-network providers. 
C) Facility services — Ambulatory Surgery Center (ASC):
In-Network Provider:
For in-network providers: 
The plan has a $1,800 - Individual deductible for individual coverage, not to exceed $3,400 - Family Embedded Individual deductible per individual or $3,600 - Family deductible per family for family coverage..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$4,500 for the individual, not to exceed $4,500 Family Embedded out of pocket per individual, or $9,000 per family.  . When the plan's out-of-pocket maximum amount is satisfied, the health plan will reimburse 100% of the allowed amount. 
Out-of-Network Provider:
For out-of-network providers, the member is responsible for 100% of the provider's billed amount, as the plan only covers in-network providers.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</si>
  <si>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What is my benefit for a chemotherapy infusion?</t>
  </si>
  <si>
    <t xml:space="preserve">Brief Answer 
Chemotherapy infusion is covered under the plan, and the cost share depends on where it’s given (hospital outpatient facility vs. physician office). In-network, it’s generally 20% coinsurance (subject to deductible); out-of-network, it’s generally 50% coinsurance (subject to deductible) and the member may also be balance billed.
──────────────────────────────────────────────────
Detailed Explanation
A) Chemotherapy infusion — Hospital outpatient facility (facility charges):
In-Network Provider 
For in-network providers: 
the plan has a $2,250 deductible per person, not to exceed $4,500 per family.  
Outpatient Facility – Hospital (Infusion Therapy Outpatient Facility) is subject to this deductible. Once the deductible is met,  
The coinsurance is 20% of the allowed amount, and the plan will reimburse the remaining 80% of the allowed amount for Infusion Therapy Outpatient Facility.  
The service applies to the plan's out-of-pocket maximum amount of $3,500, not to exceed $7,000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Outpatient Facility – Hospital (Infusion Therapy Outpatient Facility) is subject to this deductible. Once the deductible is met,  
The coinsurance is 50% of the allowed amount, and the plan will reimburse the remaining 50% of the allowed amount for Infusion Therapy Outpatient Facility.  
The service applies to the plan's out-of-pocket maximum amount of $6,000, not to exceed $12,000 per family. When the plan's out-of-pocket maximum amount is satisfied, the health plan will reimburse 100% of the allowed amount.  
This plan has a maximum payable amount of up to $350 per day. This means the member would also be responsible for all charges above $350 per day.  
Additional Information:
In addition to the hospital bill, the member can expect related professional fees for services like surgery, anesthesia, and diagnostic testing (radiological, pathology, or laboratory). 
──────────────────────────────────────────────────
B) Chemotherapy infusion — Physician office (professional charges, including chemotherapy drugs):
In-Network Provider 
For in-network providers: 
the plan has a $2,250 deductible per person, not to exceed $4,500 per family.  
Radiation &amp; Chemotherapy Services (including chemotherapy drugs) - Professional Office is subject to this deductible. Once the deductible is met,  
The coinsurance is 20% of the allowed amount, and the plan will reimburse the remaining 80% of the allowed amount for Radiation &amp; Chemotherapy Services (including chemotherapy drugs) - Professional Office.  
The service applies to the plan's out-of-pocket maximum amount of $3,500, not to exceed $7,000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Radiation &amp; Chemotherapy Services (including chemotherapy drugs) - Professional Office is subject to this deductible. Once the deductible is met,  
The coinsurance is 50% of the allowed amount, and the plan will reimburse the remaining 50% of the allowed amount for Radiation &amp; Chemotherapy Services (including chemotherapy drugs) - Professional Office.  
The service applies to the plan's out-of-pocket maximum amount of $6,000, not to exceed $12,000 per family. When the plan's out-of-pocket maximum amount is satisfied, the health plan will reimburse 100% of the allowed amount. 
</t>
  </si>
  <si>
    <t xml:space="preserve">Update
Par Ded - $250/ $750
Par OOPM - $2,250/ $4,500
Non-Participating Provider - 30% Coinsurance, Subject to Deductible – Yes, Applies to Annual Copay Max - Yes
Non Par Ded - $750/ $2250
Non Par OOPM - $3,500/ $7,000
</t>
  </si>
  <si>
    <t>What is my benefit for a colon polyp removal procedure?</t>
  </si>
  <si>
    <t>40.568</t>
  </si>
  <si>
    <t xml:space="preserve">Brief Answer
Colon polyp removal is covered as a surgical procedure. Because the place of service isn’t specified, the outpatient professional fee, hospital outpatient surgery, and ambulatory surgery center benefits may all apply.
──────────────────────────────────────────────────
Detailed Explanation
A. Physician or surgeon services in an outpatient facility
- In-network providers: the plan has a $1,000 deductible per person, not to exceed $3,000 per family . Physician or surgeon services in an outpatient facility is subject to this deductible. Once the deductible is met, The coinsurance is 10% of the allowed amount, and the plan will reimburse the remaining 90% of the allowed amount for Physician or surgeon services in an outpatient facility . The service applies to the plan's out-of-pocket maximum amount of $4,000, not to exceed $8,000 per family . When the plan's out-of-pocket maximum amount is satisfied, the health plan will reimburse 100% of the allowed amount . 
- Out-of-network providers: the plan has a $1,000 deductible per person, not to exceed $3,000 per family . Physician or surgeon services in an outpatient facility is subject to this deductible. Once the deductible is met, The coinsurance is 30% of the allowed amount, and the plan will reimburse the remaining 70% of the allowed amount for Physician or surgeon services in an outpatient facility . The service applies to the plan's out-of-pocket maximum amount of $6,000, not to exceed $12,000 per family . When the plan's out-of-pocket maximum amount is satisfied, the health plan will reimburse 100% of the allowed amount . 
 An out-of-network provider has the right to bill for the balance. What this means is that the member may be responsible for the difference between the allowed amount and billed amount.  
- Additional fees: In addition to the surgeon's and facility bill, the patient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B. Hospital Services – Outpatient Surgeries
- In-network providers: the plan has a $1,000 deductible per person, not to exceed $3,000 per family . Outpatient hospital surgery is subject to this deductible. Once the deductible is met, The coinsurance is 15% of the allowed amount, and the plan will reimburse the remaining 85% of the allowed amount for Outpatient Hospital Services for Surgery . The service applies to the plan's out-of-pocket maximum amount of $4,000, not to exceed $8,000 per family . When the plan's out-of-pocket maximum amount is satisfied, the health plan will reimburse 100% of the allowed amount . 
- Out-of-network providers: the plan has a $1,000 deductible per person, not to exceed $3,000 per family . Outpatient hospital surgery is subject to this deductible. Once the deductible is met, The coinsurance is 30% of the allowed amount, and the plan will reimburse the remaining 70% of the allowed amount for Outpatient Hospital Services for Surgery . The service applies to the plan's out-of-pocket maximum amount of $6,000, not to exceed $12,000 per family . When the plan's out-of-pocket maximum amount is satisfied, the health plan will reimburse 100% of the allowed amount . 
 This plan has a maximum payable amount of up to $350 per day. This means the member would also be responsible for all charges above $350 per day.  
 An out-of-network provider has the right to bill for the balance. What this means is that the member may be responsible for the difference between the allowed amount and billed amount.  
- Additional fees: In addition to the surgeon's and facility bill, the patient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C. Ambulatory Surgery Center – Surgery
- In-network providers: the plan has a $1,000 deductible per person, not to exceed $3,000 per family . Ambulatory surgery center services are subject to this deductible. Once the deductible is met, The coinsurance is 5% of the allowed amount, and the plan will reimburse the remaining 95% of the allowed amount for Ambulatory Surgery Center Free Standing Facility Services . The service applies to the plan's out-of-pocket maximum amount of $4,000, not to exceed $8,000 per family . When the plan's out-of-pocket maximum amount is satisfied, the health plan will reimburse 100% of the allowed amount . 
- Out-of-network providers: the plan has a $1,000 deductible per person, not to exceed $3,000 per family . Ambulatory surgery center services are subject to this deductible. Once the deductible is met, The coinsurance is 30% of the allowed amount, and the plan will reimburse the remaining 70% of the allowed amount for Ambulatory Surgery Center Free Standing Facility Services . The service applies to the plan's out-of-pocket maximum amount of $6,000, not to exceed $12,000 per family . When the plan's out-of-pocket maximum amount is satisfied, the health plan will reimburse 100% of the allowed amount . 
 This plan has a maximum payable amount of up to $350 per day. This means the member would also be responsible for all charges above $350 per day.  
 An out-of-network provider has the right to bill for the balance. What this means is that the member may be responsible for the difference between the allowed amount and billed amount. 
- Additional fees: In addition to the surgeon's and facility bill, the patient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</si>
  <si>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 xml:space="preserve">Minera Response (Needs to be human validated)
Colon polyp removal is generally covered, but the member’s cost share depends on whether it’s processed as a preventive screening colonoscopy (typically no charge) or as a diagnostic/therapeutic procedure (usually outpatient surgery where the facility portion is subject to the facility deductible and then coinsurance applies). This is a Trio HMO plan, so services must be received in-network to be covered (except urgent/emergency).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Colonoscopy with colon polyp removal can be done as a preventive screening to detect potential issues before symptoms arise. These are referred as a screening and are covered under the Annual Health Exam benefits. They can also be done when there are specific symptoms or risk factors that warrant further investigation. These are known as a diagnostic procedures. [2]
Trio: The patient does not need a referral for: Emergency Services; Urgent Services; Trio+ Specialist visits; OB/GYN services by an obstetrician, gynecologist, or family practice Physician within the patient's Medical Group; and Office visits with the patient's primary care physician (PCP). [3]
A) If processed as Preventive Screening (Annual Health Exam benefit):
In-Network Provider 
For in-network providers, [4] 
The plan has a $2,000 Individual Facility deductible per person, not to exceed $4,000 Family Facility per family. [5] 
However, Annual Health Exams (preventive screening) is not subject to the deductible. [4] 
The plan will reimburse the provider 100% of the allowed amount for Annual Health Exams (preventive screening). [4]
Out-of-Network Provider 
For out-of-network providers, the member is responsible for 100% of the provider's billed amount, as the plan only covers in-network providers.
──────────────────────────────────────────────────
B) If processed as Diagnostic/Therapeutic Colonoscopy with Polyp Removal (typically Outpatient):
#### 1) Professional (physician/surgeon) services in an outpatient facility
In-Network Provider 
For in-network providers, [6] 
The plan has a $2,000 Individual Facility deductible per person, not to exceed $4,000 Family Facility per family. [5] 
However, Physician or surgeon services in an outpatient facility (polyp removal professional fee) is not subject to the deductible. [6] 
The plan will reimburse the provider 100% of the allowed amount for Physician or surgeon services in an outpatient facility (polyp removal professional fee). [6]
Out-of-Network Provider 
For out-of-network providers, the member is responsible for 100% of the provider's billed amount, as the plan only covers in-network providers.
#### 2) Facility — Outpatient Hospital (surgery)
In-Network Provider 
For in-network providers, [7] 
The plan has a $2,000 Individual Facility deductible per person, not to exceed $4,000 Family Facility per family. [5] 
Outpatient Hospital Facility Services for Surgery (polyp removal) is subject to this deductible. Once the deductible is met, [7] 
The coinsurance is 40% of the allowed amount, and the plan will reimburse the remaining 60% of the allowed amount for Outpatient Hospital Facility Services for Surgery (polyp removal) services. [7] 
The service applies to the plan's out-of-pocket maximum amount of $5,500 per individual, not to exceed $11,000 per family. When the plan's out-of-pocket maximum amount is satisfied, the health plan will reimburse 100% of the allowed amount. [8]
Professional services disclaimer: 
In addition to the hospital bill, the member can expect related professional fees for services like surgery, anesthesia, and diagnostic testing (radiological, pathology, or laboratory). [9]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[10]
Out-of-Network Provider 
For out-of-network providers, the member is responsible for 100% of the provider's billed amount, as the plan only covers in-network providers.
#### 3) Facility — Ambulatory Surgery Center (ASC)
In-Network Provider 
For in-network providers, [11] 
The plan has a $2,000 Individual Facility deductible per person, not to exceed $4,000 Family Facility per family. [5] 
Ambulatory Surgery Center Free Standing Facility Services (polyp removal) is subject to this deductible. Once the deductible is met, [11] 
The coinsurance is 30% of the allowed amount, and the plan will reimburse the remaining 70% of the allowed amount for Ambulatory Surgery Center Free Standing Facility Services (polyp removal) services. [11] 
The service applies to the plan's out-of-pocket maximum amount of $5,500 per individual, not to exceed $11,000 per family. When the plan's out-of-pocket maximum amount is satisfied, the health plan will reimburse 100% of the allowed amount. [8]
Out-of-Network Provider 
For out-of-network providers, the member is responsible for 100% of the provider's billed amount, as the plan only covers in-network providers.
Note: I couldn’t find a specific “anesthesia (outpatient facility)” cost-share line item in the current plan document for this procedure scenario.
──────────────────────────────────────────────────
C) If the procedure results in an Inpatient admission (less common):
#### 1) Inpatient facility (Hospital room/facility services)
In-Network Provider 
For in-network providers, [12] 
The plan has a $2,000 Individual Facility deductible per person, not to exceed $4,000 Family Facility per family. [5] 
Hospital Room Facility Services (if admitted) is subject to this deductible. Once the deductible is met, [12] 
The coinsurance is 40% of the allowed amount, and the plan will reimburse the remaining 60% of the allowed amount for Hospital Room Facility Services (if admitted) services. [12] 
The service applies to the plan's out-of-pocket maximum amount of $5,500 per individual, not to exceed $11,000 per family. When the plan's out-of-pocket maximum amount is satisfied, the health plan will reimburse 100% of the allowed amount. [8]
Professional services disclaimer: 
In addition to the hospital bill, the member can expect related professional fees for services like surgery, anesthesia, and diagnostic testing (radiological, pathology, or laboratory). [13]
Out-of-Network Provider 
For out-of-network providers, the member is responsible for 100% of the provider's billed amount, as the plan only covers in-network providers.
#### 2) Inpatient professional (physician) services
In-Network Provider 
For in-network providers, [14] 
The plan has a $2,000 Individual Facility deductible per person, not to exceed $4,000 Family Facility per family. [5] 
However, Physician care at a hospital/hospital visit (if admitted) is not subject to the deductible. [14] 
The plan will reimburse the provider 100% of the allowed amount for Physician care at a hospital/hospital visit (if admitted). [14]
Out-of-Network Provider 
For out-of-network providers, the member is responsible for 100% of the provider's billed amount, as the plan only covers in-network providers.
</t>
  </si>
  <si>
    <t>What is my benefit for a colon resection surgery?</t>
  </si>
  <si>
    <t>Brief Answer 
A colon resection is a surgical procedure, so benefits will depend on whether it’s done inpatient (hospital admission) or outpatient, and there are usually separate facility and professional bills. Based on the plan, inpatient colon resection benefits are $500 per admission + 30% coinsurance for the hospital/facility and 30% coinsurance for the surgeon/professional services (both subject to the $1,000/$2,000 medical deductible).
──────────────────────────────────────────────────
Detailed Explanation
The plan has a $1,000 deductible per person, not to exceed $2,000 per family. 
A. Inpatient hospital (most common for colon resection):
In-Network Provider:
Facility (Hospital inpatient room &amp; board and medically necessary ancillary services) 
For in-network providers: 
Hospital inpatient facility services is subject to this deductible. Once the deductible is met, 
- Copay: $500 per admission and Coinsurance: 30% (cost share shown as $500 per admission + 30% Coinsurance)  
The service applies to the plan's out-of-pocket maximum amount of $5,000, not to exceed $10,000 per family. When the plan's out-of-pocket maximum amount is satisfied, the health plan will reimburse 100% of the allowed amount. 
Professional (Physician/surgeon services in an inpatient facility) 
For in-network providers: 
Professional inpatient physician/surgeon services is subject to this deductible. Once the deductible is met, 
- The coinsurance is 30% of the allowed amount, and the plan will reimburse the remaining 70% of the allowed amount for professional inpatient physician/surgeon services.  
The service applies to the plan's out-of-pocket maximum amount of $5,000, not to exceed $10,000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 Facility (Hospital inpatient): Coinsurance 50% (also shows a maximum Copayment percentage of up to $600 per day, plus charges over $600 per day.)  
- Professional (Physician/surgeon inpatient): Coinsurance 50% 
B. If performed as outpatient surgery (less common, depends on case):
In-Network Provider:
Facility (Outpatient hospital surgery) 
For in-network providers: 
Outpatient hospital surgery facility services is subject to this deductible. Once the deductible is met, 
- Copay: $400 per surgery and Coinsurance: 30% (cost share shown as $400 per surgery + 30% Coinsurance)  
The service applies to the plan's out-of-pocket maximum amount of $5,000, not to exceed $10,000 per family. When the plan's out-of-pocket maximum amount is satisfied, the health plan will reimburse 100% of the allowed amount. 
Facility (Ambulatory Surgery Center (ASC)) 
For in-network providers: 
ASC facility services is subject to this deductible. Once the deductible is met, 
- Copay: $250 per surgery and Coinsurance: 30% (cost share shown as $250 per surgery + 30% Coinsurance)  
The service applies to the plan's out-of-pocket maximum amount of $5,000, not to exceed $10,000 per family. When the plan's out-of-pocket maximum amount is satisfied, the health plan will reimburse 100% of the allowed amount. 
Professional (Physician/surgeon services in an outpatient facility) 
For in-network providers: 
Outpatient professional surgery services is subject to this deductible. Once the deductible is met, 
- The coinsurance is 30% of the allowed amount, and the plan will reimburse the remaining 70% of the allowed amount for outpatient professional surgery services.  
The service applies to the plan's out-of-pocket maximum amount of $5,000, not to exceed $10,000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 Outpatient hospital surgery facility: Coinsurance 50% (also shows a maximum payable/allowed amount detail in the plan data - Copayment percentage of up to $350 per day, plus charges over $350 per day.)  
- ASC facility: Coinsurance 50% (also shows a maximum payable/allowed amount detail in the plan data - Copayment percentage of up to $350 per day, plus charges over $350 per day.)  
- Outpatient professional surgery: Coinsurance 50% 
Additional Information: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t>
  </si>
  <si>
    <t>HW 5/5: LLM Rule 19-21 (Missing Maximums)</t>
  </si>
  <si>
    <t>HW 5/5: Updated to include OON Maximums(also shows a maximum payable/allowed amount detail in the plan data)  - but is not including the $600/day, plus all charges above $600, or $350 for outpt</t>
  </si>
  <si>
    <t>What is my benefit for a gallbladder removal?</t>
  </si>
  <si>
    <t xml:space="preserve">Brief Answer 
Gallbladder removal is typically an outpatient surgery, and under this Trio HMO plan the in-network cost share shows as No Charge for the surgery-related professional and facility services. If it’s done as an inpatient admission, those inpatient professional and facility services also show as No Charge.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Since the place of service isn’t specified, below are both outpatient and inpatient benefit details.
A) Outpatient gallbladder removal (most common):
#### 1) Professional services (surgeon/physician)
In-Network Provider 
For in-network providers: 
The plan will reimburse the provider 100% of the allowed amount for Professional Services Surgery - Outpatient. 
Out-of-Network Provider 
For out-of-network providers, the member is responsible for 100% of the provider's billed amount, as the plan only covers in-network providers.
#### 2) Facility services (where the surgery is performed)
a. Outpatient hospital facility (hospital outpatient surgery) 
In-Network Provider 
For in-network providers: 
The plan will reimburse the provider 100% of the allowed amount for Outpatient Hospital Facility Services for Surgery. 
Out-of-Network Provider 
For out-of-network providers, the member is responsible for 100% of the provider's billed amount, as the plan only covers in-network providers.
b. Ambulatory Surgery Center (ASC) facility 
In-Network Provider 
For in-network providers: 
.  
The plan will reimburse the provider 100% of the allowed amount for Ambulatory Surgery Center Free Standing Facility Services. 
Out-of-Network Provider 
For out-of-network providers, the member is responsible for 100% of the provider's billed amount, as the plan only covers in-network providers.
──────────────────────────────────────────────────
B) Inpatient gallbladder removal (if admitted):
#### 1) Facility services (inpatient hospital room/board and ancillary)
In-Network Provider 
For in-network providers: 
The plan will reimburse the provider 100% of the allowed amount for Hospital Room Facility Services - Room and board and all medically necessary ancillary services and supplies. 
Out-of-Network Provider 
For out-of-network providers, the member is responsible for 100% of the provider's billed amount, as the plan only covers in-network providers.
#### 2) Professional services (physician/surgeon in the hospital)
In-Network Provider 
For in-network providers: 
The plan will reimburse the provider 100% of the allowed amount for Physician Care at a hospital/hospital visit. 
Out-of-Network Provider 
For out-of-network providers, the member is responsible for 100% of the provider's billed amount, as the plan only covers in-network providers.
──────────────────────────────────────────────────
(If applicable) Referral note for Trio network:
Trio: The patient does not need a referral for: Emergency Services; Urgent Services; Trio+ Specialist visits; OB/GYN services by an obstetrician, gynecologist, or family practice Physician within the patient's Medical Group; and Office visits with the patient's primary care physician (PCP).
</t>
  </si>
  <si>
    <t xml:space="preserve">KT0505 - LLM Rule(Deductible)  </t>
  </si>
  <si>
    <t>Removed all instances of  "Not subject to the deductible"</t>
  </si>
  <si>
    <t>What is my benefit for a heart stent procedure (angioplasty)?</t>
  </si>
  <si>
    <t>46.440</t>
  </si>
  <si>
    <t>Brief Answer
A heart stent procedure (angioplasty) is treated as a surgical procedure. Because you didn’t specify whether it would be done inpatient or outpatient, I listed both sets of benefits below, including the professional and facility cost shares.
──────────────────────────────────────────────────
Detailed Explanation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A. Inpatient Hospital Surgery:
In-Network Provider
- the plan has a $250 deductible per person, not to exceed $750 per family. 
- Facility services: This service is subject to this deductible. Once the deductible is met, the coinsurance is 10% of the allowed amount, and the plan will reimburse the remaining 90% of the allowed amount for inpatient hospital facility services. 
- Professional services: This service is subject to this deductible. Once the deductible is met, the coinsurance is 10% of the allowed amount, and the plan will reimburse the remaining 90% of the allowed amount for physician or surgeon services in an inpatient facility. 
- The service applies to the plan's out-of-pocket maximum amount of $3,750, not to exceed $7,500 per family. When the plan's out-of-pocket maximum amount is satisfied, the health plan will reimburse 100% of the allowed amount. 
Out-of-Network Provider
- the plan has a $250 deductible per person, not to exceed $750 per family. 
- Facility services: This service is subject to this deductible. Once the deductible is met, the coinsurance is 40% of the allowed amount, and the plan will reimburse the remaining 60% of the allowed amount for inpatient hospital facility services. This plan has a maximum payable amount of up to $600 per day. This means the member would also be responsible for all charges above $600 per day. 
- Professional services: This service is subject to this deductible. Once the deductible is met, the coinsurance is 40% of the allowed amount, and the plan will reimburse the remaining 60% of the allowed amount for physician or surgeon services in an inpatient facility. 
- The service applies to the plan's out-of-pocket maximum amount of $7,750, not to exceed $15,500 per family. When the plan's out-of-pocket maximum amount is satisfied, the health plan will reimburse 100% of the allowed amount. 
- An out-of-network provider has the right to bill for the balance. What this means is that the member may be responsible for the difference between the allowed amount and billed amount. 
B. Outpatient Hospital Surgery:
In-Network Provider
- the plan has a $250 deductible per person, not to exceed $750 per family. 
- Facility services: This service is subject to this deductible. Once the deductible is met, the coinsurance is 15% of the allowed amount, and the plan will reimburse the remaining 85% of the allowed amount for outpatient hospital surgery services. 
- Professional services: This service is subject to this deductible. Once the deductible is met, the coinsurance is 10% of the allowed amount, and the plan will reimburse the remaining 90% of the allowed amount for physician or surgeon services in an outpatient facility. 
- The service applies to the plan's out-of-pocket maximum amount of $3,750, not to exceed $7,500 per family. When the plan's out-of-pocket maximum amount is satisfied, the health plan will reimburse 100% of the allowed amount. 
Out-of-Network Provider
- the plan has a $250 deductible per person, not to exceed $750 per family. 
- Facility services: This service is subject to this deductible. Once the deductible is met, the coinsurance is 40% of the allowed amount, and the plan will reimburse the remaining 60% of the allowed amount for outpatient hospital surgery services. This plan has a maximum payable amount of up to $350 per day. This means the member would also be responsible for all charges above $350 per day. 
- Professional services: This service is subject to this deductible. Once the deductible is met, the coinsurance is 40% of the allowed amount, and the plan will reimburse the remaining 60% of the allowed amount for physician or surgeon services in an outpatient facility. 
- The service applies to the plan's out-of-pocket maximum amount of $7,750, not to exceed $15,500 per family. When the plan's out-of-pocket maximum amount is satisfied, the health plan will reimburse 100% of the allowed amount. 
- An out-of-network provider has the right to bill for the balance. What this means is that the member may be responsible for the difference between the allowed amount and billed amount. 
C. Ambulatory Surgery Center (ASC) Surgery:
In-Network Provider
- the plan has a $250 deductible per person, not to exceed $750 per family. 
- Facility services: This service is subject to this deductible. Once the deductible is met, the coinsurance is 5% of the allowed amount, and the plan will reimburse the remaining 95% of the allowed amount for ambulatory surgery center facility services. 
- Professional services: This service is subject to this deductible. Once the deductible is met, the coinsurance is 10% of the allowed amount, and the plan will reimburse the remaining 90% of the allowed amount for physician or surgeon services in an outpatient facility. 
- The service applies to the plan's out-of-pocket maximum amount of $3,750, not to exceed $7,500 per family. When the plan's out-of-pocket maximum amount is satisfied, the health plan will reimburse 100% of the allowed amount. 
Out-of-Network Provider
- the plan has a $250 deductible per person, not to exceed $750 per family. 
- Facility services: This service is subject to this deductible. Once the deductible is met, the coinsurance is 40% of the allowed amount, and the plan will reimburse the remaining 60% of the allowed amount for ambulatory surgery center facility services. This plan has a maximum payable amount of up to $350 per day. This means the member would also be responsible for all charges above $350 per day. 
- Professional services: This service is subject to this deductible. Once the deductible is met, the coinsurance is 40% of the allowed amount, and the plan will reimburse the remaining 60% of the allowed amount for physician or surgeon services in an outpatient facility. 
- The service applies to the plan's out-of-pocket maximum amount of $7,750, not to exceed $15,500 per family. When the plan's out-of-pocket maximum amount is satisfied, the health plan will reimburse 100% of the allowed amount. 
- An out-of-network provider has the right to bill for the balance. What this means is that the member may be responsible for the difference between the allowed amount and billed amount. 
If you want, I can also narrow this down to the most likely setting for angioplasty and give you just that version.</t>
  </si>
  <si>
    <t>What is my benefit for a hysterectomy?</t>
  </si>
  <si>
    <t>50.280</t>
  </si>
  <si>
    <t xml:space="preserve">Brief Answer
A hysterectomy is covered as a surgical procedure under the plan. Because the place of service isn’t specified, I’ve broken out the benefit for inpatient surgery, outpatient hospital surgery, and ambulatory surgery center surgery, since the cost share changes by setting.
──────────────────────────────────────────────────
Detailed Explanation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The plan has a $750 deductible per person, not to exceed $2,250 per family. The in-network service applies to the plan's $5,250 individual out-of-pocket maximum, not to exceed $10,500 per family. For out-of-network care, the deductible is $2,250 per person, not to exceed $6,750 per family, and the out-of-network out-of-pocket maximum is $9,500 per person, not to exceed $19,000 per family. When the out-of-pocket maximum is satisfied, the health plan will reimburse 100% of the allowed amount. 
A. Inpatient hospital hysterectomy
In-Network Provider
- Physician or surgeon services in an inpatient facility: 20% coinsurance; this service is subject to the deductible. 
- Hospital facility services: 20% coinsurance; this service is subject to the deductible. 
Out-of-Network Provider
- Physician or surgeon services in an inpatient facility: 40% coinsurance; this service is subject to the deductible. 
- Hospital facility services: 40% coinsurance; this service is subject to the deductible. This plan has a maximum payable amount of up to $600 per day. This means the member would also be responsible for all charges above $600 per day. 
- An out-of-network provider has the right to bill for the balance. What this means is that the member may be responsible for the difference between the allowed amount and billed amount.
B. Outpatient hospital hysterectomy
In-Network Provider
- Physician or surgeon services in an outpatient facility: 20% coinsurance; this service is subject to the deductible. 
- Hospital outpatient surgery facility: 25% coinsurance; this service is subject to the deductible. 
Out-of-Network Provider
- Physician or surgeon services in an outpatient facility: 40% coinsurance; this service is subject to the deductible. 
- Hospital outpatient surgery facility: 40% coinsurance; this service is subject to the deductible. This plan has a maximum payable amount of up to $350 per day. This means the member would also be responsible for all charges above $350 per day. 
- An out-of-network provider has the right to bill for the balance. What this means is that the member may be responsible for the difference between the allowed amount and billed amount.
C. Ambulatory surgery center hysterectomy
In-Network Provider
- Physician or surgeon services in an outpatient facility: 20% coinsurance; this service is subject to the deductible. 
- Ambulatory Surgery Center facility services: 10% coinsurance; this service is subject to the deductible. 
Out-of-Network Provider
- Physician or surgeon services in an outpatient facility: 40% coinsurance; this service is subject to the deductible. 
- Ambulatory Surgery Center facility services: 40% coinsurance; this service is subject to the deductible. This plan has a maximum payable amount of up to $350 per day. This means the member would also be responsible for all charges above $350 per day. 
- An out-of-network provider has the right to bill for the balance. What this means is that the member may be responsible for the difference between the allowed amount and billed amount.
</t>
  </si>
  <si>
    <t>What is my benefit for a kidney stone removal?</t>
  </si>
  <si>
    <t xml:space="preserve">Brief Answer 
Kidney stone removal would be treated as a surgical procedure, and the cost share depends on where it’s done (outpatient hospital/ambulatory surgery center vs. inpatient admission). Under this Trio ACO HMO, services must be in-network/through the Member’s medical group to be eligible for benefits.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kidney stone removal (most common: hospital outpatient department or ambulatory surgery center):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1) Professional (surgeon/physician) — Outpatient facility
In-Network Provider 
For in-network providers:  
the plan has a $2,000 deductible per person, not to exceed $4,000 per family.  
However, Professional Services Surgery - Outpatient is not subject to the deductible. Once the deductible is met, 
The plan will reimburse the provider 100% of the allowed amount for Professional Services Surgery - Outpatient. 
Out-of-Network Provider 
For out-of-network providers, the member is responsible for 100% of the provider's billed amount, as the plan only covers in-network providers. 
#### 2) Facility — Outpatient hospital (Hospital outpatient surgery)
In-Network Provider 
For in-network providers:  
the plan has a $2,000 deductible per person, not to exceed $4,000 per family.  
Outpatient Hospital Facility Services for Surgery is subject to this deductible. Once the deductible is met,  
The coinsurance is 40% of the allowed amount, and the plan will reimburse the remaining 60% of the allowed amount for Outpatient Hospital Facility Services for Surgery.  
The service applies to the plan's out-of-pocket maximum amount of $5,500, not to exceed $11,000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3) Facility — Ambulatory Surgery Center (free-standing ASC)
In-Network Provider 
For in-network providers:  
the plan has a $2,000 deductible per person, not to exceed $4,000 per family.  
Ambulatory Surgery Center Free Standing Facility Services is subject to this deductible. Once the deductible is met,  
The coinsurance is 30% of the allowed amount, and the plan will reimburse the remaining 70% of the allowed amount for Ambulatory Surgery Center Free Standing Facility Services.  
The service applies to the plan's out-of-pocket maximum amount of $5,500, not to exceed $11,000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B) If kidney stone removal requires an inpatient admission: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1) Professional (surgeon/physician) — Inpatient
In-Network Provider 
For in-network providers:  
the plan has a $2,000 deductible per person, not to exceed $4,000 per family.  
However, Physician Care at a hospital/hospital visit is not subject to the deductible. Once the deductible is met, 
The plan will reimburse the provider 100% of the allowed amount for Physician Care at a hospital/hospital visit. 
Out-of-Network Provider 
For out-of-network providers, the member is responsible for 100% of the provider's billed amount, as the plan only covers in-network providers. 
#### 2) Facility — Inpatient hospital (room &amp; board and ancillary services)
In-Network Provider 
For in-network providers:  
the plan has a $2,000 deductible per person, not to exceed $4,000 per family.  
Hospital Room Facility Services - Room and board and all medically necessary ancillary services and supplies is subject to this deductible. Once the deductible is met,  
The coinsurance is 40% of the allowed amount, and the plan will reimburse the remaining 60% of the allowed amount for Hospital Room Facility Services - Room and board and all medically necessary ancillary services and supplies.  
The service applies to the plan's out-of-pocket maximum amount of $5,500, not to exceed $11,000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</si>
  <si>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What is my benefit for a prostatectomy?</t>
  </si>
  <si>
    <t xml:space="preserve">Brief Answer 
For a prostatectomy (a surgical procedure), this Access+ HMO plan covers the professional (surgeon) services at No Charge and the facility charges depend on where the surgery is performed (inpatient hospital vs. outpatient hospital vs. freestanding ambulatory surgery center).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Inpatient Hospital (if the prostatectomy is done inpatient):
In-Network Provider 
For in-network providers: 
the plan does not have a deductible. 
The copay for Hospital Room Facility Services - Room and board and all medically necessary ancillary services and supplies services is $500 per day. 
The service applies to the plan's out-of-pocket maximum amount of $4,000, not to exceed $8,000 per family. When the plan's out-of-pocket maximum amount is satisfied, the health plan will reimburse 100% of the allowed amount. 
This plan has a maximum copayment of $500 per day up to 3 days per admission. This means after 3 days, the member would have no cost share for any additional days of their admission. 
In addition to the hospital bill, the member can expect related professional fees for services like surgery, anesthesia, and diagnostic testing (radiological, pathology, or laboratory). 
Related professional (surgeon) services — Inpatient 
For in-network providers: 
the plan does not have a deductible. 
The plan will reimburse the provider 100% of the allowed amount for Physician Care at a hospital/hospital visit. 
In addition to the surgeon's and facility bill, the member can expect related fees for professional services like anesthesia or any related to diagnostic testing (e.g., radiological, pathology, or laboratory). 
Out-of-Network Provider 
For out-of-network providers, the member is responsible for 100% of the provider's billed amount, as the plan only covers in-network providers.
B) Outpatient Hospital (if the prostatectomy is done as outpatient surgery in a hospital outpatient department):
In-Network Provider 
For in-network providers: 
the plan does not have a deductible. 
The copay for Outpatient Hospital Facility Services for Surgery services is $500 per surgery. 
The service applies to the plan's out-of-pocket maximum amount of $4,000, not to exceed $8,000 per family. When the plan's out-of-pocket maximum amount is satisfied, the health plan will reimburse 100% of the allowed amount.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Related professional (surgeon) services — Outpatient 
For in-network providers: 
the plan does not have a deductible. 
. 
The plan will reimburse the provider 100% of the allowed amount for Professional Services Surgery - Outpatient.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Out-of-Network Provider 
For out-of-network providers, the member is responsible for 100% of the provider's billed amount, as the plan only covers in-network providers.
C) Freestanding Ambulatory Surgery Center (ASC) (if the prostatectomy is done at an ASC):
In-Network Provider 
For in-network providers: 
the plan does not have a deductible. 
The copay for Ambulatory Surgery Center Free Standing Facility Services services is $200 per surgery. 
The service applies to the plan's out-of-pocket maximum amount of $4,000, not to exceed $8,000 per family. When the plan's out-of-pocket maximum amount is satisfied, the health plan will reimburse 100% of the allowed amount.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Related professional (surgeon) services — Outpatient (ASC setting) 
For in-network providers: 
the plan does not have a deductible. 
The plan will reimburse the provider 100% of the allowed amount for Professional Services Surgery - Outpatient.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Out-of-Network Provider 
For out-of-network providers, the member is responsible for 100% of the provider's billed amount, as the plan only covers in-network providers.
</t>
  </si>
  <si>
    <t>Removed all references to "Howevere the service is not suject to the deductible"</t>
  </si>
  <si>
    <t>What is my benefit for a shoulder rotator cuff repair?</t>
  </si>
  <si>
    <t xml:space="preserve">Brief Answer 
A shoulder rotator cuff repair is a surgical procedure. Under this Trio ACO HMO plan, the main member costs will depend on where the surgery is done (hospital outpatient vs. ambulatory surgery center vs. inpatient), but the plan shows No Charge for the surgeon/professional services and a facility copay of $200 per surgery (ASC) or $500 per surgery (outpatient hospital); if inpatient, it’s $500 per day up to 3 days per admission for the hospital room/facility.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A) Outpatient surgery (most common setting):
#### 1) Professional (surgeon) services — Outpatient facility
For in-network providers: 
 The plan will reimburse the provider 100% of the allowed amount for Professional Services Surgery - Outpatient.  
For out-of-network providers: 
For out-of-network providers, the member is responsible for 100% of the provider's billed amount, as the plan only covers in-network providers. 
#### 2) Facility services — Outpatient hospital (Hospital Outpatient Surgery)
For in-network providers: 
 The copay for Outpatient Hospital Facility Services for Surgery services is $500 per surgery.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 3) Facility services — Ambulatory Surgery Center (ASC)
For in-network providers: 
However, Ambulatory Surgery Center Free Standing Facility Services is not subject to the deductible. The copay for Ambulatory Surgery Center Free Standing Facility Services services is $200 per surgery.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B) If performed as an inpatient admission (less common, but possible):
#### 1) Professional (surgeon) services — Inpatient facility
For in-network providers: 
However, Physician Care at a hospital/hospital visit is not subject to the deductible. The plan will reimburse the provider 100% of the allowed amount for Physician Care at a hospital/hospital visit.  
For out-of-network providers: 
For out-of-network providers, the member is responsible for 100% of the provider's billed amount, as the plan only covers in-network providers. 
#### 2) Facility services — Hospital inpatient (room &amp; board and ancillary services)
For in-network providers: 
The copay for Hospital Room Facility Services - Room and board and all medically necessary ancillary services and supplies services is $500 per day. This plan has a maximum copayment of $500 per day up to 3 days per admission. This means after 3 days, the member would have no cost share for any additional days of their admission.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t>
  </si>
  <si>
    <t xml:space="preserve">Removed However, Professional Services Surgery - Outpatient is not subject to the deductible.
However, Outpatient Hospital Facility Services for Surgery is not subject to the deductible.
However, Hospital Room Facility Services - Room and board and all medically necessary ancillary services and supplies is not subject to the deductible. </t>
  </si>
  <si>
    <t>What is my benefit for a skin lesion removal?</t>
  </si>
  <si>
    <t>Brief Answer 
Skin lesion removal would generally be processed as a surgical procedure, and your cost share will depend on where it’s done (office vs. outpatient hospital/ASC vs. inpatient). Below are the applicable professional and facility surgery benefits for this plan.
──────────────────────────────────────────────────
Detailed Explanation
Outpatient surgery / procedure (most common for skin lesion removal):
A) Professional Services — Outpatient facility (surgeon/professional fees)
For Level 1 HMO in-network providers,  services must be provided or prior authorized by your primary care physician (PCP) or assigned medical group / IPA.  There is no deductible and you have a $0 cost share.
For Level 2 PPO in-network providers, you may access services without a referral. The plan has a $500 deductible per person, not to exceed $1,000 per family.  Once the deductible is met, the plan will reimburse the provider 80% of the allowed amount for Professional Services — Outpatient facility.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Professional Services — Outpatient facility.
The service applies to the plan's out-of-pocket maximum amount of $5,500, not to exceed $16,000 per family. When the plan's out-of-pocket maximum amount is satisfied, the health plan will reimburse 100% of the allowed amount.  
B) Facility Services — Outpatient hospital surgery (if done at an outpatient hospital)
For Level 1 HMO in-network providers,  services must be provided or prior authorized by your primary care physician (PCP) or assigned medical group / IPA.  There is no deductible and you have a $150 per surgery cost share.
For Level 2 PPO in-network providers, you may access services without a referral. The plan has a $500 deductible per person, not to exceed $1,000 per family.  Once the deductible is met, the plan will reimburse the provider 80% of the allowed amount for Facility Services — Outpatient hospital surgery.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Facility Services — Outpatient hospital surgery. 
This plan has a maximum payable amount of up to $350 per day. This means the member would also be responsible for all charges above $350 per day. 
The service applies to the plan's out-of-pocket maximum amount of $5,500, not to exceed $16,000 per family. When the plan's out-of-pocket maximum amount is satisfied, the health plan will reimburse 100% of the allowed amount.  
C) Facility Services — Ambulatory Surgery Center (ASC) (if done at a freestanding surgery center)
For Level 1 HMO in-network providers,  services must be provided or prior authorized by your primary care physician (PCP) or assigned medical group / IPA.  There is no deductible and you have a $100 per surgery cost share.
For Level 2 PPO in-network providers, you may access services without a referral. The plan has a $500 deductible per person, not to exceed $1,000 per family.  Once the deductible is met, the plan will reimburse the provider 80% of the allowed amount for Facility Services — Ambulatory Surgery Center (ASC).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Facility Services — Ambulatory Surgery Center (ASC). 
This plan has a maximum payable amount of up to $350 per day. This means the member would also be responsible for all charges above $350 per day. 
The service applies to the plan's out-of-pocket maximum amount of $5,500, not to exceed $16,000 per family. When the plan's out-of-pocket maximum amount is satisfied, the health plan will reimburse 100% of the allowed amount.  
──────────────────────────────────────────────────
If the skin lesion removal is done in the doctor’s office (office-based surgery):
For Level 1 HMO in-network providers,  services must be provided or prior authorized by your primary care physician (PCP) or assigned medical group / IPA.  There is no deductible and you have a $0 cost share.
For Level 2 PPO in-network providers, you may access services without a referral. The plan has a $500 deductible per person, not to exceed $1,000 per family.  Once the deductible is met, the plan will reimburse the provider 80% of the allowed amount for office-based surgery.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office-based surgery.
The service applies to the plan's out-of-pocket maximum amount of $5,500, not to exceed $16,000 per family. When the plan's out-of-pocket maximum amount is satisfied, the health plan will reimburse 100% of the allowed amount.  
Surgery Disclaimer: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t>
  </si>
  <si>
    <t>5/7 HW: New POS LLM Rule 47</t>
  </si>
  <si>
    <t>What is my benefit for a spinal fusion surgery?</t>
  </si>
  <si>
    <t xml:space="preserve">Brief Answer 
For a spinal fusion surgery, this PPO plan covers both the facility and professional (surgeon/physician) portions, with different cost shares depending on where the surgery is performed (inpatient hospital vs. outpatient hospital/ambulatory surgery center) and whether the provider is in-network or out-of-network.
──────────────────────────────────────────────────
Detailed Explanation
Spinal fusion is a surgical procedure, and the member can have both facility bills (hospital/ASC) and professional bills (surgeon/physician, anesthesia, radiology, lab/pathology).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Because the place of service wasn’t specified, below are both inpatient and outpatient benefit details.
A) Inpatient Hospital (Facility + Professional):
#### 1) Inpatient Hospital Facility (Hospital room &amp; inpatient facility services)
For in-network providers:  
the plan has a $250 deductible per person, not to exceed $750 per family.  
Hospital Benefits (Facility Services) - Inpatient is subject to this deductible. Once the deductible is met,  
The coinsurance is 10% of the allowed amount, and the plan will reimburse the remaining 90% of the allowed amount for Hospital Benefits (Facility Services) - Inpatient.  
The service applies to the plan's out-of-pocket maximum amount of $2,750, not to exceed $5,500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$250 deductible per person, not to exceed $750 per family.  
Hospital Benefits (Facility Services) - Inpatient is subject to this deductible. Once the deductible is met,  
The coinsurance is 30% of the allowed amount, and the plan will reimburse the remaining 70% of the allowed amount for Hospital Benefits (Facility Services) - Inpatient.  
The service applies to the plan's out-of-pocket maximum amount of $5,250, not to exceed $10,500 per family. When the plan's out-of-pocket maximum amount is satisfied, the health plan will reimburse 100% of the allowed amount.  
This plan has a maximum payable amount of up to $600 per day. This means the member would also be responsible for all charges above $600 per day. 
#### 2) Inpatient Professional services (Physician/surgeon inpatient)
For in-network providers:  
the plan has a $250 deductible per person, not to exceed $750 per family.  
Professional Physician Services - Physician or surgeon services in an inpatient facility is subject to this deductible. Once the deductible is met,  
The coinsurance is 10% of the allowed amount, and the plan will reimburse the remaining 90% of the allowed amount for Professional Physician Services - Physician or surgeon services in an inpatient facility.  
The service applies to the plan's out-of-pocket maximum amount of $2,750, not to exceed $5,500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Professional Physician Services - Physician or surgeon services in an inpatient facility is subject to this deductible. Once the deductible is met,  
The coinsurance is 30% of the allowed amount, and the plan will reimburse the remaining 70% of the allowed amount for Professional Physician Services - Physician or surgeon services in an inpatient facility.  
The service applies to the plan's out-of-pocket maximum amount of $5,250, not to exceed $10,500 per family. When the plan's out-of-pocket maximum amount is satisfied, the health plan will reimburse 100% of the allowed amount. 
──────────────────────────────────────────────────
B) Outpatient Surgery (Facility + Professional):
#### 1) Outpatient Professional services (surgeon/physician in outpatient facility)
For in-network providers:  
the plan has a $250 deductible per person, not to exceed $750 per family.  
Professional Physician Services - Physician or surgeon services in an outpatient facility is subject to this deductible. Once the deductible is met,  
The coinsurance is 10% of the allowed amount, and the plan will reimburse the remaining 90% of the allowed amount for Professional Physician Services - Physician or surgeon services in an outpatient facility.  
The service applies to the plan's out-of-pocket maximum amount of $2,750, not to exceed $5,500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Professional Physician Services - Physician or surgeon services in an outpatient facility is subject to this deductible. Once the deductible is met,  
The coinsurance is 30% of the allowed amount, and the plan will reimburse the remaining 70% of the allowed amount for Professional Physician Services - Physician or surgeon services in an outpatient facility.  
The service applies to the plan's out-of-pocket maximum amount of $5,250, not to exceed $10,500 per family. When the plan's out-of-pocket maximum amount is satisfied, the health plan will reimburse 100% of the allowed amount. 
#### 2) Outpatient Hospital Facility (hospital outpatient surgery facility services)
For in-network providers:  
the plan has a $250 deductible per person, not to exceed $750 per family.  
Hospital Benefits (Facility Services) - Outpatient Hospital Facility Services for Surgery is subject to this deductible. Once the deductible is met,  
The coinsurance is 15% of the allowed amount, and the plan will reimburse the remaining 85% of the allowed amount for Hospital Benefits (Facility Services) - Outpatient Hospital Facility Services for Surgery.  
The service applies to the plan's out-of-pocket maximum amount of $2,750, not to exceed $5,500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$250 deductible per person, not to exceed $750 per family.  
Hospital Benefits (Facility Services) - Outpatient Hospital Facility Services for Surgery is subject to this deductible. Once the deductible is met,  
The coinsurance is 30% of the allowed amount, and the plan will reimburse the remaining 70% of the allowed amount for Hospital Benefits (Facility Services) - Outpatient Hospital Facility Services for Surgery.  
The service applies to the plan's out-of-pocket maximum amount of $5,250, not to exceed $10,500 per family. When the plan's out-of-pocket maximum amount is satisfied, the health plan will reimburse 100% of the allowed amount.  
This plan has a maximum payable amount of up to $350 per day. This means the member would also be responsible for all charges above $350 per day. 
#### 3) Ambulatory Surgery Center (ASC) Facility (free-standing surgery center)
For in-network providers:  
the plan has a $250 deductible per person, not to exceed $750 per family.  
Ambulatory Surgery Center (Free Standing) - Surgery is subject to this deductible. Once the deductible is met,  
The coinsurance is 5% of the allowed amount, and the plan will reimburse the remaining 95% of the allowed amount for Ambulatory Surgery Center (Free Standing) - Surgery.  
The service applies to the plan's out-of-pocket maximum amount of $2,750, not to exceed $5,500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the plan has a $250 deductible per person, not to exceed $750 per family.  
Ambulatory Surgery Center (Free Standing) - Surgery is subject to this deductible. Once the deductible is met,  
The coinsurance is 30% of the allowed amount, and the plan will reimburse the remaining 70% of the allowed amount for Ambulatory Surgery Center (Free Standing) - Surgery.  
The service applies to the plan's out-of-pocket maximum amount of $5,250, not to exceed $10,500 per family. When the plan's out-of-pocket maximum amount is satisfied, the health plan will reimburse 100% of the allowed amount.  
This plan has a maximum payable amount of up to $350 per day. This means the member would also be responsible for all charges above $350 per day. 
</t>
  </si>
  <si>
    <t>What is my benefit for an arthroscopic knee surgery?</t>
  </si>
  <si>
    <t xml:space="preserve">Brief Answer 
For an arthroscopic knee surgery, this PPO plan generally covers the procedure with professional (surgeon) services at 20% coinsurance and facility services at 25% coinsurance if done in an outpatient hospital or 10% coinsurance if done in an ambulatory surgery center (ASC)—and these services are subject to the $2,500 individual / $5,000 family medical deductible.
──────────────────────────────────────────────────
Detailed Explanation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A. Professional Services – Outpatient (Surgeon/Physician):
In-Network Provider 
For in-network providers: 
the plan has a $2,500 deductible per person, not to exceed $5,000 per family.  
Professional Services – Surgery (Outpatient facility) is subject to this deductible. Once the deductible is met,  
The coinsurance is 20% of the allowed amount, and the plan will reimburse the remaining 80% of the allowed amount for Professional Services – Surgery (Outpatient facility).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Professional Services – Surgery (Outpatient facility) is subject to this deductible. Once the deductible is met,  
The coinsurance is 50% of the allowed amount, and the plan will reimburse the remaining 50% of the allowed amount for Professional Services – Surgery (Outpatient facility).  
The service applies to the plan's out-of-pocket maximum amount of $10,500, not to exceed $21,000 per family. When the plan's out-of-pocket maximum amount is satisfied, the health plan will reimburse 100% of the allowed amount. 
B. Facility Services – Outpatient Hospital (if performed in a hospital outpatient department):
In-Network Provider 
For in-network providers: 
the plan has a $2,500 deductible per person, not to exceed $5,000 per family.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Outpatient Hospital Facility Services for Surgery is subject to this deductible. Once the deductible is met,  
The coinsurance is 50% of the allowed amount, and the plan will reimburse the remaining 50%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$10,500, not to exceed $21,000 per family. When the plan's out-of-pocket maximum amount is satisfied, the health plan will reimburse 100% of the allowed amount. 
C. Facility Services – Ambulatory Surgery Center (ASC) (if performed at a freestanding surgery center):
In-Network Provider 
For in-network providers: 
the plan has a $2,500 deductible per person, not to exceed $5,000 per family.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Ambulatory Surgery Center Free Standing Facility Services is subject to this deductible. Once the deductible is met,  
The coinsurance is 50% of the allowed amount, and the plan will reimburse the remaining 50%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$10,500, not to exceed $21,000 per family. When the plan's out-of-pocket maximum amount is satisfied, the health plan will reimburse 100% of the allowed amount. 
</t>
  </si>
  <si>
    <t>What is my benefit for an inguinal hernia repair?</t>
  </si>
  <si>
    <t xml:space="preserve">Brief Answer 
An inguinal hernia repair is a surgical procedure, so the Member’s cost share depends on where it’s performed (office, ambulatory surgery center, or outpatient hospital). Based on the plan document, the Member generally pays 20% coinsurance for the surgeon/professional services plus a facility coinsurance that varies by setting.
──────────────────────────────────────────────────
Detailed Explanation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Plan-level cost shares that may apply
- the plan has a $500 deductible per person, not to exceed $1,500 per family.  
- The service applies to the plan's out-of-pocket maximum amount of $3,000, not to exceed $6,000 per family. When the plan's out-of-pocket maximum amount is satisfied, the health plan will reimburse 100% of the allowed amount. 
A) Professional (surgeon) fees — hernia repair:
#### In-Network Provider
For in-network providers:  
Professional Services – Surgery (Office) 
- Deductible: Professional Services Surgery - Office is subject to this deductible. Once the deductible is met,  
- Coinsurance: The coinsurance is 20% of the allowed amount, and the plan will reimburse the remaining 80% of the allowed amount for Professional Services Surgery - Office.  
- Out-of-Pocket Maximum: Applies. 
Professional Services – Surgery (Outpatient facility) 
- Deductible: Professional Services Surgery - Outpatient is subject to this deductible. Once the deductible is met,  
- Coinsurance: The coinsurance is 20% of the allowed amount, and the plan will reimburse the remaining 80% of the allowed amount for Professional Services Surgery - Outpatient.  
- Out-of-Pocket Maximum: Applies. 
#### Out-of-Network Provider
I couldn't find out-of-network surgical professional cost shares in the current plan document.
──────────────────────────────────────────────────
B) Facility fees — where the surgery is performed:
#### In-Network Provider
For in-network providers: 
Ambulatory Surgery Center (Free Standing) – Facility Services (Surgery) 
- Deductible: Ambulatory Surgery Center Free Standing Facility Services is subject to this deductible. Once the deductible is met,  
- Coinsurance: The coinsurance is 10% of the allowed amount, and the plan will reimburse the remaining 90% of the allowed amount for Ambulatory Surgery Center Free Standing Facility Services.  
- Out-of-Pocket Maximum: Applies. 
Outpatient Hospital – Facility Services (Surgery) 
- Deductible: Outpatient Hospital Facility Services for Surgery is subject to this deductible. Once the deductible is met,  
- Coinsurance: The coinsurance is 25% of the allowed amount, and the plan will reimburse the remaining 75% of the allowed amount for Outpatient Hospital Facility Services for Surgery.  
- Out-of-Pocket Maximum: Applies. 
#### Out-of-Network Provider
I couldn't find out-of-network facility cost shares for these surgery settings in the current plan document.
</t>
  </si>
  <si>
    <t>What is my benefit for an upper endoscopy (EGD)?</t>
  </si>
  <si>
    <t xml:space="preserve">Brief Answer 
An upper endoscopy (EGD) would be processed as an outpatient surgical procedure in most cases, so the Member’s costs will generally include professional services (physician) plus facility charges (hospital outpatient department or ambulatory surgery center), and it is subject to the medical deductible. 
──────────────────────────────────────────────────
Detailed Explanation
A. Professional services (physician/surgeon) — Outpatient facility (typical for EGD) 
In-Network Provider 
For in-network providers: 
the plan has a $750 deductible per person, not to exceed $2,250 per family. 
Professional services in an outpatient facility is subject to this deductible. Once the deductible is met, 
The coinsurance is 20% of the allowed amount, and the plan will reimburse the remaining 80% of the allowed amount for Professional Services Surgery - Outpatient.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Professional services in an outpatient facility is subject to this deductible. Once the deductible is met, 
The coinsurance is 40% of the allowed amount, and the plan will reimburse the remaining 60% of the allowed amount for Professional Services Surgery - Outpatient. 
The service applies to the plan's out-of-pocket maximum amount of $10,750, not to exceed $21,500 per family. When the plan's out-of-pocket maximum amount is satisfied, the health plan will reimburse 100% of the allowed amount. 
B. Facility services — Hospital outpatient surgery (if the EGD is done in a hospital outpatient department) 
In-Network Provider 
For in-network providers: 
the plan has a $750 deductible per person, not to exceed $2,250 per family. 
Outpatient Hospital Facility Services for Surgery is subject to this deductible. Once the deductible is met, 
Copay: $125 per surgery + The coinsurance is 20% of the allowed amount, and the plan will reimburse the remaining 80% of the allowed amount for Outpatient Hospital Facility Services for Surgery.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Outpatient Hospital Facility Services for Surgery is subject to this deductible. Once the deductible is met, 
The coinsurance is 40% of the allowed amount, and the plan will reimburse the remaining 60%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$10,750, not to exceed $21,500 per family. When the plan's out-of-pocket maximum amount is satisfied, the health plan will reimburse 100% of the allowed amount. 
C. Facility services — Ambulatory Surgery Center (ASC) (if the EGD is done at a free-standing surgery center) 
In-Network Provider 
For in-network providers: 
the plan has a $750 deductible per person, not to exceed $2,250 per family.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$10,750, not to exceed $21,500 per family. When the plan's out-of-pocket maximum amount is satisfied, the health plan will reimburse 100% of the allowed amount. 
Important (procedure-related fees):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</si>
  <si>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What is my benefit for heart bypass surgery?</t>
  </si>
  <si>
    <t xml:space="preserve">Brief Answer 
Heart bypass surgery would be treated as an inpatient surgery under this PPO plan. Based on the plan document provided, the expected cost shares are 20% coinsurance (in-network) for both the hospital (facility) and the surgeon/physician (professional), and 40% coinsurance (out-of-network) (and the provider may balance bill).
──────────────────────────────────────────────────
Detailed Explanation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A. Inpatient (Hospital Admission) — Facility Services (Hospital Room/Board &amp; Ancillary):
In-Network Provider 
For in-network providers: 
the plan has a $750 deductible per person, not to exceed $2,250 per family.  
Hospital Room Facility Services - Room and board and all medically necessary ancillary services and supplies is subject to this deductible. Once the deductible is met,  
The coinsurance is 20% of the allowed amount, and the plan will reimburse the remaining 80% of the allowed amount for Hospital Room Facility Services - Room and board and all medically necessary ancillary services and supplies.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Hospital Room Facility Services - Room and board and all medically necessary ancillary services and supplies is subject to this deductible. Once the deductible is met,  
The coinsurance is 40% of the allowed amount, and the plan will reimburse the remaining 60% of the allowed amount for Hospital Room Facility Services - Room and board and all medically necessary ancillary services and supplies.  
The service applies to the plan's out-of-pocket maximum amount of $10,750, not to exceed $21,500 per family. When the plan's out-of-pocket maximum amount is satisfied, the health plan will reimburse 100% of the allowed amount.  
This plan has a maximum payable amount of up to $600 per day. This means the member would also be responsible for all charges above $600 per day. 
B. Inpatient (Hospital Admission) — Professional Services (Physician/Surgeon):
In-Network Provider 
For in-network providers: 
the plan has a $750 deductible per person, not to exceed $2,250 per family.  
Physician Care at a hospital/hospital visit is subject to this deductible. Once the deductible is met,  
The coinsurance is 20% of the allowed amount, and the plan will reimburse the remaining 80% of the allowed amount for Physician Care at a hospital/hospital visit.  
The service applies to the plan's out-of-pocket maximum amount of $6,250, not to exceed $12,500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Physician Care at a hospital/hospital visit is subject to this deductible. Once the deductible is met,  
The coinsurance is 40% of the allowed amount, and the plan will reimburse the remaining 60% of the allowed amount for Physician Care at a hospital/hospital visit.  
The service applies to the plan's out-of-pocket maximum amount of $10,750, not to exceed $21,500 per family. When the plan's out-of-pocket maximum amount is satisfied, the health plan will reimburse 100% of the allowed amount. 
</t>
  </si>
  <si>
    <t xml:space="preserve">Minera Response (Needs to be human validated)
Heart bypass surgery is covered under the inpatient hospital benefits. In-network, the facility (hospital) portion is 25% coinsurance and subject to the plan’s facility deductible, while the inpatient physician/surgeon portion is No Charge.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Access+: The patient does not need a referral for: Emergency Services; Urgent Services; Access+ Specialist visits; OB/GYN services by an obstetrician, gynecologist, or family practice Physician within the patient's Medical Group; and Office visits with the patient's primary care physician (PCP). The Access+ specialist visit includes: (1) An examination or consultation without referral from personal physician; (2) Conventional X-rays; (3) Laboratory Services; (4) Diagnostic or treatment procedures which a plan specialist would regularly provide under a referral. [2]
A. Inpatient hospital stay (facility charges) — Hospital Room / inpatient facility services (Benefit ID 75):
In-Network Provider 
For in-network providers, [3] 
The plan has a $1,500 deductible per person, not to exceed $3,000 per family. [4] 
Inpatient hospital facility services for heart bypass surgery is subject to this deductible. Once the deductible is met, [3][4] 
The coinsurance is 25% of the allowed amount, and the plan will reimburse the remaining 75% of the allowed amount for inpatient hospital facility services for heart bypass surgery services. [3] 
The service applies to the plan's out-of-pocket maximum amount of $3,000 per individual, not to exceed $6,000 per family. When the plan's out-of-pocket maximum amount is satisfied, the health plan will reimburse 100% of the allowed amount. [5] 
Professional services disclaimer: 
In addition to the hospital bill, the member can expect related professional fees for services like surgery, anesthesia, and diagnostic testing (radiological, pathology, or laboratory). [6]
Additional details: 
- Inpatient hospital services include room and board (including semiprivate room, nursing care, meals/special diets) [6] 
- Inpatient services include operating/recovery rooms, anesthesia/IV solutions, lab/radiology/diagnostic services, blood products, medical/surgical supplies, implanted devices, and therapy services [6]
Out-of-Network Provider 
For out-of-network providers, the member is responsible for 100% of the provider's billed amount, as the plan only covers in-network providers. [1]
──────────────────────────────────────────────────
B. Inpatient physician/surgeon services (professional charges) — Physician or surgeon services in an inpatient facility (Benefit ID 121):
In-Network Provider 
For in-network providers, [7] 
The plan has a $1,500 deductible per person, not to exceed $3,000 per family. [4] 
However, inpatient physician/surgeon services for heart bypass surgery is not subject to the deductible. [7] 
The plan will reimburse the provider 100% of the allowed amount for inpatient physician/surgeon services for heart bypass surgery. [7] 
Surgery Disclaimer: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[8]
Out-of-Network Provider 
For out-of-network providers, the member is responsible for 100% of the provider's billed amount, as the plan only covers in-network providers. [1]
</t>
  </si>
  <si>
    <t>Physician or surgeon services in an outpatient facility
Outpatient Surgeries
Ambulatory Surgery Center (ASC) Surgery</t>
  </si>
  <si>
    <t>What's the benefit coverage for a cervical colposcopy and biopsy?</t>
  </si>
  <si>
    <t xml:space="preserve">Brief Answer 
A cervical colposcopy with biopsy is generally processed as a diagnostic outpatient procedure (not a preventive screening). Under this Local Access+ HMO plan, the professional portion is No Charge, and if it’s done in an outpatient hospital setting the facility portion may be 15% coinsurance after the facility deductible (if billed as outpatient surgery).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Professional services (physician performing the colposcopy/biopsy) — Outpatient:
In-Network Provider 
For in-network providers: 
the plan has a $1,500 deductible per person, not to exceed $3,000 per family.  
However, Professional Services Surgery - Outpatient is not subject to the deductible.
The plan will reimburse the provider 100% of the allowed amount for Professional Services Surgery - Outpatient. 
Out-of-Network Provider 
For out-of-network providers, the member is responsible for 100% of the provider's billed amount, as the plan only covers in-network providers. 
B) Facility services (where the procedure is performed) — Outpatient:
Colposcopy/biopsy can be performed in different outpatient settings. The plan’s facility cost share depends on the site of service.
B1) Outpatient hospital (facility charges) — if billed as Outpatient Hospital Facility Services for Surgery
In-Network Provider 
For in-network providers: 
the plan has a $1,500 deductible per person, not to exceed $3,000 per family.  
Outpatient Hospital Facility Services for Surgery is subject to this deductible. 
The coinsurance is 15% of the allowed amount, and the plan will reimburse the remaining 85% of the allowed amount for Outpatient Hospital Facility Services for Surgery.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B2) Ambulatory Surgery Center (ASC) — if billed as Ambulatory Surgery Center Free Standing Facility Services
In-Network Provider 
For in-network providers: 
the plan has a $1,500 deductible per person, not to exceed $3,000 per family.  
Ambulatory Surgery Center Free Standing Facility Services is subject to this deductible.  
The coinsurance is 5% of the allowed amount, and the plan will reimburse the remaining 95% of the allowed amount for Ambulatory Surgery Center Free Standing Facility Services.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Important procedure-related billing note (applies to this type of procedure):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</si>
  <si>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removed "Once deductible is met" given not subject to deductible</t>
  </si>
  <si>
    <t>Office / Urgent Care setting (Professional services)
Emergency Room (ER) setting (Facility + ER physician)
Outpatient Services for Treatment of Illness or Injury (Not elsewhere listed).</t>
  </si>
  <si>
    <t>What's the benefit coverage for a laceration repair (stitches)?</t>
  </si>
  <si>
    <t xml:space="preserve">Brief Answer 
A laceration repair (stitches) is generally covered as a professional service (provider’s repair) and may also include facility charges if done in an ER/urgent care/hospital outpatient setting. In this plan, professional services are typically $20 copay (in-network office/urgent care) or 20% coinsurance (in-network hospital-based settings), and out-of-network services are generally 40% coinsurance (and balance billing may apply).
──────────────────────────────────────────────────
Detailed Explanation
A) Office / Urgent Care setting (Professional services):
In-Network Provider 
For in-network providers: 
the plan has a $1,500 deductible per person, not to exceed $3,000 per family. However, Office Visit/Consultation Physician Care - Generalist is not subject to the deductible. Once the deductible is met, the copay for Office Visit/Consultation Physician Care - Generalist services is $20.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Office Visit/Consultation Physician Care - Generalist is subject to this deductible. Once the deductible is met,  
The coinsurance is 40% of the allowed amount, and the plan will reimburse the remaining 60% of the allowed amount for Office Visit/Consultation Physician Care - Generalist.
The service applies to the plan's out-of-pocket maximum amount of $10,000, not to exceed $20,000 per family. When the plan's out-of-pocket maximum amount is satisfied, the health plan will reimburse 100% of the allowed amount. 
Note: If the stitches are performed at an urgent care center, the plan’s urgent care professional services cost share is also $20/visit in-network. 
──────────────────────────────────────────────────
B) Emergency Room (ER) setting (Facility + ER physician):
In-Network Provider 
For in-network providers: 
the plan has a $1,500 deductible per person, not to exceed $3,000 per family.  
However, Emergency Room Facility (Rev 450) is not subject to the deductible.  
- ER facility: $150 per visit + 20% coinsurance 
- ER physician (professional): 20% coinsurance (not subject to deductible)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However, for this plan’s ER benefit, the cost share shown is the same for participating and non-participating providers: 
- ER facility: $150 per visit + 20% coinsurance 
- ER physician (professional): 20% coinsurance 
The service applies to the plan's out-of-pocket maximum amount of $10,000, not to exceed $20,000 per family. When the plan's out-of-pocket maximum amount is satisfied, the health plan will reimburse 100% of the allowed amount.
──────────────────────────────────────────────────
C) Hospital outpatient department (non-ER) where the facility bills separately:
If the stitches are done in a hospital outpatient setting (not an ER visit), there may be both facility and professional charges.
In-Network Provider 
For in-network providers: 
the plan has a $1,500 deductible per person, not to exceed $3,000 per family. 
Outpatient Services for Treatment of Illness or Injury (Not elsewhere listed) is subject to this deductible. Once the deductible is met, the coinsurance is 20% of the allowed amount, and the plan will reimburse the remaining 80% of the allowed amount for Outpatient Services for Treatment of Illness or Injury (Not elsewhere listed).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Outpatient Services for Treatment of Illness or Injury (Not elsewhere listed) is subject to this deductible. Once the deductible is met,  
The coinsurance is 40% of the allowed amount, and the plan will reimburse the remaining 60% of the allowed amount for Outpatient Services for Treatment of Illness or Injury (Not elsewhere listed).  
This plan has a maximum payable amount of up to $350 per day. This means the member would also be responsible for all charges above $350 per day.  
The service applies to the plan's out-of-pocket maximum amount of $10,000, not to exceed $20,000 per family. When the plan's out-of-pocket maximum amount is satisfied, the health plan will reimburse 100% of the allowed amount. 
</t>
  </si>
  <si>
    <t>What's the coverage for a herniated disc surgery?</t>
  </si>
  <si>
    <t xml:space="preserve">Brief Answer 
For a herniated disc surgery, this HMO plan covers the surgeon/professional services at No Charge and the facility portion with coinsurance that is subject to the Facility deductible (the exact coinsurance depends on whether it’s done at an outpatient hospital vs. an ambulatory surgery center).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the plan has a $1,500 deductible per person, not to exceed $3,000 per family. 
A) Professional Services (Surgeon/Physician):
In-Network Provider 
For in-network providers:  
- However, Professional Services Surgery - Outpatient is not subject to the deductible.  
- The plan will reimburse the provider 100% of the allowed amount for Professional Services Surgery - Outpatient. 
Out-of-Network Provider 
Out-of-Network Provider: For out-of-network providers, the member is responsible for 100% of the provider's billed amount, as the plan only covers in-network providers. 
B) Facility Services (Where the surgery is performed):
#### Option 1: Outpatient Hospital (Facility)
In-Network Provider 
For in-network providers:  
- Outpatient Hospital Facility Services for Surgery is subject to this deductible. Once the deductible is met,  
- The coinsurance is 30% of the allowed amount, and the plan will reimburse the remaining 70% of the allowed amount for Outpatient Hospital Facility Services for Surgery.  
- The service applies to the plan's out-of-pocket maximum amount of $3,000, not to exceed $6,000 per family. When the plan's out-of-pocket maximum amount is satisfied, the health plan will reimburse 100% of the allowed amount. 
Out-of-Network Provider 
Out-of-Network Provider: For out-of-network providers, the member is responsible for 100% of the provider's billed amount, as the plan only covers in-network providers. 
#### Option 2: Ambulatory Surgery Center (Free-Standing Facility)
In-Network Provider 
For in-network providers:  
- Ambulatory Surgery Center Free Standing Facility Services is subject to this deductible. Once the deductible is met,  
- The coinsurance is 15% of the allowed amount, and the plan will reimburse the remaining 85% of the allowed amount for Ambulatory Surgery Center Free Standing Facility Services.  
- The service applies to the plan's out-of-pocket maximum amount of $3,000, not to exceed $6,000 per family. When the plan's out-of-pocket maximum amount is satisfied, the health plan will reimburse 100% of the allowed amount. 
Out-of-Network Provider 
Out-of-Network Provider: For out-of-network providers, the member is responsible for 100% of the provider's billed amount, as the plan only covers in-network providers. 
</t>
  </si>
  <si>
    <t>What's the coverage for a pacemaker?</t>
  </si>
  <si>
    <t xml:space="preserve">Brief Answer 
A pacemaker is treated as a surgically implanted device, so coverage will generally include the facility (hospital/ASC) charges and the professional (physician/surgeon) charges for the implant procedure. Under this HMO plan, services must be received in-network/through the Medical Group to be eligible for benefits.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Since a pacemaker involves a procedure and the cost share can depend on place of service, below are the typical benefit components to reference (professional + facility). *(The plan document provided does not list “pacemaker implantation” as a named benefit line, so this is mapped to the plan’s surgery/procedure benefits and implanted-device coverage.)*
A) Outpatient pacemaker implantation (common):
#### 1) Professional services (physician/surgeon) — Outpatient facility
For in-network providers:  
the plan has a $1,500 deductible per person, not to exceed $3,000 per family.  
However, Professional Services Surgery - Outpatient is not subject to the deductible. Once the deductible is met, 
The plan will reimburse the provider 100% of the allowed amount for Professional Services Surgery - Outpatient. 
The service applies to the plan's out-of-pocket maximum amount of $3,000, not to exceed $6,000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 2) Facility services — Outpatient hospital surgery
For in-network providers:  
the plan has a $1,500 deductible per person, not to exceed $3,000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$3,000, not to exceed $6,000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 3) Facility services — Ambulatory Surgery Center (ASC)
For in-network providers:  
the plan has a $1,500 deductible per person, not to exceed $3,000 per family.  
Ambulatory Surgery Center Free Standing Facility Services is subject to this deductible. Once the deductible is met, 
The coinsurance is 15% of the allowed amount, and the plan will reimburse the remaining 85% of the allowed amount for Ambulatory Surgery Center Free Standing Facility Services. 
The service applies to the plan's out-of-pocket maximum amount of $3,000, not to exceed $6,000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B) Inpatient pacemaker implantation (if admitted):
#### 1) Professional services (physician/surgeon) — Inpatient facility
For in-network providers:  
the plan has a $1,500 deductible per person, not to exceed $3,000 per family.  
However, Physician Care at a hospital/hospital visit is not subject to the deductible. Once the deductible is met, 
The plan will reimburse the provider 100% of the allowed amount for Physician Care at a hospital/hospital visit. 
For out-of-network providers: 
For out-of-network providers, the member is responsible for 100% of the provider's billed amount, as the plan only covers in-network providers.
#### 2) Facility services — Inpatient hospital
For in-network providers:  
the plan has a $1,500 deductible per person, not to exceed $3,000 per family.  
Hospital Room Facility Services - Room and board and all medically necessary ancillary services and supplies is subject to this deductible. Once the deductible is met, 
The coinsurance is 25% of the allowed amount, and the plan will reimburse the remaining 75% of the allowed amount for Hospital Room Facility Services - Room and board and all medically necessary ancillary services and supplies. 
The service applies to the plan's out-of-pocket maximum amount of $3,000, not to exceed $6,000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C) Pacemaker device itself (implanted device):
For in-network providers:  
the plan has a $1,500 deductible per person, not to exceed $3,000 per family.  
However, Prosthetics is not subject to the deductible. Once the deductible is met, 
The plan will reimburse the provider 100% of the allowed amount for Prosthetics. 
For out-of-network providers: 
For out-of-network providers, the member is responsible for 100% of the provider's billed amount, as the plan only covers in-network providers.
Important note about related bills: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</si>
  <si>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What's the coverage for a total hip replacement?</t>
  </si>
  <si>
    <t xml:space="preserve">Brief Answer 
A total hip replacement is covered, and the member’s cost share will depend on whether it’s done as an inpatient hospital stay or as an outpatient surgery (and whether the provider/facility is in-network). Below are the in-network and out-of-network cost shares for both facility and professional services.
──────────────────────────────────────────────────
Detailed Explanation
A) Inpatient hospital (typical for total hip replacement):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Facility (Hospital room/facility services — Inpatient)
In-Network Provider 
For in-network providers:  
the plan has a $250 deductible per person, not to exceed $750 per family.  
Hospital Benefits (Facility Services) is subject to this deductible. Once the deductible is met,  
The coinsurance is 20% of the allowed amount, and the plan will reimburse the remaining 80% of the allowed amount for Hospital Benefits (Facility Services).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Hospital Benefits (Facility Services) is subject to this deductible. Once the deductible is met,  
The coinsurance is 40% of the allowed amount, and the plan will reimburse the remaining 60% of the allowed amount for Hospital Benefits (Facility Services).  
This plan has a maximum payable amount of up to $600 per day. This means the member would also be responsible for all charges above $600 per day.  
The service applies to the plan's out-of-pocket maximum amount of $10,250, not to exceed $20,500 per family. When the plan's out-of-pocket maximum amount is satisfied, the health plan will reimburse 100% of the allowed amount. 
#### Professional (Surgeon/physician services — Inpatient)
In-Network Provider 
For in-network providers:  
the plan has a $250 deductible per person, not to exceed $750 per family.  
Professional Physician Services is subject to this deductible. Once the deductible is met,  
The coinsurance is 20% of the allowed amount, and the plan will reimburse the remaining 80% of the allowed amount for Professional Physician Services.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Professional Physician Services is subject to this deductible. Once the deductible is met,  
The coinsurance is 40% of the allowed amount, and the plan will reimburse the remaining 60% of the allowed amount for Professional Physician Services.  
The service applies to the plan's out-of-pocket maximum amount of $10,250, not to exceed $20,500 per family. When the plan's out-of-pocket maximum amount is satisfied, the health plan will reimburse 100% of the allowed amount. 
──────────────────────────────────────────────────
B) Outpatient surgery (if performed without an inpatient admission):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Facility (Outpatient hospital surgery)
In-Network Provider 
For in-network providers:  
the plan has a $250 deductible per person, not to exceed $750 per family.  
Hospital Benefits (Facility Services) is subject to this deductible. Once the deductible is met,  
The coinsurance is 25% of the allowed amount, and the plan will reimburse the remaining 75% of the allowed amount for Hospital Benefits (Facility Services).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Hospital Benefits (Facility Services) is subject to this deductible. Once the deductible is met,  
The coinsurance is 40% of the allowed amount, and the plan will reimburse the remaining 60% of the allowed amount for Hospital Benefits (Facility Services).  
This plan has a maximum payable amount of up to $350 per day. This means the member would also be responsible for all charges above $350 per day.  
The service applies to the plan's out-of-pocket maximum amount of $10,250, not to exceed $20,500 per family. When the plan's out-of-pocket maximum amount is satisfied, the health plan will reimburse 100% of the allowed amount. 
#### Facility (Ambulatory Surgery Center (ASC) surgery)
In-Network Provider 
For in-network providers:  
the plan has a $250 deductible per person, not to exceed $750 per family.  
Ambulatory Surgery Center (Free Standing) is subject to this deductible. Once the deductible is met,  
The coinsurance is 10% of the allowed amount, and the plan will reimburse the remaining 90% of the allowed amount for Ambulatory Surgery Center (Free Standing).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Ambulatory Surgery Center (Free Standing) is subject to this deductible. Once the deductible is met,  
The coinsurance is 40% of the allowed amount, and the plan will reimburse the remaining 60% of the allowed amount for Ambulatory Surgery Center (Free Standing).  
This plan has a maximum payable amount of up to $350 per day. This means the member would also be responsible for all charges above $350 per day.  
The service applies to the plan's out-of-pocket maximum amount of $10,250, not to exceed $20,500 per family. When the plan's out-of-pocket maximum amount is satisfied, the health plan will reimburse 100% of the allowed amount. 
#### Professional (Surgeon/physician services — Outpatient facility)
In-Network Provider 
For in-network providers:  
the plan has a $250 deductible per person, not to exceed $750 per family.  
Professional Physician Services is subject to this deductible. Once the deductible is met,  
The coinsurance is 20% of the allowed amount, and the plan will reimburse the remaining 80% of the allowed amount for Professional Physician Services.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Professional Physician Services is subject to this deductible. Once the deductible is met,  
The coinsurance is 40% of the allowed amount, and the plan will reimburse the remaining 60% of the allowed amount for Professional Physician Services.  
The service applies to the plan's out-of-pocket maximum amount of $10,250, not to exceed $20,500 per family. When the plan's out-of-pocket maximum amount is satisfied, the health plan will reimburse 100% of the allowed amount. 
</t>
  </si>
  <si>
    <t>What's the coverage for an ACL reconstruction surgery?</t>
  </si>
  <si>
    <t>38.045</t>
  </si>
  <si>
    <t xml:space="preserve">Brief Answer 
ACL reconstruction is a surgical procedure, so the Member’s cost depends on where it’s performed (inpatient hospital vs. outpatient hospital vs. ambulatory surgery center) and includes both facility and professional charges. Under this plan, the Member pays coinsurance (and the service is subject to the medical deductible) for the surgery-related facility and professional services.
──────────────────────────────────────────────────
Detailed Explanation
Exclusive Provider Organization (EPO) Disclaimer:
This is an Exclusive Provider Organization (EPO) plan. You must receive all Covered Benefits from a Participating Provider,  the exception is with Emergency or Urgent Services.
Because the place of service wasn’t specified, below are the common ACL reconstruction settings:
A) Outpatient Hospital (Facility) — Hospital Services &gt; Outpatient &gt; Surgeries:
In-Network Provider 
For in-network providers: 
- Medical deductible: the plan has a $2,500 deductible per person, not to exceed $5,000 per family.  
- Deductible applies: Hospital outpatient surgery facility services is subject to this deductible. Once the deductible is met,  
- Coinsurance: The coinsurance is 25% of the allowed amount, and the plan will reimburse the remaining 75% of the allowed amount for Hospital Services – Outpatient Surgeries (facility).  
- Out-of-pocket maximum: The service applies to the plan's out-of-pocket maximum amount of $5,000, not to exceed $10,000 per family. When the plan's out-of-pocket maximum amount is satisfied, the health plan will reimburse 100% of the allowed amount. 
──────────────────────────────────────────────────
B) Ambulatory Surgery Center (Facility) — Hospital Services &gt; Ambulatory Surgery Centers &gt; Surgery:
In-Network Provider 
For in-network providers: 
- Medical deductible: the plan has a $2,500 deductible per person, not to exceed $5,000 per family.  
- Deductible applies: Ambulatory Surgery Center (free-standing facility) surgery services is subject to this deductible. Once the deductible is met,  
- Coinsurance: The coinsurance is 10% of the allowed amount, and the plan will reimburse the remaining 90% of the allowed amount for Ambulatory Surgery Center surgery (facility).  
- Out-of-pocket maximum: The service applies to the plan's out-of-pocket maximum amount of $5,000, not to exceed $10,000 per family. When the plan's out-of-pocket maximum amount is satisfied, the health plan will reimburse 100% of the allowed amount. 
──────────────────────────────────────────────────
C) Professional (Surgeon) — Physician and other Professional Services:
#### 1) Professional surgeon services in an outpatient facility
In-Network Provider 
For in-network providers: 
- Medical deductible: the plan has a $2,500 deductible per person, not to exceed $5,000 per family.  
- Deductible applies: Professional Services – Surgery (outpatient facility) is subject to this deductible. Once the deductible is met,  
- Coinsurance: The coinsurance is 20% of the allowed amount, and the plan will reimburse the remaining 80% of the allowed amount for Professional Services – Surgery (outpatient facility).  
- Out-of-pocket maximum: The service applies to the plan's out-of-pocket maximum amount of $5,000, not to exceed $10,000 per family. When the plan's out-of-pocket maximum amount is satisfied, the health plan will reimburse 100% of the allowed amount. 
#### 2) Professional surgeon services in an inpatient facility (if the ACL is done inpatient)
In-Network Provider 
For in-network providers: 
- Medical deductible: the plan has a $2,500 deductible per person, not to exceed $5,000 per family.  
- Deductible applies: Physician or surgeon services in an inpatient facility is subject to this deductible. Once the deductible is met,  
- Coinsurance: The coinsurance is 20% of the allowed amount, and the plan will reimburse the remaining 80% of the allowed amount for Physician or surgeon services in an inpatient facility.  
- Out-of-pocket maximum: The service applies to the plan's out-of-pocket maximum amount of $5,000, not to exceed $10,000 per family. When the plan's out-of-pocket maximum amount is satisfied, the health plan will reimburse 100% of the allowed amount. 
──────────────────────────────────────────────────
D) Inpatient Hospital (Facility) — Hospital Services &gt; Inpatient:
*(Only applies if the ACL reconstruction is performed as an inpatient admission.)*
In-Network Provider 
For in-network providers: 
- Medical deductible: the plan has a $2,500 deductible per person, not to exceed $5,000 per family.  
- Deductible applies: Inpatient hospital room/facility services is subject to this deductible. Once the deductible is met,  
- Coinsurance: The coinsurance is 20% of the allowed amount, and the plan will reimburse the remaining 80% of the allowed amount for Inpatient hospital facility services.  
- Out-of-pocket maximum: The service applies to the plan's out-of-pocket maximum amount of $5,000, not to exceed $10,000 per family. When the plan's out-of-pocket maximum amount is satisfied, the health plan will reimburse 100% of the allowed amount. 
Out-of-Network Provider 
For out-of-network providers:  
Out-of-network providers are not covered under this plan.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</si>
  <si>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What's the coverage forr a tonsillectomy?</t>
  </si>
  <si>
    <t xml:space="preserve">Brief Answer 
A tonsillectomy is generally an outpatient surgery, so for this HMO plan the member would have $0 for the surgeon/professional services plus a facility copay that depends on where it’s done ($500 at an outpatient hospital or $200 at an ambulatory surgery center). Prior to any surgeon/facility bill, the member can also expect related fees (like anesthesia and any related diagnostic testing).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Tonsillectomy (treated as Outpatient Surgery):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A) Professional Services (Surgeon/Physician) — Outpatient
In-Network Provider 
For in-network providers:  
the plan does not have a deductible.  
The plan will reimburse the provider 100% of the allowed amount for Professional Services Surgery - Outpatient. 
Out-of-Network Provider 
For out-of-network providers, the member is responsible for 100% of the provider's billed amount, as the plan only covers in-network providers. 
──────────────────────────────────────────────────
#### B) Facility Services — Outpatient Hospital (Hospital Outpatient Surgery)
In-Network Provider 
For in-network providers:  
the plan does not have a deductible.  
The copay for Outpatient Hospital Facility Services for Surgery services is $500.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 C) Facility Services — Ambulatory Surgery Center (ASC)
In-Network Provider 
For in-network providers:  
the plan does not have a deductible.  
The copay for Ambulatory Surgery Center Free Standing Facility Services services is $200 per surgery.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</si>
  <si>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 xml:space="preserve">Removed However, Outpatient Hospital Facility Services  </t>
  </si>
  <si>
    <t xml:space="preserve">Physician and other Professional Services
Hospital Services
</t>
  </si>
  <si>
    <t>Physician or surgeon services in an outpatient facility
Surgery
Surgeries</t>
  </si>
  <si>
    <t>How is a Breast Reduction (Reduction Mammaplasty) covered?</t>
  </si>
  <si>
    <t xml:space="preserve">Brief Answer 
A breast reduction (reduction mammaplasty) is generally processed as a surgical procedure, so coverage depends on where it’s performed (inpatient vs outpatient) and includes both facility and professional charges. Based on this PPO plan, the main cost shares are 10% coinsurance (in-network) for the surgeon/professional services and 5%–15% coinsurance (in-network) for the facility, after the deductible (since these services are subject to deductible). 
──────────────────────────────────────────────────
Detailed Explanation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Because the place of service wasn’t specified, below are the common outpatient settings (ASC or outpatient hospital) and the inpatient hospital setting.
A) Professional Services (Surgeon/Physician) — Surgery:
#### In-Network Provider
For in-network providers: 
the plan has a $250 deductible per person, not to exceed $750 per family.  
Professional Services Surgery - Outpatient is subject to this deductible. Once the deductible is met,  
The coinsurance is 10% of the allowed amount, and the plan will reimburse the remaining 90% of the allowed amount for Professional Services Surgery - Outpatient.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Professional Services Surgery - Outpatient is subject to this deductible. Once the deductible is met,  
The coinsurance is 30% of the allowed amount, and the plan will reimburse the remaining 70% of the allowed amount for Professional Services Surgery - Outpatient.  
The service applies to the plan's out-of-pocket maximum amount of $3,500, not to exceed $7,000 per family. When the plan's out-of-pocket maximum amount is satisfied, the health plan will reimburse 100% of the allowed amount. 
──────────────────────────────────────────────────
B) Facility Services — Outpatient Surgery (Hospital Outpatient Department):
#### In-Network Provider
For in-network providers: 
the plan has a $250 deductible per person, not to exceed $750 per family.  
Outpatient Hospital Facility Services for Surgery is subject to this deductible. Once the deductible is met,  
The coinsurance is 15% of the allowed amount, and the plan will reimburse the remaining 85% of the allowed amount for Outpatient Hospital Facility Services for Surgery.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$3,500, not to exceed $7,000 per family. When the plan's out-of-pocket maximum amount is satisfied, the health plan will reimburse 100% of the allowed amount.  
This plan has a maximum payable amount of up to $350 per day. This means the member would also be responsible for all charges above $350 per day. 
──────────────────────────────────────────────────
C) Facility Services — Outpatient Surgery (Ambulatory Surgery Center / ASC):
#### In-Network Provider
For in-network providers: 
the plan has a $250 deductible per person, not to exceed $750 per family.  
Ambulatory Surgery Center Free Standing Facility Services is subject to this deductible. Once the deductible is met,  
The coinsurance is 5% of the allowed amount, and the plan will reimburse the remaining 95% of the allowed amount for Ambulatory Surgery Center Free Standing Facility Services.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Ambulatory Surgery Center Free Standing Facility Services is subject to this deductible. Once the deductible is met,  
The coinsurance is 30% of the allowed amount, and the plan will reimburse the remaining 70% of the allowed amount for Ambulatory Surgery Center Free Standing Facility Services.  
The service applies to the plan's out-of-pocket maximum amount of $3,500, not to exceed $7,000 per family. When the plan's out-of-pocket maximum amount is satisfied, the health plan will reimburse 100% of the allowed amount.  
This plan has a maximum payable amount of up to $350 per day. This means the member would also be responsible for all charges above $350 per day. 
──────────────────────────────────────────────────
D) Facility Services — Inpatient Hospital (if admitted):
#### In-Network Provider
For in-network providers: 
the plan has a $250 deductible per person, not to exceed $750 per family.  
Hospital Room Facility Services - Room and board and all medically necessary ancillary services and supplies is subject to this deductible. Once the deductible is met,  
The coinsurance is 10% of the allowed amount, and the plan will reimburse the remaining 90% of the allowed amount for Hospital Room Facility Services - Room and board and all medically necessary ancillary services and supplies.  
The service applies to the plan's out-of-pocket maximum amount of $2,250, not to exceed $4,500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Hospital Room Facility Services - Room and board and all medically necessary ancillary services and supplies is subject to this deductible. Once the deductible is met,  
The coinsurance is 30% of the allowed amount, and the plan will reimburse the remaining 70% of the allowed amount for Hospital Room Facility Services - Room and board and all medically necessary ancillary services and supplies.  
The service applies to the plan's out-of-pocket maximum amount of $3,500, not to exceed $7,000 per family. When the plan's out-of-pocket maximum amount is satisfied, the health plan will reimburse 100% of the allowed amount.  
This plan has a maximum payable amount of up to $600 per day. This means the member would also be responsible for all charges above $600 per day. 
</t>
  </si>
  <si>
    <t>What are the beefits for a Rhinoplasty (Nose Surgery)?</t>
  </si>
  <si>
    <t xml:space="preserve">Brief Answer 
I couldn’t find “Rhinoplasty” listed by name in the current plan document, but it is typically considered a surgical procedure, so benefits would follow the plan’s surgery professional and facility cost shares depending on where it’s performed (office/outpatient hospital/ambulatory surgery center, or inpatient). If the rhinoplasty is considered cosmetic, it may be excluded; the plan data provided here does not include a specific “cosmetic surgery” benefit section to confirm coverage.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A) Professional (surgeon) services :
#### In-Network Provider
For in-network providers:  
the plan does not have a deductible.  
The plan will reimburse the provider 100% of the allowed amount for Professional Services Surgery - Office.  
The plan will reimburse the provider 100% of the allowed amount for Professional Services Surgery - Outpatient.  
#### Out-of-Network Provider
For out-of-network providers, the member is responsible for 100% of the provider's billed amount, as the plan only covers in-network providers. 
B) Facility services (where the surgery is performed):
#### 1) Ambulatory Surgery Center (Free Standing) – Facility
##### In-Network Provider
For in-network providers:  
the plan does not have a deductible.  
However, Ambulatory Surgery Center Free Standing Facility Services is not subject to the deductible.  
The coinsurance is 30% of the allowed amount, and the plan will reimburse the remaining 70% of the allowed amount for Ambulatory Surgery Center Free Standing Facility Services.  
The service applies to the plan's out-of-pocket maximum amount of $4,000, not to exceed $8,000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2) Outpatient Hospital – Facility (Surgery)
##### In-Network Provider
For in-network providers:  
the plan does not have a deductible.  
However, Outpatient Hospital Facility Services for Surgery is not subject to the deductible.  
The coinsurance is 40% of the allowed amount, and the plan will reimburse the remaining 60% of the allowed amount for Outpatient Hospital Facility Services for Surgery.  
The service applies to the plan's out-of-pocket maximum amount of $4,000, not to exceed $8,000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3) Inpatient Hospital – Facility (if admitted)
##### In-Network Provider
For in-network providers:  
the plan does not have a deductible.  
However, Hospital Room Facility Services - Room and board and all medically necessary ancillary services and supplies is not subject to the deductible.  
The coinsurance is 40% of the allowed amount, and the plan will reimburse the remaining 60% of the allowed amount for Hospital Room Facility Services - Room and board and all medically necessary ancillary services and supplies.  
The service applies to the plan's out-of-pocket maximum amount of $4,000, not to exceed $8,000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t>
  </si>
  <si>
    <t>What is the coverage for Abdominoplasty (Tummy Tuck)?</t>
  </si>
  <si>
    <t xml:space="preserve">Brief Answer 
Abdominoplasty (tummy tuck) is not covered under this plan when it is considered a cosmetic surgery (done to improve appearance rather than function). In that case, the member would be responsible for 100% of the billed amount.
──────────────────────────────────────────────────
Detailed Explanation
The plan’s General Exclusions state that cosmetic services/surgeries (procedures done to improve appearance rather than function) are excluded, except when covered as Reconstructive Surgery or required by law. Because abdominoplasty is typically a cosmetic procedure, it falls under this cosmetic surgery exclusion. 
</t>
  </si>
  <si>
    <t>Context</t>
  </si>
  <si>
    <t>What will it cost to see a family medicine doctor?</t>
  </si>
  <si>
    <t xml:space="preserve">Brief Answer 
For this Trio HMO plan, a family medicine (primary care) office visit is $30 per visit when seen with an in-network (HMO Provider). Out-of-network services are not covered under the HMO network rules in the plan data.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Family medicine doctor visit (Primary Care / Generalist office visit):
#### In-Network Provider
For in-network providers:  
the plan does not have a deductible.  
The copay for Office Visit/Consultation Physician Care - Generalist services is $30.  
The service applies to the plan's out-of-pocket maximum amount of $1,500, not to exceed $3,000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
</t>
  </si>
  <si>
    <t>I just had an online visit with my primary doctor. Will I get a bill for that? How much will I owe?</t>
  </si>
  <si>
    <t xml:space="preserve">Brief Answer 
For this Trio HMO plan, an online consultation is covered with a $15 copay per visit (and it applies to the out-of-pocket maximum). If the visit was with an in-network PCP/medical group provider, the Member should expect to owe $15 for the visit.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Online consultation (Telehealth/Online consultations):
In-Network Provider 
For in-network providers:  
the plan has a $750 deductible per person, not to exceed $1,500 per family.  
However, Online consultations is not subject to the deductible.  
The copay for Online consultations services is $15.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</si>
  <si>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I torn my rotator cuff and need surgery. What should I expect to have to pay?</t>
  </si>
  <si>
    <t xml:space="preserve">Brief Answer 
For a rotator cuff repair (surgery), the Member’s cost will depend on where the surgery is done (ambulatory surgery center vs. outpatient hospital vs. inpatient hospital) and whether the provider is in-network. In-network, the surgery-related services are generally subject to the medical deductible and then coinsurance applies; out-of-network, the Member may also be balance billed.
──────────────────────────────────────────────────
Detailed Explanation
Plan-level medical deductible (applies when a service is “subject to deductible”):
The plan has a $1,000 deductible per person, not to exceed $3,000 per family. 
A) Outpatient surgery (common setting for rotator cuff repair):
#### 1) Professional fees (surgeon/physician) — “Physician or surgeon services in an outpatient facility” (Benefit ID 520)
In-Network Provider 
For in-network providers:  
Physician or surgeon services in an outpatient facility is subject to this deductible. Once the deductible is met,  
The coinsurance is 20% of the allowed amount, and the plan will reimburse the remaining 80% of the allowed amount for Physician or surgeon services in an outpatient facility.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Physician or surgeon services in an outpatient facility is subject to this deductible. Once the deductible is met,  
The coinsurance is 40% of the allowed amount, and the plan will reimburse the remaining 60% of the allowed amount for Physician or surgeon services in an outpatient facility.  
The service applies to the plan's out-of-pocket maximum amount of $10,000, not to exceed $20,000 per family. When the plan's out-of-pocket maximum amount is satisfied, the health plan will reimburse 100% of the allowed amount. 
#### 2) Facility fees — Outpatient hospital facility (surgery) (Benefit ID 78)
In-Network Provider 
For in-network providers: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Outpatient Hospital Facility Services for Surgery is subject to this deductible. Once the deductible is met,  
The coinsurance is 40% of the allowed amount, and the plan will reimburse the remaining 60% of the allowed amount for Outpatient Hospital Facility Services for Surgery.  
This plan has a maximum payable amount of up to $350 per day. This means the member would also be responsible for all charges above $350 per day.  
The service applies to the plan's out-of-pocket maximum amount of $10,000, not to exceed $20,000 per family. When the plan's out-of-pocket maximum amount is satisfied, the health plan will reimburse 100% of the allowed amount. 
#### 3) Facility fees — Ambulatory Surgery Center (ASC) facility (Benefit ID 74) 
*(If the surgery is done at a freestanding surgery center instead of a hospital.)*
In-Network Provider 
For in-network providers: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Ambulatory Surgery Center Free Standing Facility Services is subject to this deductible. Once the deductible is met,  
The coinsurance is 40% of the allowed amount, and the plan will reimburse the remaining 60% of the allowed amount for Ambulatory Surgery Center Free Standing Facility Services.  
This plan has a maximum payable amount of up to $350 per day. This means the member would also be responsible for all charges above $350 per day.  
The service applies to the plan's out-of-pocket maximum amount of $10,000, not to exceed $20,000 per family. When the plan's out-of-pocket maximum amount is satisfied, the health plan will reimburse 100% of the allowed amount. 
B) Inpatient surgery (if admission is required):
#### 1) Facility — Hospital inpatient (room &amp; board/ancillary) (Benefit ID 75)
In-Network Provider 
For in-network providers:  
Hospital Room Facility Services - Room and board and all medically necessary ancillary services and supplies is subject to this deductible. Once the deductible is met,  
The coinsurance is 20% of the allowed amount, and the plan will reimburse the remaining 80% of the allowed amount for Hospital Room Facility Services - Room and board and all medically necessary ancillary services and supplies.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Hospital Room Facility Services - Room and board and all medically necessary ancillary services and supplies is subject to this deductible. Once the deductible is met,  
The coinsurance is 40% of the allowed amount, and the plan will reimburse the remaining 60% of the allowed amount for Hospital Room Facility Services - Room and board and all medically necessary ancillary services and supplies.  
This plan has a maximum payable amount of up to $600 per day. This means the member would also be responsible for all charges above $600 per day.  
The service applies to the plan's out-of-pocket maximum amount of $10,000, not to exceed $20,000 per family. When the plan's out-of-pocket maximum amount is satisfied, the health plan will reimburse 100% of the allowed amount. 
#### 2) Professional — Physician or surgeon services in an inpatient facility (Benefit ID 121)
In-Network Provider 
For in-network providers:  
Physician or surgeon services in an inpatient facility is subject to this deductible. Once the deductible is met,  
The coinsurance is 20% of the allowed amount, and the plan will reimburse the remaining 80% of the allowed amount for Physician or surgeon services in an inpatient facility.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Physician or surgeon services in an inpatient facility is subject to this deductible. Once the deductible is met,  
The coinsurance is 40% of the allowed amount, and the plan will reimburse the remaining 60% of the allowed amount for Physician or surgeon services in an inpatient facility.  
The service applies to the plan's out-of-pocket maximum amount of $10,000, not to exceed $20,000 per family. When the plan's out-of-pocket maximum amount is satisfied, the health plan will reimburse 100% of the allowed amount. 
Additional Information: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t>
  </si>
  <si>
    <t>I need to have a wart removed from my hand. Is that covered?</t>
  </si>
  <si>
    <t xml:space="preserve">Brief Answer 
Yes—wart removal is generally covered under this HMO plan when it’s billed as an outpatient procedure or office-based surgery with an in-network (HMO Provider) doctor/facility. Your cost depends on where it’s performed (office vs. outpatient hospital vs. ambulatory surgery center).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Wart removal is typically an outpatient/office procedure (minor surgery), so the key cost components are professional (doctor) services and, if applicable, a facility fee.
A) Office-based wart removal (Professional Services – Surgery, Office):
In-Network Provider 
For in-network providers:  
the plan has a $2,000 deductible per person, not to exceed $4,000 per family.  
However, Professional Services Surgery - Office is not subject to the deductible.  
The plan will reimburse the provider 100% of the allowed amount for Professional Services Surgery - Office. 
Out-of-Network Provider 
For out-of-network providers, the member is responsible for 100% of the provider's billed amount, as the plan only covers in-network providers.
B) Outpatient hospital wart removal (Facility Services – Outpatient Surgery):
In-Network Provider 
For in-network providers:  
the plan has a $2,000 deductible per person, not to exceed $4,000 per family.  
Outpatient Hospital Facility Services for Surgery is subject to this deductible. Once the deductible is met,  
The coinsurance is 30% of the allowed amount, and the plan will reimburse the remaining 70% of the allowed amount for Outpatient Hospital Facility Services for Surgery.  
The service applies to the plan's out-of-pocket maximum amount of $3,500, not to exceed $7,000 per family. When the plan's out-of-pocket maximum amount is satisfied, the health plan will reimburse 100% of the allowed amount. 
In addition to the hospital bill, the member can expect related professional fees for services like surgery, anesthesia, and diagnostic testing (radiological, pathology, or laboratory). 
Out-of-Network Provider 
For out-of-network providers, the member is responsible for 100% of the provider's billed amount, as the plan only covers in-network providers.
C) Ambulatory Surgery Center (ASC) wart removal (Facility Services – Free-standing ASC):
In-Network Provider 
For in-network providers:  
the plan has a $2,000 deductible per person, not to exceed $4,000 per family.  
Ambulatory Surgery Center Free Standing Facility Services is subject to this deductible. Once the deductible is met,  
The coinsurance is 20% of the allowed amount, and the plan will reimburse the remaining 80% of the allowed amount for Ambulatory Surgery Center Free Standing Facility Services.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Additional Information: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t>
  </si>
  <si>
    <t>I need to have my ACL repaired. What are the benefits for that?</t>
  </si>
  <si>
    <t>Brief Answer 
ACL repair would be processed as a surgical procedure. If it’s done outpatient (most common), the plan covers the surgeon/professional charges at No Charge, and the facility charges are generally 15% coinsurance (hospital outpatient surgery) or 5% coinsurance (freestanding ambulatory surgery center)—both subject to the $250 individual / $500 family facility deductible.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Outpatient ACL repair (Hospital Outpatient Surgery):
In-Network Provider:
For in-network providers:  
the plan has a $250 deductible per person, not to exceed $500 per family.  
Hospital Services – Outpatient Surgeries (Facility) is subject to this deductible. Once the deductible is met,  
The coinsurance is 15% of the allowed amount, and the plan will reimburse the remaining 85% of the allowed amount for Hospital Services – Outpatient Surgeries (Facility).  
The service applies to the plan's out-of-pocket maximum amount of $2,500, not to exceed $5,000 per family. When the plan's out-of-pocket maximum amount is satisfied, the health plan will reimburse 100% of the allowed amount.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Related professional services commonly billed with ACL repair (in-network):
- Surgeon/professional services (outpatient facility): The plan will reimburse the provider 100% of the allowed amount for Professional Services Surgery – Outpatient.  
- Anesthesia (office setting, if billed separately): The plan will reimburse the provider 100% of the allowed amount for Professional Services Anesthesia – Office.  
- Diagnostic testing (if billed separately): The plan will reimburse the provider 100% of the allowed amount for Outpatient Diagnostic Testing, Clinical Lab, Pathology (hospital outpatient) and related professional diagnostic testing services. 
Out-of-Network Provider:
For out-of-network providers, the member is responsible for 100% of the provider's billed amount, as the plan only covers in-network providers. 
──────────────────────────────────────────────────
B) Outpatient ACL repair (Freestanding Ambulatory Surgery Center):
In-Network Provider:
For in-network providers:  
the plan has a $250 deductible per person, not to exceed $500 per family.  
Ambulatory Surgery Center (Free Standing) – Facility Services is subject to this deductible. Once the deductible is met,  
The coinsurance is 5% of the allowed amount, and the plan will reimburse the remaining 95% of the allowed amount for Ambulatory Surgery Center (Free Standing) – Facility Services.  
The service applies to the plan's out-of-pocket maximum amount of $2,500, not to exceed $5,000 per family. When the plan's out-of-pocket maximum amount is satisfied, the health plan will reimburse 100% of the allowed amount.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Related professional services (in-network):
- Surgeon/professional services (outpatient facility): The plan will reimburse the provider 100% of the allowed amount for Professional Services Surgery – Outpatient. 
Out-of-Network Provider:
For out-of-network providers, the member is responsible for 100% of the provider's billed amount, as the plan only covers in-network providers. 
──────────────────────────────────────────────────
C) Inpatient ACL repair (if admission is required):
In-Network Provider:
For in-network providers:  
the plan has a $250 deductible per person, not to exceed $500 per family.  
Hospital Room Facility Services (Inpatient) is subject to this deductible. Once the deductible is met,  
The coinsurance is 10% of the allowed amount, and the plan will reimburse the remaining 90% of the allowed amount for Hospital Room Facility Services (Inpatient).  
The service applies to the plan's out-of-pocket maximum amount of $2,500, not to exceed $5,000 per family. When the plan's out-of-pocket maximum amount is satisfied, the health plan will reimburse 100% of the allowed amount. 
Related professional services (in-network):
- Physician/surgeon services in an inpatient facility: The plan will reimburse the provider 100% of the allowed amount for Physician Care at a hospital/hospital visit. 
Out-of-Network Provider:
For out-of-network providers, the member is responsible for 100% of the provider's billed amount, as the plan only covers in-network providers. 
──────────────────────────────────────────────────
Additional Information:</t>
  </si>
  <si>
    <t>My son needs to have ear tubes inserted, what should I expect to pay?</t>
  </si>
  <si>
    <t xml:space="preserve">Brief Answer 
Ear tube insertion is a surgical procedure, so costs depend on where it’s performed (ambulatory surgery center vs. outpatient hospital vs. inpatient) and whether the provider is in-network or out-of-network. Under this PPO plan, you should expect separate bills (facility + surgeon/professional fees, and possibly anesthesia and related diagnostic testing).
──────────────────────────────────────────────────
Detailed Explanation
Because ear tube insertion is typically an outpatient surgery, the most relevant benefits are:
A) Professional Services – Outpatient (surgeon/ENT and other professional fees):
In-Network Provider 
For in-network providers: 
the plan has a $3,000 deductible per person, not to exceed $6,000 per family.  
Professional Services Surgery - Outpatient is subject to this deductible. Once the deductible is met, 
The coinsurance is 20% of the allowed amount, and the plan will reimburse the remaining 80% of the allowed amount for Professional Services Surgery - Outpatient.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Professional Services Surgery - Outpatient is subject to this deductible. Once the deductible is met, 
The coinsurance is 50% of the allowed amount, and the plan will reimburse the remaining 50% of the allowed amount for Professional Services Surgery - Outpatient.  
The service applies to the plan's out-of-pocket maximum amount of $13,000, not to exceed $26,000 per family. When the plan's out-of-pocket maximum amount is satisfied, the health plan will reimburse 100% of the allowed amount. 
──────────────────────────────────────────────────
B) Facility Services – Outpatient (where the procedure is performed):
#### 1) Ambulatory Surgery Center (Free Standing) – Surgery (facility fee)
In-Network Provider 
For in-network providers: 
the plan has a $3,000 deductible per person, not to exceed $6,000 per family.  
Ambulatory Surgery Center Free Standing Facility Services is subject to this deductible. Once the deductible is met, 
The coinsurance is 10% of the allowed amount, and the plan will reimburse the remaining 90% of the allowed amount for Ambulatory Surgery Center Free Standing Facility Services.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Ambulatory Surgery Center Free Standing Facility Services is subject to this deductible. Once the deductible is met, 
The coinsurance is 50% of the allowed amount, and the plan will reimburse the remaining 50% of the allowed amount for Ambulatory Surgery Center Free Standing Facility Services.  
The service applies to the plan's out-of-pocket maximum amount of $13,000, not to exceed $26,000 per family. When the plan's out-of-pocket maximum amount is satisfied, the health plan will reimburse 100% of the allowed amount.  
This plan has a maximum payable amount of up to $350 per day. This means the member would also be responsible for all charges above $350 per day. 
#### 2) Outpatient Hospital – Surgeries (facility fee)
In-Network Provider 
For in-network providers: 
the plan has a $3,000 deductible per person, not to exceed $6,000 per family.  
Outpatient Hospital Facility Services for Surgery is subject to this deductible. Once the deductible is met, 
The coinsurance is 25% of the allowed amount, and the plan will reimburse the remaining 75% of the allowed amount for Outpatient Hospital Facility Services for Surgery.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Outpatient Hospital Facility Services for Surgery is subject to this deductible. Once the deductible is met, 
The coinsurance is 50% of the allowed amount, and the plan will reimburse the remaining 50% of the allowed amount for Outpatient Hospital Facility Services for Surgery.  
The service applies to the plan's out-of-pocket maximum amount of $13,000, not to exceed $26,000 per family. When the plan's out-of-pocket maximum amount is satisfied, the health plan will reimburse 100% of the allowed amount.  
This plan has a maximum payable amount of up to $350 per day. This means the member would also be responsible for all charges above $350 per day. 
Additional Information:
In addition to the surgeon's and facility bill, the member can expect related fees for professional services like anesthesia, and professional services related to diagnostic testing (e.g., radiological, pathology, or laboratory). </t>
  </si>
  <si>
    <t>Podiatric Services</t>
  </si>
  <si>
    <t>Can I see a podiatrist for a foot issue?</t>
  </si>
  <si>
    <t xml:space="preserve">Brief Answer 
Yes—this plan covers podiatrist office visits for a foot/ankle issue when the Member uses a Participating Provider. The cost share is 20% coinsurance and it is subject to the medical deductible.
──────────────────────────────────────────────────
Detailed Explanation
Exclusive Provider Organization (EPO) Disclaimer:
This is an Exclusive Provider Organization (EPO) plan. You must receive all Covered Benefits from a Participating Provider,  the exception is with Emergency or Urgent Services.
Podiatrist office visit (Podiatric services):
For in-network providers: 
The plan has a $1,800 deductible for individual coverage, not to exceed $3,400 per individual or $3,600 per family for family coverage.
Podiatrist office visit is subject to this deductible. Once the deductible is met,  
The coinsurance is 20% of the allowed amount, and the plan will reimburse the remaining 80% of the allowed amount for Podiatrist office visit.  
The service applies to the plan's out-of-pocket maximum amount of $4,500  per individual, or $9,000 per family. When the plan's out-of-pocket maximum amount is satisfied, the health plan will reimburse 100% of the allowed amount.  
</t>
  </si>
  <si>
    <t>Pregnancy and Maternity Care</t>
  </si>
  <si>
    <t>After I have my baby, would education or training in breast or bottle feeding be covered?</t>
  </si>
  <si>
    <t xml:space="preserve">Brief Answer 
Yes. The plan’s Pregnancy and Maternity Care section states that if the Member’s hospital stay after delivery is shorter than the minimum stay, a follow-up visit may be provided that includes parent education and assistance/training in breast or bottle feeding, and prior authorization is not required. Coverage cost-share details for that follow-up visit are not listed in the portion of the plan data provided.
──────────────────────────────────────────────────
Detailed Explanation
The EOC explains that after delivery, if the Member’s hospital stay is shorter than the minimum stay (48 hours after a vaginal delivery or 96 hours after a C-section), the Member “can receive a follow-up visit with a Health Care Provider… at home or as an outpatient, as necessary,” and that visit “will include parent education, assistance and training in breast or bottle feeding…” . It also states: “Prior authorization is not required for this follow-up visit.” 
A) Pregnancy and Maternity Care - Pre/Postnatal Visit
In-Network Provider 
For in-network providers: 
the plan has a $2,250 deductible per person, not to exceed $4,500 per family.  
Pre/Postnatal Visits is subject to this deductible. Once the deductible is met,  
The coinsurance is 20% of the allowed amount, and the plan will reimburse the remaining 80% of the allowed amount for Pre/Postnatal Visits.
The service applies to the plan's out-of-pocket maximum amount of $3,500, not to exceed $7,000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Pre/Postnatal Visits is subject to this deductible. Once the deductible is met,  
The coinsurance is 50% of the allowed amount, and the plan will reimburse the remaining 50% of the allowed amount for Infusion Therapy Outpatient Facility.  
The service applies to the plan's out-of-pocket maximum amount of $6,000, not to exceed $12,000 per family. When the plan's out-of-pocket maximum amount is satisfied, the health plan will reimburse 100% of the allowed amount.  </t>
  </si>
  <si>
    <t>Benefit Category: Pregnancy and Maternity Care
Pre/Postnatal Visits
Participating Provider - 10% Coinsurance, Subject to Deductible – Yes, Applies to Annual Copay Max – Yes
Par Ded - $250/ $750
Par OOPM - $2,250/ $4,500
Non-Participating Provider - 30% Coinsurance, Subject to Deductible – Yes, Applies to Annual Copay Max - Yes
Non Par Ded - $750/ $2250
Non Par OOPM - $3,500/ $7,000
The Newborns’ and Mothers’ Health Protection Act requires health plans to provide a minimum Hospital stay for the mother and newborn child of 48 hours after a normal, vaginal delivery and 96 hours after a C-section. The attending Physician, in consultation with the mother, may determine that a shorter length of stay is adequate. If your Hospital stay is shorter than the minimum stay, you can receive a follow-up visit with a Health Care Provider whose scope of practice includes postpartum and newborn care. This follow-up visit may occur at home or as an outpatient, as necessary. This visit will include parent education, assistance and training in breast or bottle feeding, and any necessary physical assessments for the mother and child. Prior authorization is not required for this follow-up visit.</t>
  </si>
  <si>
    <t>HW 5/8: Minerva didn't connect to Postnatal Visits - added benefits</t>
  </si>
  <si>
    <t>5/8: Added Pre/Postnatal Visits Benefits</t>
  </si>
  <si>
    <t>Maternity</t>
  </si>
  <si>
    <t>Does my plan cover midwife services? </t>
  </si>
  <si>
    <t xml:space="preserve">Brief Answer 
Yes—this PPO plan covers midwife services as part of Pregnancy and Maternity Care, but the cost share depends on whether the midwife is a Participating (in-network) or Non-Participating (out-of-network) provider and whether services are inpatient (delivery) versus other maternity services.
──────────────────────────────────────────────────
Detailed Explanation
Pregnancy &amp; Maternity Care — Midwife services (Delivery / Inpatient):
Certified nurse midwife non-RN (Licensed midwife - Non RN - IP) 
In-Network Provider 
For in-network providers: 
the plan has a $1,000 deductible per person, not to exceed $3,000 per family.  
Certified nurse midwife non-RN (Licensed midwife - Non RN - IP) is subject to this deductible. Once the deductible is met,  
The coinsurance is 10% of the allowed amount, and the plan will reimburse the remaining 90% of the allowed amount for Certified nurse midwife non-RN (Licensed midwife - Non RN - IP).  
The service applies to the plan's out-of-pocket maximum amount of $4,000, not to exceed $8,000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$1,000 deductible per person, not to exceed $3,000 per family.  
Certified nurse midwife non-RN (Licensed midwife - Non RN - IP) is subject to this deductible. Once the deductible is met,  
The coinsurance is 30% of the allowed amount, and the plan will reimburse the remaining 70% of the allowed amount for Certified nurse midwife non-RN (Licensed midwife - Non RN - IP).  
The service applies to the plan's out-of-pocket maximum amount of $6,000, not to exceed $12,000 per family. When the plan's out-of-pocket maximum amount is satisfied, the health plan will reimburse 100% of the allowed amount.  
Certified nurse midwife RN (Certified nurse midwife - RN - IP) 
In-Network Provider 
For in-network providers: 
the plan has a $1,000 deductible per person, not to exceed $3,000 per family.  
Certified nurse midwife RN (Certified nurse midwife - RN - IP) is subject to this deductible. Once the deductible is met,  
The coinsurance is 10% of the allowed amount, and the plan will reimburse the remaining 90% of the allowed amount for Certified nurse midwife RN (Certified nurse midwife - RN - IP).  
The service applies to the plan's out-of-pocket maximum amount of $4,000, not to exceed $8,000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$1,000 deductible per person, not to exceed $3,000 per family.  
Certified nurse midwife RN (Certified nurse midwife - RN - IP) is subject to this deductible. Once the deductible is met,  
The coinsurance is 30% of the allowed amount, and the plan will reimburse the remaining 70% of the allowed amount for Certified nurse midwife RN (Certified nurse midwife - RN - IP).  
The service applies to the plan's out-of-pocket maximum amount of $6,000, not to exceed $12,000 per family. When the plan's out-of-pocket maximum amount is satisfied, the health plan will reimburse 100% of the allowed amount.  
Additional details (what maternity benefits include):  
- Prenatal care 
- Postnatal care 
- Inpatient hospital services including labor, delivery, and postpartum care 
- Complications of pregnancy 
- Abortion and abortion-related services 
</t>
  </si>
  <si>
    <t>How many days in the hosptial does my plan allow for a vaginal versus a c-section?</t>
  </si>
  <si>
    <t>Brief Answer 
I couldn’t find a specific “days allowed” limit for inpatient maternity stays (vaginal vs. C-section) in the current plan document you provided. The EOC does state that the plan follows the federal minimum stay rule: 48 hours after a vaginal delivery and 96 hours after a C-section.
──────────────────────────────────────────────────
Detailed Explanation
The plan document includes minimum stay language, but it does not show a separate plan maximum number of inpatient days for maternity by delivery type (vaginal vs. C-section). Specifically, it says the Newborns’ and Mothers’ Health Protection Act requires coverage of at least: 
- 48 hours after a normal, vaginal delivery  
- 96 hours after a C-section  
It also notes the attending physician (in consultation with the mother) may determine a shorter stay is adequate, and if the stay is shorter than the minimum, a follow-up visit may be covered without prior authorization .
If you need the plan’s *maximum* inpatient maternity days beyond the federal minimums, I recommend checking the Knowledgebase for where that limit (if any) would be listed for this Active Choice Classic plan.</t>
  </si>
  <si>
    <t>I may need to have a C-section, what would my costs be?</t>
  </si>
  <si>
    <t xml:space="preserve">Brief Answer 
For this Trio ACO HMO plan, a C-section is covered with No Charge for the inpatient hospital (facility) and for the inpatient professional/physician services, when received in-network. The plan document also notes there may be separate professional fees (e.g., anesthesia, diagnostic testing), which are also covered at No Charge in-network under the applicable professional benefit categories.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Inpatient Hospital (Facility) — C-section (delivery admission):
In-Network Provider:
For in-network providers:  
the plan does not have a deductible.  
The plan will reimburse the provider 100% of the allowed amount for Hospital inpatient facility services. 
In addition to the hospital bill, the member can expect related professional fees for services like surgery, anesthesia, and diagnostic testing (radiological, pathology, or laboratory). 
Out-of-Network Provider:
For out-of-network providers, the member is responsible for 100% of the provider's billed amount, as the plan only covers in-network providers.
B. Inpatient Professional (Physician/Surgeon) — C-section professional services:
In-Network Provider:
For in-network providers:  
The plan will reimburse the provider 100% of the allowed amount for Physician/surgeon services in an inpatient facility. 
Out-of-Network Provider:
For out-of-network providers, the member is responsible for 100% of the provider's billed amount, as the plan only covers in-network providers.
C. Related services commonly billed separately (still part of the delivery admission):
These are commonly billed in addition to the hospital facility and surgeon/OB professional charges.
1) Anesthesia (inpatient):
In-Network Provider:
For in-network providers:  
the plan does not have a deductible.  
The plan will reimburse the provider 100% of the allowed amount for Anesthesia (prenatal/postnatal including delivery). 
Out-of-Network Provider:
For out-of-network providers, the member is responsible for 100% of the provider's billed amount, as the plan only covers in-network providers.
2) Routine newborn nursery charges (if applicable):
In-Network Provider:
For in-network providers:  
the plan does not have a deductible.  
.  
The plan will reimburse the provider 100% of the allowed amount for Nursery charges (professional services billed inpatient). 
Out-of-Network Provider:
For out-of-network providers, the member is responsible for 100% of the provider's billed amount, as the plan only covers in-network providers.
</t>
  </si>
  <si>
    <t xml:space="preserve">KT0505 - LLM Rule (Deductible)  </t>
  </si>
  <si>
    <t>I'm having a baby, what can I expect for coverage and costs?</t>
  </si>
  <si>
    <t>45.308</t>
  </si>
  <si>
    <t xml:space="preserve">Brief Answer 
Pregnancy and maternity care are covered, including prenatal care, postnatal care, delivery, involuntary complications of pregnancy, and inpatient hospital services for labor, delivery, and postpartum care. Most maternity-related medical services are subject to the plan’s $250 individual / $750 family medical deductible, then coinsurance applies; the California Prenatal Screening Program is covered at No Charge.
──────────────────────────────────────────────────
Detailed Explanation
Pregnancy and maternity care benefits include:
Prenatal care; 
Postnatal care; 
Involuntary complications of pregnancy; 
Inpatient Hospital services including labor, delivery, and postpartum care
There can be additional fees for ultrasounds, services provided by a mid-wife and for the California Prenatal Screening Program (which is offered to check for genetic conditions and birth defects). Also, once the baby is born there could be newborn nursery charges.
A. Pre &amp; Postnatal Visits:
In-Network Provider:
For in-network providers:
- the plan has a $250 deductible per person, not to exceed $750 per family.
- Pre/Postnatal Visits is subject to this deductible. Once the deductible is met,
- The coinsurance is 10% of the allowed amount, and the plan will reimburse the remaining 90% of the allowed amount for Pre/Postnatal Visits.
-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Pre/Postnatal Visits is subject to this deductible. Once the deductible is met,
- The coinsurance is 40% of the allowed amount, and the plan will reimburse the remaining 60% of the allowed amount for Pre/Postnatal Visits.
- The service applies to the plan's out-of-pocket maximum amount of $7,750, not to exceed $15,500 per family. When the plan's out-of-pocket maximum amount is satisfied, the health plan will reimburse 100% of the allowed amount. 
──────────────────────────────────────────────────
B. Diagnostic Imaging – Ultrasounds:
Ultrasounds are listed as a basic diagnostic imaging service in the plan’s diagnostic imaging benefit content. 
1. Outpatient Radiology Center:
#### In-Network Provider
For in-network providers:
- the plan has a $250 deductible per person, not to exceed $750 per family.
- Outpatient Radiology Center basic imaging is subject to this deductible. Once the deductible is met,
- The copay for Outpatient Radiology Center basic imaging services is $25 per visit.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Outpatient Radiology Center basic imaging is subject to this deductible. Once the deductible is met,
- The coinsurance is 40% of the allowed amount, and the plan will reimburse the remaining 60% of the allowed amount for Outpatient Radiology Center basic imaging.
- The service applies to the plan's out-of-pocket maximum amount of $7,750, not to exceed $15,500 per family. When the plan's out-of-pocket maximum amount is satisfied, the health plan will reimburse 100% of the allowed amount. 
2. Outpatient Department of a Hospital:
#### In-Network Provider
For in-network providers:
- the plan has a $250 deductible per person, not to exceed $750 per family.
- Outpatient hospital basic imaging is subject to this deductible. Once the deductible is met,
- The copay for Outpatient hospital basic imaging services is $50 per visit.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Outpatient hospital basic imaging is subject to this deductible. Once the deductible is met,
- The coinsurance is 40% of the allowed amount, and the plan will reimburse the remaining 60% of the allowed amount for Outpatient hospital basic imaging.
- The service applies to the plan's out-of-pocket maximum amount of $7,750, not to exceed $15,500 per family. When the plan's out-of-pocket maximum amount is satisfied, the health plan will reimburse 100% of the allowed amount.
- This plan has a maximum payable amount of up to $350 per day. This means the member would also be responsible for all charges above $350 per day. 
──────────────────────────────────────────────────
C. Delivery:
1. Hospital Facility Services — Labor, Delivery, Postpartum Care, C-section, and Complications of Pregnancy:
#### In-Network Provider
For in-network providers:
- the plan has a $250 deductible per person, not to exceed $750 per family.
- Hospital Services for delivery is subject to this deductible. Once the deductible is met,
- The coinsurance is 10% of the allowed amount, and the plan will reimburse the remaining 90% of the allowed amount for Hospital Services for delivery.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Hospital Services for delivery is subject to this deductible. Once the deductible is met,
- The coinsurance is 40% of the allowed amount, and the plan will reimburse the remaining 60% of the allowed amount for Hospital Services for delivery.
- The service applies to the plan's out-of-pocket maximum amount of $7,750, not to exceed $15,500 per family. When the plan's out-of-pocket maximum amount is satisfied, the health plan will reimburse 100% of the allowed amount.
- This plan has a maximum payable amount of up to $600 per day. This means the member would also be responsible for all charges above $600 per day. 
2. Physician Services — Delivery:
#### In-Network Provider
For in-network providers:
- the plan has a $250 deductible per person, not to exceed $750 per family.
- Physician Services for delivery is subject to this deductible. Once the deductible is met,
- The coinsurance is 10% of the allowed amount, and the plan will reimburse the remaining 90% of the allowed amount for Physician Services for delivery.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Physician Services for delivery is subject to this deductible. Once the deductible is met,
- The coinsurance is 40% of the allowed amount, and the plan will reimburse the remaining 60% of the allowed amount for Physician Services for delivery.
- The service applies to the plan's out-of-pocket maximum amount of $7,750, not to exceed $15,500 per family. When the plan's out-of-pocket maximum amount is satisfied, the health plan will reimburse 100% of the allowed amount. 
3. Midwife Services — Certified Nurse Midwife Non-RN:
#### In-Network Provider
For in-network providers:
- the plan has a $250 deductible per person, not to exceed $750 per family.
- Certified nurse midwife non-RN services are subject to this deductible. Once the deductible is met,
- The coinsurance is 10% of the allowed amount, and the plan will reimburse the remaining 90% of the allowed amount for Certified nurse midwife non-RN services.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Certified nurse midwife non-RN services are subject to this deductible. Once the deductible is met,
- The coinsurance is 40% of the allowed amount, and the plan will reimburse the remaining 60% of the allowed amount for Certified nurse midwife non-RN services.
- The service applies to the plan's out-of-pocket maximum amount of $7,750, not to exceed $15,500 per family. When the plan's out-of-pocket maximum amount is satisfied, the health plan will reimburse 100% of the allowed amount. 
4. Midwife Services — Certified Nurse Midwife RN:
#### In-Network Provider
For in-network providers:
- the plan has a $250 deductible per person, not to exceed $750 per family.
- Certified nurse midwife RN services are subject to this deductible. Once the deductible is met,
- The coinsurance is 10% of the allowed amount, and the plan will reimburse the remaining 90% of the allowed amount for Certified nurse midwife RN services.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Certified nurse midwife RN services are subject to this deductible. Once the deductible is met,
- The coinsurance is 40% of the allowed amount, and the plan will reimburse the remaining 60% of the allowed amount for Certified nurse midwife RN services.
- The service applies to the plan's out-of-pocket maximum amount of $7,750, not to exceed $15,500 per family. When the plan's out-of-pocket maximum amount is satisfied, the health plan will reimburse 100% of the allowed amount. 
5. Anesthesia for Delivery:
#### In-Network Provider
For in-network providers:
- the plan has a $250 deductible per person, not to exceed $750 per family.
- Anesthesia for delivery is subject to this deductible. Once the deductible is met,
- The coinsurance is 10% of the allowed amount, and the plan will reimburse the remaining 90% of the allowed amount for Anesthesia for delivery.
- The service applies to the plan's out-of-pocket maximum amount of $3,750, not to exceed $7,500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Anesthesia for delivery is subject to this deductible. Once the deductible is met,
- The coinsurance is 40% of the allowed amount, and the plan will reimburse the remaining 60% of the allowed amount for Anesthesia for delivery.
- The service applies to the plan's out-of-pocket maximum amount of $7,750, not to exceed $15,500 per family. When the plan's out-of-pocket maximum amount is satisfied, the health plan will reimburse 100% of the allowed amount. 
──────────────────────────────────────────────────
D. Preventive Health — California Prenatal Screening Program:
In-Network Provider:
For in-network providers:
- The plan will reimburse the provider 100% of the allowed amount for California Prenatal Screening Program.
- The cost share is No Charge. 
Out-of-Network Provider:
For out-of-network providers:
An out-of-network provider has the right to bill for the balance. What this means is that the member may be responsible for the difference between the allowed amount and billed amount.
- The plan will reimburse the provider 100% of the allowed amount for California Prenatal Screening Program.
- The cost share is No Charge. 
──────────────────────────────────────────────────
E. Newborn Services — Nursery Charges:
In-Network Provider:
For in-network providers:
- the plan has a $250 deductible per person, not to exceed $750 per family.
- Nursery charges are subject to this deductible. Once the deductible is met,
- The coinsurance is 10% of the allowed amount, and the plan will reimburse the remaining 90% of the allowed amount for Nursery charges.
-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 the plan has a $250 deductible per person, not to exceed $750 per family.
- Nursery charges are subject to this deductible. Once the deductible is met,
- The coinsurance is 40% of the allowed amount, and the plan will reimburse the remaining 60% of the allowed amount for Nursery charges.
- The service applies to the plan's out-of-pocket maximum amount of $7,750, not to exceed $15,500 per family. When the plan's out-of-pocket maximum amount is satisfied, the health plan will reimburse 100% of the allowed amount. 
</t>
  </si>
  <si>
    <t>Is baby circumcision covered? </t>
  </si>
  <si>
    <t xml:space="preserve">Brief Answer 
Yes—routine newborn circumcision is covered under this PPO plan when medically billed as an inpatient professional service. The Member’s cost share is 20% coinsurance in-network (subject to the medical deductible) and 40% coinsurance out-of-network (also subject to the deductible). 
──────────────────────────────────────────────────
Detailed Explanation
A. Routine Newborn Circumcision (Inpatient Professional Services):
#### In-Network Provider
the plan has a $750 deductible per person, not to exceed $2,250 per family.  
Routine Newborn Circumcision - IP is subject to this deductible. Once the deductible is met,  
The coinsurance is 20% of the allowed amount, and the plan will reimburse the remaining 80% of the allowed amount for Routine Newborn Circumcision - IP.  
The service applies to the plan's out-of-pocket maximum amount of $5,250, not to exceed $10,500 per family. When the plan's out-of-pocket maximum amount is satisfied, the health plan will reimburse 100% of the allowed amount. 
####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$6,750 per family.  
Routine Newborn Circumcision - IP is subject to this deductible. Once the deductible is met,  
The coinsurance is 40% of the allowed amount, and the plan will reimburse the remaining 60% of the allowed amount for Routine Newborn Circumcision - IP.  
The service applies to the plan's out-of-pocket maximum amount of $9,500, not to exceed $19,000 per family. When the plan's out-of-pocket maximum amount is satisfied, the health plan will reimburse 100% of the allowed amount. 
</t>
  </si>
  <si>
    <t>KT 0505 - Deductible (Out of Network)</t>
  </si>
  <si>
    <t xml:space="preserve">Changed Out of Network deductible from 750 and 2250 to 2250 and 6750 per Nexus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Routine Newborn Circumcision - IP is subject to this deductible. Once the deductible is met,  </t>
  </si>
  <si>
    <t>Is there coverage for an abortion?</t>
  </si>
  <si>
    <t xml:space="preserve">Brief Answer 
Yes. This plan covers abortion services at no charge when provided by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Abortion services (Pregnancy and Maternity Care → Abortion Services):
In-Network Provider 
For in-network providers:  
the plan has a $2,000 deductible per person, not to exceed $4,000 per family.  
However, Abortion services is not subject to the deductible.  
The plan will reimburse the provider 100% of the allowed amount for Abortion services. 
Out-of-Network Provider 
For out-of-network providers, the member is responsible for 100% of the provider's billed amount, as the plan only covers in-network providers. 
</t>
  </si>
  <si>
    <t>My wife is going to need a D&amp;C, can you tell me how are insurance covers that?</t>
  </si>
  <si>
    <t xml:space="preserve">Brief Answer 
A D&amp;C (dilation and curettage) is typically processed as a surgical procedure, so the member’s cost share mainly depends on where it’s done (outpatient hospital vs. ambulatory surgery center, or inpatient). This plan is an Access+ HMO, so coverage applies when services are received from in-network/medical group providers; out-of-network services are generally not covered except for emergencies.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D&amp;C (treated as a surgical procedure) — Outpatient (most common):
In addition to the surgeon's and facility bill, the member can expect related fees for professional services like anesthesia or any related to diagnostic testing (e.g., radiological, pathology, or laboratory). 
A surgical package includes the surgical procedure, pre-operative care medical visits on the same day of surgery and normal uncomplicated follow-up care. 
#### A) Professional Services — Outpatient (Surgeon/physician)
In-Network Provider 
For in-network providers: 
the plan does not have a deductible.  
The plan will reimburse the provider 100% of the allowed amount for Professional Services Surgery - Outpatient.  
Out-of-Network Provider 
For out-of-network providers, the member is responsible for 100% of the provider's billed amount, as the plan only covers in-network providers. 
#### B) Facility Services — Outpatient Hospital (if performed in a hospital outpatient department)
In-Network Provider 
For in-network providers: 
the plan does not have a deductible.  
The copay for Outpatient Hospital Facility Services for Surgery services is $500 per surgery.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C) Facility Services — Ambulatory Surgery Center (ASC) (if performed in a freestanding surgery center)
In-Network Provider 
For in-network providers: 
the plan does not have a deductible.  
The copay for Ambulatory Surgery Center Free Standing Facility Services services is $200 per surgery.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If the D&amp;C ends up being inpatient (less common):
If the D&amp;C requires admission, the inpatient facility cost share shown under Hospital Services would apply.
#### Inpatient facility (Hospital room/board &amp; inpatient facility services)
In-Network Provider 
For in-network providers: 
the plan does not have a deductible.  
The copay for Hospital Room Facility Services - Room and board and all medically necessary ancillary services and supplies services is $500 per day.  
This plan has a maximum copayment of $500 per day per day up to 3 days per admission. This means after 3 days, the member would have no cost share for any additional days of their admission.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</si>
  <si>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Prescription Drug Benefits</t>
  </si>
  <si>
    <t>Are biologic drugs for autoimmune conditions covered?</t>
  </si>
  <si>
    <t xml:space="preserve">Brief Answer 
Yes—biologic drugs can be covered, but it depends on how they’re given (self-administered pharmacy benefit vs. administered by a provider under the medical benefit). This plan document confirms coverage for provider-administered drugs under the medical benefit and describes the outpatient pharmacy drug tiers, but it does not list specific biologic drugs by name.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Biologic drugs administered by a health care provider (medical benefit):
In-Network Provider 
For in-network providers:  
the plan does not have a deductible.  
However, Drugs administered by a Health Care Provider is not subject to the deductible.  
The plan will reimburse the provider 100% of the allowed amount for Drugs administered by a Health Care Provider.  
Additional details: 
- Drugs administered in a physician’s office, infusion center, hospital outpatient department, or provided at home through a home infusion agency are covered under the medical benefit and require prior authorization from the Medical Group (or from Blue Shield in certain situations).  
- Drugs dispensed by a physician/physician’s office for outpatient use are not covered.  
Out-of-Network Provider 
For out-of-network providers, the member is responsible for 100% of the provider's billed amount, as the plan only covers in-network providers.
B) Biologic drugs filled at a pharmacy (outpatient prescription drug benefit):
In-Network Provider (Participating Pharmacy) 
For in-network providers:  
the plan does not have a deductible.  
Retail (30-day supply) 
 - Tier 1: $10 per prescription 
 - Tier 2: $25 per prescription 
 - Tier 3: $40 per prescription 
 - Tier 4: 20% Coinsurance (maximum payable amount of up to $250 per prescription)  
Retail (90-day supply) 
 - Tier 1: $30 per prescription 
 - Tier 2: $75 per prescription 
 - Tier 3: $120 per prescription 
 - Tier 4: 20% Coinsurance (maximum payable amount of up to $750 per prescription)  
Mail Order (90-day supply) 
 - Tier 1: $20 per prescription 
 - Tier 2: $50 per prescription 
 - Tier 3: $80 per prescription 
 - Tier 4: 20% Coinsurance (maximum payable amount of up to $500 per prescription)  
This plan has a maximum payable amount of up to $250 per prescription. This means the member would also be responsible for all charges above $250 per prescription.  
This plan has a maximum payable amount of up to $750 per prescription. This means the member would also be responsible for all charges above $750 per prescription.  
This plan has a maximum payable amount of up to $500 per prescription. This means the member would also be responsible for all charges above $500 per prescription.  
The service applies to the plan's out-of-pocket maximum amount of $4,000, not to exceed $8,000 per family. When the plan's out-of-pocket maximum amount is satisfied, the health plan will reimburse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Out-of-Network Provider 
For out-of-network providers, the member is responsible for 100% of the provider's billed amount, as the plan only covers in-network providers.
</t>
  </si>
  <si>
    <t>Can I use any pharmacy to fill my prescription, or do I need to use a specific pharmacy for my insurance to cover it?</t>
  </si>
  <si>
    <t xml:space="preserve">Brief Answer 
This plan generally requires the Member to use a Participating Pharmacy for prescription coverage. If a Non-Participating (out-of-network) pharmacy is used, coverage is limited and the Member may have higher costs or no coverage depending on the drug/supply type.
──────────────────────────────────────────────────
Detailed Explanation
From the plan’s Prescription Drug Benefits section, prescriptions must be obtained from a Participating Pharmacy except where the plan notes otherwise . The plan also shows that non-participating pharmacies may be treated as Not Covered for many Rx benefits, and/or may include penalties (for example, an added 25% of purchase price on certain tiers) .
A. Using a Participating Pharmacy (in-network) 
- The plan states: “You must obtain all Drugs from a Participating Pharmacy, except as noted below.” 
B. Using a Non-Participating Pharmacy (out-of-network) 
- The plan’s tier schedule includes Non-Participating Pharmacy cost shares/coverage outcomes that can be higher or not covered (examples below) : 
 - Tier 1 Retail: “25% of purchase price + $15 per prescription”  
 - Tier 2 Retail: “25% of purchase price + $30 per prescription”  
 - Tier 3 Retail: “25% of purchase price + $45 per prescription”  
 - Many Mail Service and Retail 90-day entries for Non-Participating Pharmacy show “Not Covered” 
</t>
  </si>
  <si>
    <t xml:space="preserve">Minera Response (Needs to be human validated)
This plan generally requires the Member to fill prescriptions at a Participating Pharmacy for coverage. If they use a non-participating (out-of-network) pharmacy, the plan generally will not cover the prescription.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Prescription drugs (pharmacy network requirement):
In-Network Provider (Participating Pharmacy) 
The plan requires the Member to obtain outpatient prescription drugs from a Participating Pharmacy for coverage (“You must obtain all Drugs from a Participating Pharmacy, except as noted below.”) [2] The plan’s pharmacy network is Rx Ultra. [3]
Retail (30-day supply) [4] 
- Tier 1: $20 per prescription [4] 
- Tier 2: $40 per prescription [5] 
- Tier 3: $60 per prescription [6] 
- Tier 4: 20% Coinsurance (This plan has a maximum payable amount of up to $250 per prescription. This means the member would also be responsible for all charges above $250 per prescription.) [7]
Retail (90-day supply) [8] 
- Tier 1: $60 per prescription [8] 
- Tier 2: $120 per prescription [9] 
- Tier 3: $180 per prescription [10] 
- Tier 4: 20% Coinsurance (This plan has a maximum payable amount of up to $750 per prescription. This means the member would also be responsible for all charges above $750 per prescription.) [11]
Mail Order (90-day supply) [12] 
- Tier 1: $40 per prescription [12] 
- Tier 2: $80 per prescription [13] 
- Tier 3: $120 per prescription [14] 
- Tier 4: 20% Coinsurance (This plan has a maximum payable amount of up to $500 per prescription. This means the member would also be responsible for all charges above $500 per prescription.) [15]
Pharmacy deductible (applies before certain tiers) 
- $250 Pharmacy Deductible (Individual) [16] 
- Tier 1 is not subject to the pharmacy deductible [4] 
- Tiers 2–4 are subject to the pharmacy deductible [5][6][7][9][10][11][13][14][15]
Out-of-Network Provider (Non-participating pharmacy) 
For out-of-network providers, the member is responsible for 100% of the provider's billed amount, as the plan only covers in-network providers. [2]
</t>
  </si>
  <si>
    <t>Do I have a copay for prescription drugs?</t>
  </si>
  <si>
    <t xml:space="preserve">Brief Answer 
Yes. Under this plan’s outpatient pharmacy benefit, most prescription drugs have a copay (Tier 1–3) or coinsurance (Tier 4). The pharmacy deductible is $0.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(Outpatient Drugs)
Retail (30-day supply) 
 - Tier 1: $10 per prescription 
 - Tier 2: $25 per prescription 
 - Tier 3: $40 per prescription 
 - Tier 4: 20% Coinsurance - Maximum of $250 per perscription
Retail (90-day supply) 
 - Tier 1: $30 per prescription 
 - Tier 2: $75 per prescription 
 - Tier 3: $120 per prescription 
 - Tier 4: 20% Coinsurance - - Maximum of $750 per perscription 
Mail Order (90-day supply) 
 - Tier 1: $20 per prescription 
 - Tier 2: $50 per prescription 
 - Tier 3: $80 per prescription 
 - Tier 4: 20% Coinsurance  - Maximum of $500 per perscription
For in-network providers:  
- Pharmacy deductible: $0 (no pharmacy deductible applies). 
For out-of-network providers: 
For out-of-network providers, the member is responsible for 100% of the provider's billed amount, as the plan only covers in-network providers. </t>
  </si>
  <si>
    <t xml:space="preserve">Minera Response (Needs to be human validated)
Yes. This plan has copays for many prescription drugs (Tier 1–Tier 3 at participating pharmacies), and Tier 4 uses coinsurance (with a per-prescription maximum). Some items like contraceptive drugs/devices are covered at no charge when obtained through participating pharmacies. 
──────────────────────────────────────────────────
Detailed Explanation:
Pharmacy deductible (separate from medical):
- This plan has a $250 pharmacy deductible (individual) [1]. (Tier 2–Tier 4 are marked as subject to deductible in the Rx benefits [4]–[12].)
──────────────────────────────────────────────────
Prescription Drug Benefits (Outpatient Drugs):
A) Contraceptive Drugs/Devices (Retail):
In-Network Provider 
For in-network providers, 
The plan will reimburse the provider 100% of the allowed amount for Contraceptive Drugs/Devices Retail. [3]
Out-of-Network Provider 
Cost Share: Applicable Tier 1, Tier 2, or Tier 3 Copayment [3] 
For out-of-network providers, . 
An out-of-network provider has the right to bill for the balance. What this means is that the member may be responsible for the difference between the allowed amount and billed amount.
──────────────────────────────────────────────────
B) Contraceptive Drugs (Retail 90 Day):
In-Network Provider 
For in-network providers, 
The plan will reimburse the provider 100% of the allowed amount for Contraceptive Drugs/Devices Retail 90 Day. [4]
Out-of-Network Provider 
Cost Share: Not Covered [4] 
For out-of-network providers, . 
An out-of-network provider has the right to bill for the balance. What this means is that the member may be responsible for the difference between the allowed amount and billed amount.
──────────────────────────────────────────────────
C) Contraceptive Drugs/Devices (Mail Service):
In-Network Provider 
For in-network providers, 
The plan will reimburse the provider 100% of the allowed amount for Contraceptive Drugs/Devices Mail Service. [5]
Out-of-Network Provider 
Cost Share: Not Covered [5] 
For out-of-network providers, . 
An out-of-network provider has the right to bill for the balance. What this means is that the member may be responsible for the difference between the allowed amount and billed amount.
──────────────────────────────────────────────────
Tier pricing (what the copays/coinsurance are):
Retail (30-day supply):
- Tier 1: $15 per prescription [6] 
- Tier 2: $30 per prescription (subject to pharmacy deductible) [7] 
- Tier 3: $45 per prescription (subject to pharmacy deductible) [8] 
- Tier 4: 30% Coinsurance (subject to pharmacy deductible), maximum $250 per prescription [9]
Retail (90-day supply):
- Tier 1: $45 per prescription [10] 
- Tier 2: $90 per prescription (subject to pharmacy deductible) [11] 
- Tier 3: $135 per prescription (subject to pharmacy deductible) [12] 
- Tier 4: 30% Coinsurance (subject to pharmacy deductible), maximum $750 per prescription [13]
Mail Order (90-day supply):
- Tier 1: $30 per prescription [14] 
- Tier 2: $60 per prescription (subject to pharmacy deductible) [15] 
- Tier 3: $90 per prescription (subject to pharmacy deductible) [16] 
- Tier 4: 30% Coinsurance (subject to pharmacy deductible), maximum $500 per prescription [17]
──────────────────────────────────────────────────
Out-of-pocket maximum (OOPM):
For Rx tiers where oopmApplies = true, the plan uses these OOP maximums: 
- In-network OOPM: $6,250 per individual / $12,500 per family [2] 
- Out-of-network OOPM: $10,750 per individual / $21,500 per family [2] 
(These amounts come from the plan’s OOP Maximum cost share section [2].)
</t>
  </si>
  <si>
    <t>Missing Maximum</t>
  </si>
  <si>
    <t xml:space="preserve"> Added Tier4 Maximum Amounts</t>
  </si>
  <si>
    <t>Do some prescription drugs need approval from the insurance (prior authorization) before they’re covered?</t>
  </si>
  <si>
    <t xml:space="preserve">Brief Answer 
Yes. The plan states that some prescription drugs (including most Specialty Drugs and drugs over certain quantity limits) require prior authorization to be covered, and it also notes that certain prescription drugs administered by a health care provider require prior authorization. 
──────────────────────────────────────────────────
Detailed Explanation
Prescription Drugs (Prior Authorization) 
Some prescription drugs require prior authorization to be covered. Specifically, the plan states that “Some Drugs, most Specialty Drugs, and prescriptions for Drugs exceeding specific quantity limits require prior authorization to be covered.”  It also states that prescription drugs administered by a health care provider (such as in a physician’s office, infusion center, hospital outpatient department, or at home through a home infusion agency) “are covered under the medical benefit and require prior authorization.”
</t>
  </si>
  <si>
    <t>Does my plan allow me to get a 90-day supply of my medications?</t>
  </si>
  <si>
    <t xml:space="preserve">Brief Answer 
Yes — this plan includes 90-day retail and 90-day mail order options for outpatient prescription drugs, with costs that vary by drug tier.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 90-day supply options:
Retail (90-day supply):
For in-network providers:  
- Tier 1: $30 per prescription  
- Tier 2: $90 per prescription  
- Tier 3: $150 per prescription  
- Tier 4: 20% Coinsurance and maximum payable amount up to $750 per prescription  
For out-of-network providers: 
For out-of-network providers, the member is responsible for 100% of the provider's billed amount, as the plan only covers in-network providers. 
Mail Order (90-day supply):
For in-network providers:  
- Tier 1: $20 per prescription  
- Tier 2: $60 per prescription (subject to pharmacy deductible)  
- Tier 3: $100 per prescription (subject to pharmacy deductible)  
- Tier 4: 20% Coinsurance and maximum payable amount up to $500 per prescription (subject to pharmacy deductible)  
For out-of-network providers: 
For out-of-network providers, the member is responsible for 100% of the provider's billed amount, as the plan only covers in-network providers. 
Pharmacy deductible note (only applies where indicated above):
This plan has a $250 Pharmacy Deductible (Individual). 
</t>
  </si>
  <si>
    <t>Does my plan cover contraceptive patches and rings?</t>
  </si>
  <si>
    <t xml:space="preserve">Brief Answer 
Yes—contraceptive patches and rings are covered under the plan’s Contraceptive Drugs and Devices benefit when obtained through a Participating Provider/Participating Pharmacy (in-network). Out-of-network coverage is not covered for the contraceptive benefit shown in the plan.
──────────────────────────────────────────────────
Detailed Explanation
Contraceptive Drugs/Devices (includes contraceptive drugs and devices):
#### In-Network Provider
For in-network providers: 
the plan has a $250 deductible per person, not to exceed $750 per family.  
However, Contraceptive Drugs and Devices is not subject to the deductible. Once the deductible is met,  
The plan will reimburse the provider 100% of the allowed amount for Contraceptive Drugs and Devices.  
#### Out-of-Network Provider
For out-of-network providers: 
An out-of-network provider has the right to bill for the balance. What this means is that the member may be responsible for the difference between the allowed amount and billed amount.  
Not Covered for Contraceptive Drugs and Devices (out-of-network). 
</t>
  </si>
  <si>
    <t>Does my plan require me to use generic drugs instead of brand-name drugs when a generic is available?</t>
  </si>
  <si>
    <t xml:space="preserve">Brief Answer 
I couldn't find this information in the current plan document. The plan describes drug tiers and an exception/prior authorization process, but it does not state a “mandatory generic” requirement.
──────────────────────────────────────────────────
Detailed Explanation 
The Prescription Drug Benefits section explains that the plan uses a formulary with Tier 1–Tier 4 and that member cost share varies by tier, but it does not say the member is required to take a generic when one is available (i.e., a “mandatory generic” or “generic substitution required” rule).  
It also states that non-formulary drugs may be covered when approved through the exception request process, which indicates there are pathways for coverage decisions, but it still does not specify a mandatory generic policy. 
If you need to confirm whether a “generic required” rule applies for this plan, consult the Knowledgebase and search for “mandatory generic,” “generic substitution,” or “DAW (dispense as written).”
</t>
  </si>
  <si>
    <t>How can I check if a particular medication is covered under my plan’s formulary (and find out what it will cost)?</t>
  </si>
  <si>
    <t xml:space="preserve">Brief Answer 
Use the “Price Check My Rx” tool on the Member’s Blue Shield member portal to confirm whether a medication is on the plan’s formulary and to see the current estimated cost. Costs shown can change when the claim processes at the time the prescription is filled.
──────────────────────────────────────────────────
Detailed Explanation
Retail (30-day supply)  
 - Tier 1: $10 per prescription 
 - Tier 2: $25 per prescription 
 - Tier 3: $40 per prescription 
 - Tier 4: 20% Coinsurance 
Retail (90-day supply)  
 - Tier 1: $30 per prescription 
 - Tier 2: $75 per prescription 
 - Tier 3: $120 per prescription 
 - Tier 4: 20% Coinsurance 
Mail Order (90-day supply)  
 - Tier 1: $20 per prescription 
 - Tier 2: $50 per prescription 
 - Tier 3: $80 per prescription 
 - Tier 4: 20% Coinsurance 
Prescription Drug information is available by logging into your member portal at blueshieldca.com and selecting “Price Check My Rx”. This tool can show you: Your eligibility for a prescription Drug; The current cost of the prescription Drug; Any available lower cost alternative(s) to the prescription Drug based on your plan Formulary and the pharmacy that fills your prescription; Any limits, restrictions, or requirements for each Drug, if applicable; and Your current plan Formulary. “Price Check My Rx” prices are based on your Deductible and Out-of-Pocket Maximum accruals (if applicable) at the time you view the prescription Drug price. Costs may be different at the time you fill your prescription due to claims processing. You or your Physician or Health Care Provider can also request this Prescription Drug information by calling Customer Service. 
</t>
  </si>
  <si>
    <t>Is coverage available for over-the-counter smoking cessation aids?</t>
  </si>
  <si>
    <t xml:space="preserve">Brief Answer 
I couldn't find this information in the current plan document. The plan’s Prescription Drug exclusions state that over-the-counter (OTC) drugs are generally excluded, with limited exceptions (USPSTF A/B–rated OTC drugs when prescribed, and OTC contraceptive drugs/devices). 
──────────────────────────────────────────────────
Detailed Explanation
The plan’s Outpatient Prescription Drug exclusions say that prescription drugs available over the counter (or with an OTC equivalent) are not covered, with exceptions that include: insulin, certain preventive-service OTC drugs (example given: OTC FDA-approved contraceptives), OTC drugs for reversal of an opioid overdose, and an entire class exception when one drug in the class becomes OTC . The plan document does not specifically state whether OTC smoking cessation aids fall under an exception (or are covered when prescribed). 
Because the document is not explicit about OTC smoking cessation aids, I can’t confirm coverage from the plan data. Please consult the Knowledgebase for the most current guidance on OTC smoking cessation coverage/handling for this plan.
</t>
  </si>
  <si>
    <t>4/28 HW: New Health Program Rule</t>
  </si>
  <si>
    <t>4/28 HW: Added LLM Rule 50</t>
  </si>
  <si>
    <t>Is that new Wegovy pill covered?</t>
  </si>
  <si>
    <t xml:space="preserve">Brief Answer 
The plan document provided does not include the drug formulary, so I can’t confirm whether Wegovy (the oral version/pill) is covered or what tier it would be. Below are the plan’s prescription drug cost shares by tier, plus the standard direction to use “Price Check My Rx” to confirm coverage and pricing for Wegovy.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(tiers and fills):
For in-network providers: 
The plan does not have a deductible. 
Retail (30-day supply) 
 - Tier 1: $10 per prescription 
 - Tier 2: $30 per prescription 
 - Tier 3: $50 per prescription 
 - Tier 4: 20% Coinsurance 
Retail (90-day supply) 
 - Tier 1: $30 per prescription 
 - Tier 2: $90 per prescription 
 - Tier 3: $150 per prescription 
 - Tier 4: 20% Coinsurance 
Mail Order (90-day supply) 
 - Tier 1: $20 per prescription 
 - Tier 2: $60 per prescription 
 - Tier 3: $100 per prescription 
 - Tier 4: 20% Coinsurance 
The service applies to the plan's out-of-pocket maximum amount of $4,000, not to exceed $8,000 per family. When the plan's out-of-pocket maximum amount is satisfied, the health plan will reimburse 100% of the allowed amount. 
For out-of-network providers: 
For out-of-network providers, the member is responsible for 100% of the provider's billed amount, as the plan only covers in-network providers. 
Wegovy (specific drug coverage lookup):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t>
  </si>
  <si>
    <t>Is there a separate deductible for prescription drugs?</t>
  </si>
  <si>
    <t xml:space="preserve">Brief Answer 
No — this plan does not have a separate prescription drug deductible. The Pharmacy Deductible is $0. 
──────────────────────────────────────────────────
Detailed Explanation
- Pharmacy Deductible (separate Rx deductible): $0 
</t>
  </si>
  <si>
    <t>What is the coverage for Asthma inhalers?</t>
  </si>
  <si>
    <t xml:space="preserve">Brief Answer 
Asthma inhalers are covered under the Prescription Drug Benefits (pharmacy plan), not under the medical Durable Medical Equipment benefit . Your plan has a $0 pharmacy deductible , and the member cost share depends on the drug tier (Tier 1–Tier 4) and whether it’s filled as retail (30/90 days) or mail order (90 days) -.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(Asthma inhalers):
Retail (30-day supply) 
 - Tier 1: $10 per prescription  
 - Tier 2: $25 per prescription  
 - Tier 3: $40 per prescription  
 - Tier 4: 20% Coinsurance   - Maximum of $250 per prescription
Retail (90-day supply) 
 - Tier 1: $30 per prescription  
 - Tier 2: $75 per prescription  
 - Tier 3: $120 per prescription  
 - Tier 4: 20% Coinsurance  - Maximum of $750 per prescription
Mail Order (90-day supply) 
 - Tier 1: $20 per prescription  
 - Tier 2: $50 per prescription  
 - Tier 3: $80 per prescription  
 - Tier 4: 20% Coinsurance  - Maximum of $500 per prescription.
#### In-Network Provider
For in-network providers: 
- Prescription Drug Benefits (Asthma inhalers) is not subject to the deductible. 
- The copay for Prescription Drug Benefits (Asthma inhalers) services is based on the tier and days’ supply shown above. - 
- The service applies to the plan's out-of-pocket maximum amount of $2,500, not to exceed $5,000 per family. When the plan's out-of-pocket maximum amount is satisfied, the health plan will reimburse 100% of the allowed amount.  
- Pharmacy deductible: $0 (individual)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 Out-of-Network Provider
For out-of-network providers, the member is responsible for 100% of the provider's billed amount, as the plan only covers in-network providers.
</t>
  </si>
  <si>
    <t>What's the copay for Atorvastatin?</t>
  </si>
  <si>
    <t xml:space="preserve">Brief Answer 
This plan’s outpatient prescription drug copays depend on the drug’s tier (Tier 1–Tier 4) and whether it’s filled as a 30-day retail, 90-day retail, or 90-day mail order supply. The plan data provided does not tell us which tier Atorvastatin is in, so I can’t quote an exact copay for that specific drug from this document.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(Atorvastatin)
Retail (30-day supply) 
 - Tier 1: $10 per prescription 
 - Tier 2: $20 per prescription 
 - Tier 3: $35 per prescription 
 - Tier 4: 20% Coinsurance 
Retail (90-day supply) 
 - Tier 1: $30 per prescription 
 - Tier 2: $60 per prescription 
 - Tier 3: $105 per prescription 
 - Tier 4: 20% Coinsurance 
Mail Order (90-day supply) 
 - Tier 1: $20 per prescription 
 - Tier 2: $40 per prescription 
 - Tier 3: $70 per prescription 
 - Tier 4: 20% Coinsurance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t>
  </si>
  <si>
    <t>What's the coverage for Amlodipine?</t>
  </si>
  <si>
    <t xml:space="preserve">Brief Answer 
This plan document doesn’t list drug-specific formulary coverage for Amlodipine, so I can’t confirm its tier/coverage from the plan data. What I *can* provide is the plan’s outpatient prescription drug cost structure and the tool direction to confirm Amlodipine’s tier and exact cost.
──────────────────────────────────────────────────
Detailed Explanation
Prescription Drug Benefits (Outpatient) — Tier pricing 
Retail (30-day supply) 
 - Tier 1: $10 per prescription 
 - Tier 2: $30 per prescription 
 - Tier 3: $50 per prescription 
 - Tier 4: 30% Coinsurance 
Retail (90-day supply) 
 - Tier 1: $30 per prescription 
 - Tier 2: $90 per prescription 
 - Tier 3: $150 per prescription 
 - Tier 4: 30% Coinsurance 
Mail Order (90-day supply) 
 - Tier 1: $20 per prescription 
 - Tier 2: $60 per prescription 
 - Tier 3: $100 per prescription 
 - Tier 4: 30% Coinsurance 
In-Network Provider 
For in-network providers: 
the plan has a $3,000 deductible per person, not to exceed $6,000 per family. 
However, Prescription Drug Benefits (Outpatient) is not subject to the deductible.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Amlodipine-specific coverage (formulary / tier / cost)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t>
  </si>
  <si>
    <t>What's the coverage for lisinopril?</t>
  </si>
  <si>
    <r>
      <t xml:space="preserve">Brief Answer 
Lisinopril, is covered under the plan’s Prescription Drug Benefits, with member cost depending on the drug’s formulary tier.
──────────────────────────────────────────────────
Detailed Explanation
Prescription Drug Benefits (Outpatient Drugs):
</t>
    </r>
    <r>
      <rPr>
        <b/>
        <sz val="12"/>
        <color theme="1"/>
        <rFont val="Aptos Narrow (Body)"/>
      </rPr>
      <t>Participating Provider:</t>
    </r>
    <r>
      <rPr>
        <sz val="12"/>
        <color theme="1"/>
        <rFont val="Aptos Narrow (Body)"/>
      </rPr>
      <t xml:space="preserve">
Retail (30-day supply) 
 - Tier 1: $10 per prescription  
 - Tier 2: $25 per prescription  
 - Tier 3: $40 per prescription  
 - Tier 4: 30% Coinsurance (Maximum of $250 per prescription.) 
Retail (90-day supply) 
 - Tier 1: $30 per prescription  
 - Tier 2: $75 per prescription  
 - Tier 3: $120 per prescription  
 - Tier 4: 30% Coinsurance  (Maximum of $750 per prescription.)
Mail Order (90-day supply) 
 - Tier 1: $20 per prescription  
 - Tier 2: $50 per prescription  
 - Tier 3: $80 per prescription  
 - Tier 4: 30% Coinsurance  (Maximum of $500 per prescription.)
Non-Participating Provider:
Retail (30-day supply) 
 - Tier 1: 25% of purchase price + $10 per prescription  
 - Tier 2: 25% of purchase price + $25 per prescription
 - Tier 3: 25% of purchase price + $40 per prescription
 - Tier 4: 25% of purchase price + 30% Coinsurance (Maximum of $250 per prescription.)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t>
    </r>
  </si>
  <si>
    <t>HW 0508 - Updated Rule 30: Pharm Network
Also, Missing Max Tier 4 Mail Order (Rule 30)</t>
  </si>
  <si>
    <t>Added  Non-Particpating Network Benefits (Retail 30day)
Added  Maximum on Tier 4</t>
  </si>
  <si>
    <t>What's the coverage for Semaglutide?</t>
  </si>
  <si>
    <t xml:space="preserve">Brief Answer 
The plan document does not list Semaglutide on a formulary, so I can’t confirm its specific tier/coverage status from the data provided. What I can provide is the plan’s Rx tier cost-sharing and the pharmacy deductible that would apply once you confirm Semaglutide’s tier using “Price Check My Rx.”
──────────────────────────────────────────────────
Detailed Explanation
Prescription Drug Benefits (Outpatient) — Tier cost-sharing:
Retail (30-day supply) 
 - Tier 1: $15 per prescription 
 - Tier 2: $40 per prescription 
 - Tier 3: $70 per prescription 
 - Tier 4: 30% Coinsurance 
Retail (90-day supply) 
 - Tier 1: $45 per prescription 
 - Tier 2: $120 per prescription 
 - Tier 3: $210 per prescription 
 - Tier 4: 30% Coinsurance 
Mail Order (90-day supply) 
 - Tier 1: $30 per prescription 
 - Tier 2: $80 per prescription 
 - Tier 3: $140 per prescription 
 - Tier 4: 30% Coinsurance 
Pharmacy deductible (if applicable):
The pharmacy deductible is $0 (Individual). 
Note (OTC exclusion language):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Semaglutide-specific (formulary/tier placement):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t>
  </si>
  <si>
    <t>Minera Response (Needs to be human validated)
Semaglutide coverage (tier and member cost) can’t be confirmed from this plan document alone because the plan data does not include the drug formulary. You can quote the plan’s Rx tier cost shares, then use “Price Check My Rx” to confirm whether Semaglutide is covered, what tier it’s on, and the exact cost at the pharmacy.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Prescription Drug Benefits (applies to Semaglutide once formulary/tier is confirmed) :
#### In-Network Provider
For in-network providers, [2]
However, Semaglutide (outpatient prescription drugs) is not subject to the deductible. [3] 
Pharmacy deductible: $0 [4]
Retail (30-day supply) [2] 
 - Tier 1: $10 per prescription [2] 
 - Tier 2: $30 per prescription [2] 
 - Tier 3: $50 per prescription [2] 
 - Tier 4: 20% Coinsurance [2] 
 - This plan has a maximum payable amount of up to $250 per prescription. This means the member would also be responsible for all charges above $250 per prescription. [5]
Retail (90-day supply) [2] 
 - Tier 1: $30 per prescription [2] 
 - Tier 2: $90 per prescription [2] 
 - Tier 3: $150 per prescription [2] 
 - Tier 4: 20% Coinsurance [2] 
 - This plan has a maximum payable amount of up to $750 per prescription. This means the member would also be responsible for all charges above $750 per prescription. [6]
Mail Order (90-day supply) [2] 
 - Tier 1: $20 per prescription [2] 
 - Tier 2: $60 per prescription [2] 
 - Tier 3: $100 per prescription [2] 
 - Tier 4: 20% Coinsurance [2] 
 - This plan has a maximum payable amount of up to $500 per prescription. This means the member would also be responsible for all charges above $500 per prescription. [7]
The service applies to the plan's out-of-pocket maximum amount of $5,500 individual, not to exceed $11,000 per family. When the plan's out-of-pocket maximum amount is satisfied, the health plan will reimburse 100% of the allowed amount. [8]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[9]
#### Out-of-Network Provider
For out-of-network providers, the member is responsible for 100% of the provider's billed amount, as the plan only covers in-network providers.
─</t>
  </si>
  <si>
    <t>Preventive Health Services</t>
  </si>
  <si>
    <t>Preventive</t>
  </si>
  <si>
    <t>Are preventive screenings for cervical cancer covered at 100%?</t>
  </si>
  <si>
    <t xml:space="preserve">Brief Answer 
Yes — preventive cervical cancer screenings are covered at 100% (No Charge) when provided by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Preventive Health Services (includes preventive cancer screenings such as cervical cancer screening) :
In-Network Provider 
For in-network providers:  
The plan will reimburse the provider 100% of the allowed amount for Preventive Health Services.  
Out-of-Network Provider 
For out-of-network providers, the member is responsible for 100% of the provider's billed amount, as the plan only covers in-network providers.
</t>
  </si>
  <si>
    <t xml:space="preserve">Removed However, Preventive Health Services is not subject to the deductible.  </t>
  </si>
  <si>
    <t>Are preventive screenings for skin cancer covered?</t>
  </si>
  <si>
    <t xml:space="preserve">Brief Answer 
Yes—preventive screenings are covered under the plan’s Preventive Health Services / Annual Health Exams benefit at No Charge when performed by an in-network (HMO) provider. Out-of-network preventive services are not covered under this HMO plan.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Preventive screening (Annual Health Exams / Preventive Health Services):
#### In-Network Provider
For in-network providers:  
The plan will reimburse the provider 100% of the allowed amount for Annual Health Exams. 
#### Out-of-Network Provider
For out-of-network providers, the member is responsible for 100% of the provider's billed amount, as the plan only covers in-network providers.
</t>
  </si>
  <si>
    <t xml:space="preserve">Removed However, Annual Health Exams is not subject to the deductible.  </t>
  </si>
  <si>
    <t>Are preventive services like annual check-ups and vaccines covered at 100% by my health plan?</t>
  </si>
  <si>
    <t xml:space="preserve">Brief Answer 
Yes—annual preventive care visits (annual check-ups) are covered at 100% (No Charge) when done with an in-network (Level 1) provider. Vaccines/immunizations are referenced as part of preventive benefits, but this plan data set does not list a separate “vaccines/immunizations” cost-share line item to confirm 100% for all vaccines.
──────────────────────────────────────────────────
Detailed Explanation
Preventive Health Services (Annual check-ups / annual preventive care visits) 
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The plan will reimburse the provider 100% of the allowed amount for Annual Health Exams. 
For Level 2 PPO in-network providers, Annual Health exams is not covered.
For Level 3 out-of-network or non-participaing providers, Annual Health Exams is not covered. 
Vaccines / Immunizations 
The plan’s preventive section states immunizations recommended by ACIP/CDC are included as preventive services, and preventive services are only covered when received from a Participating Provider.  
</t>
  </si>
  <si>
    <t>Are preventive vaccines for adults covered at 100%?</t>
  </si>
  <si>
    <t xml:space="preserve">Brief Answer 
Yes—adult preventive immunizations are covered at 100% (No Charge) when provided by an in-network (Participating Provider). Out-of-network preventive services are not covered under this plan’s Preventive Health Services benefit.
──────────────────────────────────────────────────
Detailed Explanation
Preventive Health Services (includes preventive immunizations for adults):
In-Network Provider 
For in-network providers: 
the plan has a $250 deductible per person, not to exceed $750 per family.  
However, Preventive Health Services (including immunizations) is not subject to the deductible. Once the deductible is met,  
The plan will reimburse the provider 100% of the allowed amount for Preventive Health Services (including immunizations). 
Out-of-Network Provider 
For out-of-network providers: 
An out-of-network provider has the right to bill for the balance. What this means is that the member may be responsible for the difference between the allowed amount and billed amount.  
For out-of-network preventive services under Preventive Health Services, the benefit is Not Covered (member pays 100%). 
</t>
  </si>
  <si>
    <t>Does my plan cover the full cost of preventive mammograms?</t>
  </si>
  <si>
    <t xml:space="preserve">Brief Answer 
Yes—preventive mammograms are covered at no charge when performed by an in-network (Participating) provider. If the mammogram is billed as diagnostic (not preventive), then it falls under diagnostic imaging benefits and would have cost sharing.
──────────────────────────────────────────────────
Detailed Explanation
Preventive mammogram (Preventive Health Services):
In-Network Provider 
The plan will reimburse the provider 100% of the allowed amount for Preventive Health Services (including preventive screenings such as breast cancer screening/mammography) when received from a Participating Provider. 
Out-of-Network Provider 
For out-of-network providers, the member is responsible for 100% of the provider's billed amount, as preventive services are only covered when received from a Participating Provider. 
If the mammogram is billed as *diagnostic* (not preventive):
If the provider bills the mammogram as diagnostic mammography, it processes under Basic Imaging Services (not preventive), and the member cost share depends on place of service:
A. Outpatient Radiology Center (Professional Office) — Basic Imaging Services (includes diagnostic mammography) 
- In-Network Provider: Copay: $25 per visit (subject to deductible)  
- Out-of-Network Provider: Coinsurance: 50% (subject to deductible). An out-of-network provider has the right to bill for the balance. What this means is that the member may be responsible for the difference between the allowed amount and billed amount. 
B. Outpatient Department of a Hospital — Basic Imaging Services (Facility Outpatient) 
- In-Network Provider: Copay: $50 per visit (subject to deductible)  
- Out-of-Network Provider: Coinsurance: 50% (subject to deductible) with maximum payable amount language of up to $350 per day. An out-of-network provider has the right to bill for the balance. What this means is that the member may be responsible for the difference between the allowed amount and billed amount. 
</t>
  </si>
  <si>
    <t>Is coverage available for preventive lung cancer screenings?</t>
  </si>
  <si>
    <t xml:space="preserve">Brief Answer 
Yes—coverage is available for preventive lung cancer screenings when they qualify as Preventive Health Services and are performed by an in-network (Participating) Provider. Out-of-network preventive services are not covered under this plan.
──────────────────────────────────────────────────
Detailed Explanation
Preventive lung cancer screening (Preventive Health Services):
#### In-Network Provider
For in-network providers: 
the plan has a $750 deductible per person, not to exceed $2,250 per family.  
However, Preventive Health Services (preventive screenings) is not subject to the deductible. Once the deductible is met,  
The plan will reimburse the provider 100% of the allowed amount for Preventive Health Services (preventive screenings). 
Additional details:
- Preventive Health Services include “screenings, checkups, and counseling to prevent health problems or detect them at an early stage.” 
- Blue Shield only covers Preventive Health Services when received from a Participating Provider. 
#### Out-of-Network Provider
For out-of-network providers:
An out-of-network provider has the right to bill for the balance. What this means is that the member may be responsible for the difference between the allowed amount and billed amount.  
Preventive Health Services are not covered when performed by a Non-Participating Provider. 
</t>
  </si>
  <si>
    <t>What is my benefit for a chickenpox (varicella) vaccine?</t>
  </si>
  <si>
    <t xml:space="preserve">Brief Answer 
I couldn’t find a specific “chickenpox (varicella) vaccine” benefit line in the current plan document. The plan does state that preventive immunizations are covered at no charge when received from a Participating Provider.
──────────────────────────────────────────────────
Detailed Explanation
Chickenpox (varicella) vaccination is typically a preventive immunization, so the closest matching benefit category in this plan is Preventive Health Services (Annual Health Exams / preventive care).
Preventive Health Services (Immunizations):
#### In-Network Provider
For in-network providers: 
- However, Preventive Health Services (Annual Health Exams / preventive care) is not subject to the deductible.  
- The plan will reimburse the provider 100% of the allowed amount for Preventive Health Services (Annual Health Exams / preventive care). 
#### Out-of-Network Provider
For out-of-network providers:
An out-of-network provider has the right to bill for the balance. What this means is that the member may be responsible for the difference between the allowed amount and billed amount. 
- For out-of-network preventive services, the plan indicates these services are not covered when not received from a Participating Provider. 
</t>
  </si>
  <si>
    <t xml:space="preserve">Minera Response (Needs to be human validated)
The chickenpox (varicella) vaccine falls under the plan’s Preventive Health Services (immunizations) and is covered at No Charge when received from an in-network (HMO Provider). 
──────────────────────────────────────────────────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[3]
Preventive Health Services (Immunizations) — includes varicella vaccine:
In-Network Provider (HMO Provider) 
For in-network providers, [1] 
The plan has a $1,500 deductible per person, not to exceed $3,000 per family. [2] 
However, chickenpox (varicella) vaccine under Preventive Health Services is not subject to the deductible. [1] 
The plan will reimburse the provider 100% of the allowed amount for chickenpox (varicella) vaccine under Preventive Health Services. [1] 
Additional details: 
- Preventive Health Services include immunizations that meet the plan’s preventive guidelines. [3]
Out-of-Network Provider 
For out-of-network providers, the member is responsible for 100% of the provider's billed amount, as the plan only covers in-network providers.
</t>
  </si>
  <si>
    <t>What is my benefit for a DTaP vaccine?</t>
  </si>
  <si>
    <t xml:space="preserve">Brief Answer 
DTaP is a preventive immunization, so under this plan it is covered at No Charge when received from an in-network (HMO Provider). I couldn’t find separate cost-share details specifically labeled “DTaP” in the benefit list, but immunizations are included under Preventive Health Services.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Preventive Health Services (Immunizations):
In-Network Provider
For in-network providers: 
However, Preventive Health Services – Annual Health Exams is not subject to the deductible. 
The plan will reimburse the provider 100% of the allowed amount for Preventive Health Services – Annual Health Exams. 
- Additional details:
 - Preventive Health Services include immunizations that had (as of January 1, 2025) a recommendation from ACIP/CDC or the jointly adopted childhood immunization schedule (as described in the Preventive Health Services EOC language). 
Out-of-Network Provider
For out-of-network providers, the member is responsible for 100% of the provider's billed amount, as the plan only covers in-network providers.
</t>
  </si>
  <si>
    <t>Minera Response (Needs to be human validated)
A DTaP vaccine is covered under Preventive Health Services (immunizations) when received from a Participating (in-network) Provider, at No Charge. Out-of-network preventive immunizations are Not Covered under this plan.
──────────────────────────────────────────────────
Detailed Explanation:
DTaP vaccine (Preventive immunization):
#### In-Network Provider
For in-network providers, [1]
The plan has a $750 deductible per person, not to exceed $2,250 per family. [2]
However, DTaP vaccine (Preventive Health Services) is not subject to the deductible. [1]
The plan will reimburse the provider 100% of the allowed amount for DTaP vaccine (Preventive Health Services) services. [1]
Additional details:
- Preventive Health Services (including immunizations recommended by the Advisory Committee on Immunization Practices) are only covered when received from a Participating Provider. [3]
#### Out-of-Network Provider
For out-of-network providers, [1]
An out-of-network provider has the right to bill for the balance. What this means is that the member may be responsible for the difference between the allowed amount and billed amount.
Also, for this preventive benefit, out-of-network is Not Covered, so the member is responsible for 100% of billed charges. [1][3]</t>
  </si>
  <si>
    <t>What is my benefit for a pneumonia vaccine?</t>
  </si>
  <si>
    <t xml:space="preserve">Brief Answer 
The plan covers preventive immunizations (like a pneumonia vaccine) at no charge when received from an in-network (Participating) provider. Out-of-network preventive services are not covered under this plan.
──────────────────────────────────────────────────
Detailed Explanation
Pneumonia vaccine (Preventive immunization):
In-Network Provider (Participating Provider) 
For in-network providers: 
the plan has a $1,500 deductible per person, not to exceed $3,000 per family.  
However, Preventive Health Services (Annual Health Exams) is not subject to the deductible. Once the deductible is met,  
The plan will reimburse the provider 100% of the allowed amount for Preventive Health Services (Annual Health Exams). 
Out-of-Network Provider (Non-Participating Provider) 
For out-of-network providers: 
An out-of-network provider has the right to bill for the balance. What this means is that the member may be responsible for the difference between the allowed amount and billed amount. 
Preventive Health Services are not covered when received from a Non-Participating Provider. 
</t>
  </si>
  <si>
    <t>What is my benefit for a shingles vaccine?</t>
  </si>
  <si>
    <t xml:space="preserve">Brief Answer 
I couldn’t find a specific “shingles vaccine” benefit line in the current plan document you provided. Preventive immunizations are generally addressed under Preventive Health Services, but the document does not list a distinct cost share for shingles vaccine.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Shingles vaccination would most closely fall under Preventive Health Services. 
for in-network providers, the plan has an individual deductible of $1,500 not to exceed $3,000 per family.  However preventive health services are not subject to the deductible.  The service would be covered at 100% of the allowed amount. 
Out-of-Network Provider 
Out-of-Network Provider: For out-of-network providers, the member is responsible for 100% of the provider's billed amount, as the plan only covers in-network providers.   
</t>
  </si>
  <si>
    <t>KT0505 - Missing benefits (Cost Share)</t>
  </si>
  <si>
    <t>Removed: Shingles vaccination would most closely fall under Preventive Health Services as an immunization. That section states the plan covers immunizations that had (as of January 1, 2025) a recommendation from ACIP/CDC (or the referenced childhood schedules), and it also references preventive services generally. However, the plan data provided does not include a specific benefit entry showing the member’s exact cost share for the shingles vaccine itself (e.g., “No Charge” vs copay/coinsurance), nor does it list it under a dedicated immunization benefit line. 
I couldn't find this information in the current plan document.</t>
  </si>
  <si>
    <t>What is my benefit for a Tdap vaccine?</t>
  </si>
  <si>
    <t xml:space="preserve">Brief Answer 
Tdap is covered under Preventive Health Services at No Charge when provided by an in-network (HMO) provider. I couldn’t find an out-of-network benefit for routine preventive immunizations in the plan document.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Preventive Health Services (Immunizations) — Tdap vaccine :
#### In-Network Provider
For in-network providers:  
the plan has a $1,500 deductible per person, not to exceed $3,000 per family.  
However, Preventive Health Services (Immunizations) is not subject to the deductible. Once the deductible is met,  
The plan will reimburse the provider 100% of the allowed amount for Preventive Health Services (Immunizations). 
#### Out-of-Network Provider
I couldn't find this information in the current plan document.
</t>
  </si>
  <si>
    <t>What is my benefit for a well-child check-up?</t>
  </si>
  <si>
    <t xml:space="preserve">Brief Answer 
For a well-child check-up (annual preventive care visit), the plan covers it at No Charge when performed by an in-network (Participating) provider. Out-of-network preventive services are not covered.
──────────────────────────────────────────────────
Detailed Explanation
Well-child check-up (Annual preventive care visit for child):
In-Network Provider 
For in-network providers: 
However, Annual Health Exams is not subject to the deductible.  
The plan will reimburse the provider 100% of the allowed amount for Annual Health Exams. 
Out-of-Network Provider 
For out-of-network providers: 
An out-of-network provider has the right to bill for the balance. What this means is that the member may be responsible for the difference between the allowed amount and billed amount. 
The Annual Health Exams is not a benefit of this health plan. The member would be responsible for 100% of the billed amount. 
</t>
  </si>
  <si>
    <t>What is my benefit for an annual preventive check-up?</t>
  </si>
  <si>
    <t xml:space="preserve">Brief Answer 
The plan covers an annual preventive check-up at no charge when it’s done with a Participating Provider (in-network). Out-of-network benefits are not covered.
──────────────────────────────────────────────────
Detailed Explanation
Exclusive Provider Organization (EPO) Disclaimer:
This is an Exclusive Provider Organization (EPO) plan. You must receive all Covered Benefits from a Participating Provider,  the exception is with Emergency or Urgent Services.
Annual Preventive Check-Up (Annual Health Exams):
#### In-Network Provider 
For in-network providers: 
the plan has a $2,500 deductible per person, not to exceed $5,000 per family.  
However, Annual Health Exams is not subject to the deductible.  
The plan will reimburse the provider 100% of the allowed amount for Annual Health Exams. 
#### Out-of-Network Provider 
For out-of-network providers: 
An out-of-network providers are not covered.
</t>
  </si>
  <si>
    <t>What's included in my annal health exam?</t>
  </si>
  <si>
    <t xml:space="preserve">Brief Answer 
The plan covers Annual Health Exams at no charge when performed by an in-network (HMO) provider. The Preventive Health Services section also describes a wide range of preventive screenings, immunizations, and counseling that may be included as part of preventive care.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Annual Health Exam (Preventive) — Benefit Detail:
#### In-Network Provider
For in-network providers:  
the plan does not have a deductible.  
The plan will reimburse the provider 100% of the allowed amount for Annual Health Exams.  
Additional details (what the plan describes as Preventive Health Services that may be part of a preventive exam/visit):
- Evidence-based preventive items/services with a USPSTF A or B rating (examples listed in the plan include cancer screenings such as colorectal, cervical, breast, and prostate; HPV screening; osteoporosis screening; and health education).  
- Immunizations recommended by ACIP/CDC and the referenced childhood immunization schedule guidelines.  
- Sexually transmitted disease home testing kits (including lab processing) when ordered by a Physician or other Health Care Provider.  
- Evidence-informed preventive care and screenings for infants/children/adolescents per HRSA-supported guidelines (example listed: lead exposure screening and blood lead levels for children at risk).  
- Adverse Childhood Experiences screenings.  
- California Prenatal Screening Program.  
- Additional preventive care and screenings for women per HRSA-supported guidelines (the plan notes to see Family Planning Benefits for more information).  
#### Out-of-Network Provider
For out-of-network providers, the member is responsible for 100% of the provider's billed amount, as the plan only covers in-network providers.
</t>
  </si>
  <si>
    <t>Rehabilitative and Habilitative Services</t>
  </si>
  <si>
    <t>Occupational Therapy</t>
  </si>
  <si>
    <t>Are outpatient rehabilitation services for stroke recovery covered?</t>
  </si>
  <si>
    <t xml:space="preserve">Brief Answer 
Yes. Outpatient rehabilitative/ habilitative therapy (such as physical therapy, occupational therapy, and speech therapy) is covered under this plan for stroke recovery. Coverage is First Dollar Service, then 20% coinsurance in-network, and First Dollar Service, then 40% coinsurance out-of-network (subject to the specific place of service). 
──────────────────────────────────────────────────
Detailed Explanation
Stroke recovery therapy falls under Rehabilitative and Habilitative Services (outpatient rehab such as PT/OT/speech). The plan notes these services are covered for outpatient rehabilitative/ habilitative services when Medically Necessary and under a treatment plan prepared by the Physician/Health Care Provider. 
Rehabilitative and Habilitative Services services are included as a First Dollar Service, this means this plan helps pay for them right away—before the deductible applies. This plan will pay 100% of the allowed amount for rehabilitative and habilitative services at a participating provider, using the First Dollar credit, so the member doesn't pay anything upfront as long as that credit is available. 
The credit is $300 for individual coverage, and $600 for family coverage. 
Once the First Dollar Service credit is used up: 
A) In Office Rehabilitation (office setting):
1) Physical Therapy, Occupational Therapy, Speech Therapy (In Office Setting)
In-Network: 
This plan has a deductible of $2,000 per individual and $4,000 per family. However, these services do not apply to the deductible.  The member would pay 20% coinsurance when using a participating provider. All the costs the member pays go towards the out-of-pocket maximum, which is: $3,000 per individual and $6,000 per family.
Once the member reachs that amount, the plan pays 100% of the allowed amount for the rest of the year.
Out of Network:
This plan has a deductible of $2,000 per individual and $4,000 per family. However, these services do not apply to the deductible.  The member would pay 40% coinsurance when using a non-participating provider. All the costs the member pays go towards the out-of-pocket maximum, which is:  $10,000 per individual and $20,000 per family.
Once the member reachs that amount, the plan pays 100% of the allowed amount for the rest of the year.
B) Outpatient Rehabilitation:
1) Physical Therapy, Occupational Therapy, Speech Therapy (In an outpatient facility)
The same benefits apply as in office rehabilitation, with exception if services are provided by a non-participating provider, these services have a maximum payable amount of up to $350 per day. This means the member would also be responsible for all charges above $350 per day. 
Additional details: 
- Must be outpatient rehabilitative/ habilitative services and Medically Necessary. 
- A Physician/Health Care Provider must prepare a treatment plan. 
- Blue Shield may periodically review the provider’s treatment plan and records for Medical Necessity. 
</t>
  </si>
  <si>
    <t>Are there visit limits for outpatient occupational therapy?</t>
  </si>
  <si>
    <t xml:space="preserve">Brief Answer 
Outpatient occupational therapy has no explicit visit limit shown in the plan’s benefit listing, but it does apply to the plan’s out-of-pocket maximum. I did not find a separate visit maximum for outpatient OT in the current plan document.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Occupational Therapy (Outpatient Facility):
In-Network Provider 
For in-network providers:  
the plan does not have a deductible.  
The copay for Outpatient Occupational Therapy services is $30 per visit.  
The service applies to the plan's out-of-pocket maximum amount of $1,500, not to exceed $3,000 per family. When the plan's out-of-pocket maximum amount is satisfied, the health plan will reimburse 100% of the allowed amount.  
Limit: I did not see any visit limit (limitText/limitValue) listed for Outpatient Occupational Therapy under this benefit. 
Out-of-Network Provider 
For out-of-network providers, the member is responsible for 100% of the provider's billed amount, as the plan only covers in-network providers.
</t>
  </si>
  <si>
    <t>KT0505 - Not wrong but confusing (Remove Yes from the beginning)</t>
  </si>
  <si>
    <t>Removed Yes from - Yes. Outpatient occupational therapy has no explicit visit limit shown in the plan’s benefit listing, but it does apply to the plan’s out-of-pocket maximum. I did not find a separate visit maximum for outpatient OT in the current plan document.</t>
  </si>
  <si>
    <t>Speech Therapy</t>
  </si>
  <si>
    <t>Do I have any visit limitation for speech therapy?</t>
  </si>
  <si>
    <t xml:space="preserve">Brief Answer 
Yes. Speech therapy is covered, and the plan document does not show a specific visit limit for speech therapy (in-office or outpatient facility). The only visit/day limits shown are in the Home Health Services section (if speech therapy is provided as home health).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Speech Therapy — In Office Rehabilitation (Office setting):
In-Network Provider 
For in-network providers:  
the plan has a $750 deductible per person, not to exceed $1,500 per family.  
However, Speech Therapy (Office) is not subject to the deductible.  
The copay for Speech Therapy (Office) services is $15.  
The service applies to the plan's out-of-pocket maximum amount of $2,500, not to exceed $5,000 per family. When the plan's out-of-pocket maximum amount is satisfied, the health plan will reimburse 100% of the allowed amount.  
- Visit limit shown in plan data: None found for office speech therapy. 
Out-of-Network Provider 
For out-of-network providers, the member is responsible for 100% of the provider's billed amount, as the plan only covers in-network providers.
B) Speech Therapy — Outpatient Rehabilitation (Outpatient facility setting):
In-Network Provider 
For in-network providers:  
the plan has a $750 deductible per person, not to exceed $1,500 per family.  
However, Speech Therapy (Outpatient Facility) is not subject to the deductible.  
The copay for Speech Therapy (Outpatient Facility) services is $15.  
The service applies to the plan's out-of-pocket maximum amount of $2,500, not to exceed $5,000 per family. When the plan's out-of-pocket maximum amount is satisfied, the health plan will reimburse 100% of the allowed amount.  
- Visit limit shown in plan data: None found for outpatient facility speech therapy. 
Out-of-Network Provider 
For out-of-network providers, the member is responsible for 100% of the provider's billed amount, as the plan only covers in-network providers.
C) If Speech Therapy is provided under Home Health Services (in the home):
Home health services *do* have a visit maximum shown in the plan document, and the EOC content also includes “up to four visits per day” rules for certain clinician types (including speech-language pathologists). 
In-Network Provider 
For in-network providers:  
the plan has a $750 deductible per person, not to exceed $1,500 per family.  
However, Home health care is not subject to the deductible.  
The copay for Home health care services is $15 per visit.  
The service applies to the plan's out-of-pocket maximum amount of $2,500, not to exceed $5,000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Intermittent home care for skilled services can include speech and language pathologists. 
- “Intermittent” means fewer than 7 days per week, or daily for fewer than 8 hours per day, up to 21 days. 
- For RN/LVN/PT/OT/speech-language pathologist/LCSW visits: up to 4 visits per day, 2 hours max per visit; 2 hours or less = 1 visit. 
- Nursing visits cannot be combined to provide continuous nursing services.
Out-of-Network Provider 
For out-of-network providers, the member is responsible for 100% of the provider's billed amount, as the plan only covers in-network providers.
</t>
  </si>
  <si>
    <t>Does my plan cover occupational therapy for children with developmental delays?</t>
  </si>
  <si>
    <t xml:space="preserve">Brief Answer 
Yes—this plan covers outpatient occupational therapy (including for children with developmental delays) when it is medically necessary. Cost share depends on where the therapy is received (office vs outpatient facility) and whether the provider is in-network.
──────────────────────────────────────────────────
Detailed Explanation
Occupational Therapy (OT) — In Office Rehabilitation (Office setting):
In-Network Provider 
For in-network providers: 
the plan has a $1,000 deductible per person, not to exceed $3,000 per family.  
In Office Rehabilitation &gt; Occupational Therapy is subject to this deductible. Once the deductible is met,  
The copay for In Office Rehabilitation &gt; Occupational Therapy services is $35 per visit.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In Office Rehabilitation &gt; Occupational Therapy is subject to this deductible. Once the deductible is met,  
The coinsurance is 40% of the allowed amount, and the plan will reimburse the remaining 60% of the allowed amount for In Office Rehabilitation &gt; Occupational Therapy.  
The service applies to the plan's out-of-pocket maximum amount of $10,000, not to exceed $20,000 per family. When the plan's out-of-pocket maximum amount is satisfied, the health plan will reimburse 100% of the allowed amount.  
──────────────────────────────────────────────────
Occupational Therapy (OT) — Outpatient Rehabilitation (Outpatient facility setting):
In-Network Provider 
For in-network providers: the plan has a $1,000 deductible per person, not to exceed $3,000 per family.  
Outpatient Rehabilitation &gt; Occupational Therapy is subject to this deductible. Once the deductible is met,  
The copay for Outpatient Rehabilitation &gt; Occupational Therapy services is $35 per visit.  
The service applies to the plan's out-of-pocket maximum amount of $5,500, not to exceed $11,000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$9,000 per family.  
Outpatient Rehabilitation &gt; Occupational Therapy is subject to this deductible. Once the deductible is met,  
The coinsurance is 40% of the allowed amount, and the plan will reimburse the remaining 60% of the allowed amount for Outpatient Rehabilitation &gt; Occupational Therapy. 
The maximum copayment percentage of up to $350 per day, plus charges over $350 per day.
The service applies to the plan's out-of-pocket maximum amount of $10,000, not to exceed $20,000 per family. When the plan's out-of-pocket maximum amount is satisfied, the health plan will reimburse 100% of the allowed amount.  
</t>
  </si>
  <si>
    <t>Benefit Category: Occupational Therapy
In Office Rehabilitation OR Outpatient Rehabilitation
HMO Provider: $15 per visit, Subject to Deductible – No, Applies to Annual Copay Max – Yes
OOPM HMO Provider: 2,500 ind/ $5,000 fam</t>
  </si>
  <si>
    <t>HW 5/4: - Outpt Rehab - Missing Maximum Copayment percentage of up to $350 per day, plus charges over $350 per day.</t>
  </si>
  <si>
    <t>Physical Therapy</t>
  </si>
  <si>
    <t>Does my plan cover outpatient occupational therapy for hand injuries?</t>
  </si>
  <si>
    <t xml:space="preserve">Brief Answer 
Yes. This plan covers outpatient occupational therapy for treatment of an injury, including hand injuries, with a $30 copay per visit when received from an in-network (HMO) provider.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Occupational Therapy (Outpatient facility):
In-Network Provider 
For in-network providers:  
the plan has a $2,000 deductible per person, not to exceed $4,000 per family.  
However, Occupational Therapy (Outpatient facility) is not subject to the deductible. Once the deductible is met,  
The copay for Occupational Therapy (Outpatient facility) services is $30 per visit.  
The service applies to the plan's out-of-pocket maximum amount of $3,500, not to exceed $7,000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</si>
  <si>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Does my plan cover outpatient physical therapy for sports injuries?</t>
  </si>
  <si>
    <t xml:space="preserve">Brief Answer 
Yes—this plan covers outpatient physical therapy for treatment of an injury (including sports injuries). In-network outpatient PT has a $15 copay per visit, and it applies to the plan’s out-of-pocket maximum.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Rehabilitation (Physical Therapy) — Outpatient Facility:
In-Network Provider 
For in-network providers:  
the plan has a $250 deductible per person, not to exceed $500 per family.  
However, Physical Therapy Outpatient Facility is not subject to the deductible. Once the deductible is met,  
The copay for Physical Therapy Outpatient Facility services is $15.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In Office Rehabilitation (Physical Therapy) — Office Setting:
In-Network Provider 
For in-network providers:  
the plan has a $250 deductible per person, not to exceed $500 per family.  
However, Physical Therapy Office is not subject to the deductible. Once the deductible is met,  
The copay for Physical Therapy Office services is $15.  
The service applies to the plan's out-of-pocket maximum amount of $2,500, not to exceed $5,000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t>
  </si>
  <si>
    <t>Office</t>
  </si>
  <si>
    <t>Does my plan cover outpatient pulmonary rehabilitation?</t>
  </si>
  <si>
    <t xml:space="preserve">Brief Answer 
Yes — outpatient pulmonary rehabilitation appears to be covered under the plan’s Rehabilitative and Habilitative Services (outpatient rehab) benefit, with cost share depending on where it’s performed (office vs outpatient facility) and whether the provider is in-network.
──────────────────────────────────────────────────
Detailed Explanation
Pulmonary rehabilitation is an outpatient rehabilitative therapy service, so the closest match in the plan document is Rehabilitative and Habilitative Services (outpatient rehabilitation). 
A. In-office pulmonary rehabilitation (Rehabilitative and Habilitative Services → In Office Rehabilitation)
In-Network Provider 
For in-network providers:  
the plan has a $3,000 deductible per person, not to exceed $6,000 per family.  
In Office Rehabilitation (Physical Therapy Office) is subject to this deductible. Once the deductible is met,  
The copay for In Office Rehabilitation (Physical Therapy Office) services is $30.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In Office Rehabilitation (Physical Therapy Office) is subject to this deductible. Once the deductible is met,  
The coinsurance is 50% of the allowed amount, and the plan will reimburse the remaining 50% of the allowed amount for In Office Rehabilitation (Physical Therapy Office).  
The service applies to the plan's out-of-pocket maximum amount of $13,000, not to exceed $26,000 per family. When the plan's out-of-pocket maximum amount is satisfied, the health plan will reimburse 100% of the allowed amount. 
──────────────────────────────────────────────────
B. Outpatient facility pulmonary rehabilitation (Rehabilitative and Habilitative Services → Outpatient Rehabilitation)
In-Network Provider 
For in-network providers:  
the plan has a $3,000 deductible per person, not to exceed $6,000 per family.  
Outpatient Rehabilitation (Physical Therapy Outpatient Facility) is subject to this deductible. Once the deductible is met,  
The copay for Outpatient Rehabilitation (Physical Therapy Outpatient Facility) services is $30.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$3,000 deductible per person, not to exceed $6,000 per family.  
Outpatient Rehabilitation (Physical Therapy Outpatient Facility) is subject to this deductible. Once the deductible is met,  
The coinsurance is 50% of the allowed amount, and the plan will reimburse the remaining 50% of the allowed amount for Outpatient Rehabilitation (Physical Therapy Outpatient Facility).  
This plan has a maximum payable amount of up to $350 per day. This means the member would also be responsible for all charges above $350 per day.  
The service applies to the plan's out-of-pocket maximum amount of $13,000, not to exceed $26,000 per family. When the plan's out-of-pocket maximum amount is satisfied, the health plan will reimburse 100% of the allowed amount. 
</t>
  </si>
  <si>
    <t>Does my plan cover speech therapy for adults after a stroke?</t>
  </si>
  <si>
    <t xml:space="preserve">Brief Answer 
Yes—outpatient speech therapy is covered when it’s Medically Necessary, such as speech therapy needed after a stroke. The member cost share is 20% coinsurance (and it’s subject to the medical deductible) when provided by a participating provider.
──────────────────────────────────────────────
Detailed Explanation
Exclusive Provider Organization (EPO) Disclaimer:
This is an Exclusive Provider Organization (EPO) plan. You must receive all Covered Benefits from a Participating Provider, the exception is with Emergency or Urgent Services.
Speech Therapy (Outpatient Rehabilitative &amp; Habilitative Services):
For in-network providers:  The plan has a $1,800 deductible for individual coverage, not to exceed $3,400 per individual or $3,600 per family for family coverage.
Speech Therapy Outpatient Facility is subject to this deductible. Once the deductible is met,  
The coinsurance is 20% of the allowed amount, and the plan will reimburse the remaining 80% of the allowed amount for Speech Therapy Outpatient Facility.  
The service applies to the plan's out-of-pocket maximum amount of $4,500 for the individual, not to exceedr $9,000 per family.  When the plan's out-of-pocket maximum amount is satisfied, the health plan will reimburse 100% of the allowed amount. 
Additional details:
- The plan covers outpatient speech therapy when treatment is Medically Necessary and provided under a treatment plan prepared by the Member’s Physician/Health Care Provider. 
- Speech therapy is covered to develop, improve, and maintain vocal or swallowing skills that have not developed according to established norms or have been impaired by a diagnosed illness or injury (such as stroke). 
- Covered indications include treatment of: communication impairment, swallowing disorder, expressive or receptive language disorder, and abnormal delay in speech development. 
</t>
  </si>
  <si>
    <t>Does my plan cover speech therapy for children with speech delays?</t>
  </si>
  <si>
    <t xml:space="preserve">Brief Answer 
Yes—this plan covers outpatient speech therapy (including for speech delays) when it’s medically necessary. Coverage is different in-network vs. out-of-network, and speech therapy is subject to the medical deductible.
──────────────────────────────────────────────────
Detailed Explanation
Speech Therapy (Outpatient / In Office Rehabilitation):
#### In-Network Provider
For in-network providers:  
the plan has a $2,250 deductible per person, not to exceed $4,500 per family.  
Speech Therapy Office is subject to this deductible. Once the deductible is met,  
The coinsurance is 20% of the allowed amount, and the plan will reimburse the remaining 80% of the allowed amount for Speech Therapy Office.  
The service applies to the plan's out-of-pocket maximum amount of $3,500, not to exceed $7,000 per family. When the plan's out-of-pocket maximum amount is satisfied, the health plan will reimburse 100% of the allowed amount. 
Additional details: 
- Speech therapy is covered as an outpatient rehabilitative/habilitative service.  
- Treatment must be provided by an appropriately-licensed or certified Health Care Provider and requires a treatment plan prepared by the Member’s Physician or Health Care Provider.  
- Services can continue as long as treatment is Medically Necessary, and Blue Shield may periodically review the treatment plan/records for Medical Necessity.  
- Speech therapy is for treatment of: a communication impairment, a swallowing disorder, an expressive or receptive language disorder, and an abnormal delay in speech development. 
#### Out-of-Network Provider
For out-of-network providers:  
An out-of-network provider has the right to bill for the balance. What this means is that the member may be responsible for the difference between the allowed amount and billed amount.  
the plan has a $2,250 deductible per person, not to exceed $4,500 per family.  
Speech Therapy Office is subject to this deductible. Once the deductible is met,  
The coinsurance is 50% of the allowed amount, and the plan will reimburse the remaining 50% of the allowed amount for Speech Therapy Office.  
The service applies to the plan's out-of-pocket maximum amount of $6,000, not to exceed $12,000 per family. When the plan's out-of-pocket maximum amount is satisfied, the health plan will reimburse 100% of the allowed amount. 
</t>
  </si>
  <si>
    <t>Benefit Category: Rehabilitative and Habilitative Services/ Speech Therapy
In Office Rehab or Outpatient Rehabilitation
Par - 20% Coinsurance, Subject to Deductible – Yes, Applies to Annual Copay Max – Yes
Ded – $1,800 ind, $3,600 fam, $3,400 fam emb ind
OOPM - $4,500 ind, $9,000 fam, $4,500 fam emb ind
Non- Par – no coverage</t>
  </si>
  <si>
    <t>Does my plan include benefits for outpatient cardiac rehabilitation?</t>
  </si>
  <si>
    <t>60.335</t>
  </si>
  <si>
    <t xml:space="preserve">Brief Answer
The plan does not specifically name outpatient cardiac rehabilitation, but the closest covered match is outpatient rehabilitative and habilitative services. Those services include physical therapy, occupational therapy, respiratory therapy, and speech therapy when they are medically necessary .
──────────────────────────────────────────────────
Detailed Explanation
Coverage Details
- Outpatient rehabilitative and habilitative services are covered when they are provided under a treatment plan and are medically necessary .
- The plan specifically lists physical therapy, occupational therapy, respiratory therapy, and speech therapy as covered outpatient rehab services .
- For a cardiac rehab question, the closest match in the plan document is outpatient rehabilitation, especially physical therapy-based services.
Office-based outpatient rehabilitation
- In-Network Provider
 - Physical Therapy: The plan has a $1,000 deductible per person, not to exceed $3,000 per family . Once the deductible is met, the copay is $10 per visit . The service applies to the plan's $4,000 individual / $8,000 family out-of-pocket maximum .
 - Occupational Therapy: The plan has a $1,000 deductible per person, not to exceed $3,000 per family . Once the deductible is met, the copay is $10 per visit . The service applies to the plan's $4,000 individual / $8,000 family out-of-pocket maximum .
 - Respiratory Therapy: The plan has a $1,000 deductible per person, not to exceed $3,000 per family . Once the deductible is met, the copay is $10 per visit . The service applies to the plan's $4,000 individual / $8,000 family out-of-pocket maximum .
 - Speech Therapy: The plan has a $1,000 deductible per person, not to exceed $3,000 per family . Once the deductible is met, the copay is $10 per visit . The service applies to the plan's $4,000 individual / $8,000 family out-of-pocket maximum .
- Out-of-Network Provider
 - Physical Therapy: The plan has a $1,000 deductible per person, not to exceed $3,000 per family . Once the deductible is met, the coinsurance is 30% of the allowed amount . The service applies to the plan's $6,000 individual / $12,000 family out-of-pocket maximum . An out-of-network provider has the right to bill for the balance. What this means is that the member may be responsible for the difference between the allowed amount and billed amount.
 - Occupational Therapy: The plan has a $1,000 deductible per person, not to exceed $3,000 per family . Once the deductible is met, the coinsurance is 30% of the allowed amount . The service applies to the plan's $6,000 individual / $12,000 family out-of-pocket maximum . An out-of-network provider has the right to bill for the balance. What this means is that the member may be responsible for the difference between the allowed amount and billed amount.
 - Respiratory Therapy: The plan has a $1,000 deductible per person, not to exceed $3,000 per family . Once the deductible is met, the coinsurance is 30% of the allowed amount . The service applies to the plan's $6,000 individual / $12,000 family out-of-pocket maximum . An out-of-network provider has the right to bill for the balance. What this means is that the member may be responsible for the difference between the allowed amount and billed amount.
 - Speech Therapy: The plan has a $1,000 deductible per person, not to exceed $3,000 per family . Once the deductible is met, the coinsurance is 30% of the allowed amount . The service applies to the plan's $6,000 individual / $12,000 family out-of-pocket maximum . An out-of-network provider has the right to bill for the balance. What this means is that the member may be responsible for the difference between the allowed amount and billed amount.
Hospital outpatient rehabilitation
- In-Network Provider
 - Physical Therapy: The plan has a $1,000 deductible per person, not to exceed $3,000 per family . Once the deductible is met, the copay is $10 per visit . The service applies to the plan's $4,000 individual / $8,000 family out-of-pocket maximum .
 - Occupational Therapy: The plan has a $1,000 deductible per person, not to exceed $3,000 per family . Once the deductible is met, the copay is $10 per visit . The service applies to the plan's $4,000 individual / $8,000 family out-of-pocket maximum .
 - Respiratory Therapy: The plan has a $1,000 deductible per person, not to exceed $3,000 per family . Once the deductible is met, the copay is $10 per visit . The service applies to the plan's $4,000 individual / $8,000 family out-of-pocket maximum .
 - Speech Therapy: The plan has a $1,000 deductible per person, not to exceed $3,000 per family . Once the deductible is met, the copay is $10 per visit . The service applies to the plan's $4,000 individual / $8,000 family out-of-pocket maximum .
- Out-of-Network Provider
 - Physical Therapy: The plan has a $1,000 deductible per person, not to exceed $3,000 per family . Once the deductible is met, the coinsurance is 30% of the allowed amount . This plan has a maximum payable amount of up to $350 per day . This means the member would also be responsible for all charges above $350 per day. The service applies to the plan's $6,000 individual / $12,000 family out-of-pocket maximum . An out-of-network provider has the right to bill for the balance. What this means is that the member may be responsible for the difference between the allowed amount and billed amount.
 - Occupational Therapy: The plan has a $1,000 deductible per person, not to exceed $3,000 per family . Once the deductible is met, the coinsurance is 30% of the allowed amount . This plan has a maximum payable amount of up to $350 per day . This means the member would also be responsible for all charges above $350 per day. The service applies to the plan's $6,000 individual / $12,000 family out-of-pocket maximum . An out-of-network provider has the right to bill for the balance. What this means is that the member may be responsible for the difference between the allowed amount and billed amount.
 - Respiratory Therapy: The plan has a $1,000 deductible per person, not to exceed $3,000 per family . Once the deductible is met, the coinsurance is 30% of the allowed amount . This plan has a maximum payable amount of up to $350 per day . This means the member would also be responsible for all charges above $350 per day. The service applies to the plan's $6,000 individual / $12,000 family out-of-pocket maximum . An out-of-network provider has the right to bill for the balance. What this means is that the member may be responsible for the difference between the allowed amount and billed amount.
 - Speech Therapy: The plan has a $1,000 deductible per person, not to exceed $3,000 per family . Once the deductible is met, the coinsurance is 30% of the allowed amount . This plan has a maximum payable amount of up to $350 per day . This means the member would also be responsible for all charges above $350 per day. The service applies to the plan's $6,000 individual / $12,000 family out-of-pocket maximum . An out-of-network provider has the right to bill for the balance. What this means is that the member may be responsible for the difference between the allowed amount and billed amount.
Additional details
- These outpatient rehab services must be provided under a treatment plan and can continue as long as they are medically necessary .
- Physical therapy can include ultrasound, heat, range-of-motion testing, targeted exercise, and massage when it is part of a rehab treatment plan .
- Occupational therapy can include similar modalities, but testing for intelligence or learning disabilities is not covered .
- Speech therapy is covered for communication impairments, swallowing disorders, expressive or receptive language disorders, and abnormal delays in speech development .
</t>
  </si>
  <si>
    <t xml:space="preserve">Minera Response (Needs to be human validated)
“Outpatient cardiac rehabilitation” isn’t listed by name in this plan document, but it would generally fall under the plan’s outpatient rehabilitative services (e.g., outpatient physical/respiratory therapy), which are covered with a $40 copay per visit at an in-network (HMO) provider. Coverage is in-network only. 
Detailed Explanation:
HMO PCP/ Medical Group coordination disclaimer: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Trio: The patient does not need a referral for: Emergency Services; Urgent Services; Trio+ Specialist visits; OB/GYN services by an obstetrician, gynecologist, or family practice Physician within the patient's Medical Group; and Office visits with the patient's primary care physician (PCP). [1]
Outpatient rehabilitative services (best match for “outpatient cardiac rehabilitation”) [4][5][6][7]:
#### 1) Outpatient Rehabilitation — Occupational Therapy
In-Network Provider 
For in-network providers, [4] 
The plan has a $2,000 (Individual Facility) deductible per person, not to exceed $4,000 (Family Facility) per family. [2] 
However, Outpatient Rehabilitation — Occupational Therapy is not subject to the deductible. [4] 
The copay for Outpatient Rehabilitation — Occupational Therapy services is $40 per visit. [4] 
The service applies to the plan's out-of-pocket maximum amount of $5,500 per individual, not to exceed $11,000 per family. When the plan's out-of-pocket maximum amount is satisfied, the health plan will reimburse 100% of the allowed amount. [3][4] 
Additional details: [8] 
- Outpatient rehabilitative/habilitative services require a treatment plan prepared by a Physician or Health Care Provider. 
- Treatment must be provided by an appropriately-licensed or certified Health Care Provider. 
- Services can continue as long as treatment is Medically Necessary (the plan may periodically review for Medical Necessity). 
Out-of-Network Provider 
For out-of-network providers, the member is responsible for 100% of the provider's billed amount, as the plan only covers in-network providers. 
#### 2) Outpatient Rehabilitation — Physical Therapy
In-Network Provider 
For in-network providers, [5] 
The plan has a $2,000 (Individual Facility) deductible per person, not to exceed $4,000 (Family Facility) per family. [2] 
However, Outpatient Rehabilitation — Physical Therapy is not subject to the deductible. [5] 
The copay for Outpatient Rehabilitation — Physical Therapy services is $40 per visit. [5] 
The service applies to the plan's out-of-pocket maximum amount of $5,500 per individual, not to exceed $11,000 per family. When the plan's out-of-pocket maximum amount is satisfied, the health plan will reimburse 100% of the allowed amount. [3][5] 
Additional details: [8] 
- Outpatient rehabilitative/habilitative services require a treatment plan prepared by a Physician or Health Care Provider. 
- Treatment must be provided by an appropriately-licensed or certified Health Care Provider. 
- Services can continue as long as treatment is Medically Necessary (the plan may periodically review for Medical Necessity). 
Out-of-Network Provider 
For out-of-network providers, the member is responsible for 100% of the provider's billed amount, as the plan only covers in-network providers. 
#### 3) Outpatient Rehabilitation — Respiratory Therapy
In-Network Provider 
For in-network providers, [6] 
The plan has a $2,000 (Individual Facility) deductible per person, not to exceed $4,000 (Family Facility) per family. [2] 
However, Outpatient Rehabilitation — Respiratory Therapy is not subject to the deductible. [6] 
The copay for Outpatient Rehabilitation — Respiratory Therapy services is $40 per visit. [6] 
The service applies to the plan's out-of-pocket maximum amount of $5,500 per individual, not to exceed $11,000 per family. When the plan's out-of-pocket maximum amount is satisfied, the health plan will reimburse 100% of the allowed amount. [3][6] 
Additional details: [8] 
- Outpatient rehabilitative/habilitative services require a treatment plan prepared by a Physician or Health Care Provider. 
- Treatment must be provided by an appropriately-licensed or certified Health Care Provider. 
- Services can continue as long as treatment is Medically Necessary (the plan may periodically review for Medical Necessity). 
Out-of-Network Provider 
For out-of-network providers, the member is responsible for 100% of the provider's billed amount, as the plan only covers in-network providers. 
#### 4) Outpatient Rehabilitation — Speech Therapy
In-Network Provider 
For in-network providers, [7] 
The plan has a $2,000 (Individual Facility) deductible per person, not to exceed $4,000 (Family Facility) per family. [2] 
However, Outpatient Rehabilitation — Speech Therapy is not subject to the deductible. [7] 
The copay for Outpatient Rehabilitation — Speech Therapy services is $40 per visit. [7] 
The service applies to the plan's out-of-pocket maximum amount of $5,500 per individual, not to exceed $11,000 per family. When the plan's out-of-pocket maximum amount is satisfied, the health plan will reimburse 100% of the allowed amount. [3][7] 
Additional details: [8] 
- Outpatient rehabilitative/habilitative services require a treatment plan prepared by a Physician or Health Care Provider. 
- Treatment must be provided by an appropriately-licensed or certified Health Care Provider. 
- Services can continue as long as treatment is Medically Necessary (the plan may periodically review for Medical Necessity). 
Out-of-Network Provider 
For out-of-network providers, the member is responsible for 100% of the provider's billed amount, as the plan only covers in-network providers. 
</t>
  </si>
  <si>
    <t>Does my plan include benefits for outpatient occupational therapy after surgery?</t>
  </si>
  <si>
    <t xml:space="preserve">Brief Answer 
Yes. The plan includes benefits for outpatient occupational therapy, and it is covered under Category 1 (First Dollar Services). After surgery, outpatient OT would be covered under the plan’s Rehabilitative and Habilitative Services benefit, subject to any First Dollar Services rules.
──────────────────────────────────────────────────
Detailed Explanation
Outpatient occupational therapy (Rehabilitative and Habilitative Services):
In-Network Provider
For in-network providers: 
This is an active choice plan that allows you to use your First Dollar Services credit towards these services before any Deductible applies. Your credit is $850 for individual coverage, and $1,700 if you have family coverage. 
After the first $850 per Member or $1,700 per Family First Dollar Services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 has a $1,000 deductible per person, not to exceed $2,000 per family.  
The service applies to the plan's out-of-pocket maximum amount of $5,000, not to exceed $10,000 per family. 
When the plan's out-of-pocket maximum amount is satisfied, the health plan will reimburse 100% of the allowed amount.  
Additional details:
- These outpatient rehabilitative/habilitative services (including occupational therapy) are covered as long as the treatment is Medically Necessary and provided under a treatment plan prepared by the Member’s Physician or Health Care Provider. 
- Treatment must be provided by an appropriately licensed or certified Health Care Provider. 
- Blue Shield may periodically review the provider’s treatment plan and records for Medical Necessity. 
Out-of-Network Provider
An out-of-network provider has the right to bill for the balance. What this means is that the member may be responsible for the difference between the allowed amount and billed amount. 
This is an active choice plan that allows you to use your First Dollar Services credit towards these services before any Deductible applies. Your credit is $850 for individual coverage, and $1,700 if you have family coverage. 
After the first $850  per Member or $1,700 per Family First Dollar Services credit maximum is reached, you pay 100% of the Allowable Amount for any additional First Dollar Services until your Calendar Year Out-of-Pocket Maximum has 
been reached. 
Once your Calendar Year Out-of-Pocket Maximum amount has been reached, Blue Shield pays 100% of the Allowable Amount for subsequent services.
The plan has a $1,000 deductible per person, not to exceed $2,000 per family.  
The service applies to the plan’s out-of-pocket maximum of $10,000 individual / $20,000 family for non-participating providers .
When the plan's out-of-pocket maximum amount is satisfied, the health plan will reimburse 100% of the allowed amount.  
</t>
  </si>
  <si>
    <t>Does physical therapy include massage?</t>
  </si>
  <si>
    <t xml:space="preserve">Brief Answer 
Yes—massage can be covered when it’s performed as part of a rehabilitative or habilitative physical therapy treatment plan by a licensed/certified provider. Massage is not covered if it’s done as the only treatment or for someone with no complications.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Physical Therapy (Rehabilitative &amp; Habilitative Services):
In-Network Provider  
For in-network providers:  
the plan does not have a deductible.  
The copay for Physical Therapy services is $15.  
The service applies to the plan's out-of-pocket maximum amount of $1,500, not to exceed $3,000 per family. When the plan's out-of-pocket maximum amount is satisfied, the health plan will reimburse 100% of the allowed amount.  
Additional details: 
- Massage is covered only when performed as part of a rehabilitative/habilitative physical therapy treatment plan by a licensed or certified Health Care Provider.  
- Massage is not covered when performed as the solitary treatment or when prescribed to an individual who presents with no complications.  
Out-of-Network Provider 
For out-of-network providers, the member is responsible for 100% of the provider's billed amount, as the plan only covers in-network providers.
</t>
  </si>
  <si>
    <t>How many physical therapy sessions will my plan cover per year?</t>
  </si>
  <si>
    <t xml:space="preserve">Brief Answer 
The plan document does not list a specific annual visit limit for physical therapy, so there is no stated “X visits per year” cap in the benefits shown. Physical therapy is covered with cost share that varies by place of service (office vs outpatient facility).
──────────────────────────────────────────────────
Detailed Explanation
Physical Therapy — In Office (Office Location):
In-Network Provider 
For in-network providers: 
the plan has a $250 deductible per person, not to exceed $750 per family.  
Physical therapy is subject to this deductible. Once the deductible is met,  
The copay for Physical Therapy Office services is $25.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Physical therapy is subject to this deductible. Once the deductible is met,  
The coinsurance is 40% of the allowed amount, and the plan will reimburse the remaining 60% of the allowed amount for Physical Therapy Office.  
The service applies to the plan's out-of-pocket maximum amount of $7,750, not to exceed $15,500 per family. When the plan's out-of-pocket maximum amount is satisfied, the health plan will reimburse 100% of the allowed amount.  
Physical Therapy — Outpatient Rehabilitation (Outpatient Facility):
In-Network Provider 
For in-network providers: 
the plan has a $250 deductible per person, not to exceed $750 per family.  
Physical therapy is subject to this deductible. Once the deductible is met,  
The copay for Physical Therapy Outpatient Facility services is $25.  
The service applies to the plan's out-of-pocket maximum amount of $3,750, not to exceed $7,500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Physical therapy is subject to this deductible. Once the deductible is met,  
The coinsurance is 40% of the allowed amount, and the plan will reimburse the remaining 60% of the allowed amount for Physical Therapy Outpatient Facility.  
The service applies to the plan's out-of-pocket maximum amount of $7,750, not to exceed $15,500 per family. When the plan's out-of-pocket maximum amount is satisfied, the health plan will reimburse 100% of the allowed amount.  
This plan has a maximum payable amount of up to $350 per day. This means the member would also be responsible for all charges above $350 per day.  
</t>
  </si>
  <si>
    <t>Is coverage available for home-based physical therapy?</t>
  </si>
  <si>
    <t xml:space="preserve">Brief Answer 
Yes—home-based physical therapy can be covered when provided as part of Home Health Services through a Participating (in-network) home health care agency and under a physician-approved treatment plan. Out-of-network home health services are not covered under this plan.
──────────────────────────────────────────────────
Detailed Explanation
Home Health Services (Home health care agency services — includes PT in the home):
#### In-Network Provider
For in-network providers: 
the plan has a $750 deductible per person, not to exceed $2,250 per family.  
Home health care is subject to this deductible. Once the deductible is met,  
The coinsurance is 20% of the allowed amount, and the plan will reimburse the remaining 80% of the allowed amount for Home health care.  
The service applies to the plan's out-of-pocket maximum amount of $5,250, not to exceed $10,500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Covered home health agency skilled services may include care from physical therapists (as well as RNs, LVNs, occupational therapists, speech-language pathologists, licensed clinical social workers, and home health aides).  
- Services must be received in the home and be under a written treatment plan approved by the Member’s physician.  
- “Intermittent” home care means: fewer than 7 days per week, or daily for fewer than 8 hours per day (up to 21 days).  
- Visit structure for skilled providers (including PT): up to 4 visits/day, 2 hours max per visit; a visit of 2 hours or less counts as 1 visit.  
- Nursing visits cannot be combined to provide continuous nursing (“private duty nursing/shift care”), which is not covered. 
#### Out-of-Network Provider
For out-of-network providers:
An out-of-network provider has the right to bill for the balance. What this means is that the member may be responsible for the difference between the allowed amount and billed amount. 
Home health care is not covered for out-of-network (Non-Participating) providers. 
</t>
  </si>
  <si>
    <t>Is coverage available for outpatient lymphedema therapy?</t>
  </si>
  <si>
    <t xml:space="preserve">Brief Answer 
Yes—outpatient lymphedema therapy would fall under the plan’s Rehabilitative and Habilitative Services (e.g., outpatient physical/occupational therapy). In-network outpatient rehab visits have a $40 copay per visit and apply to the plan’s out-of-pocket maximum.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Outpatient Rehabilitative &amp; Habilitative Services (used for lymphedema therapy):
In-Network Provider 
For in-network providers:  
the plan has a $2,000 deductible per person, not to exceed $4,000 per family.  
However, Outpatient Rehabilitation – Physical Therapy is not subject to the deductible.  
The copay for Outpatient Rehabilitation – Physical Therapy services is $40.  
The service applies to the plan's out-of-pocket maximum amount of $5,500, not to exceed $11,000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&gt; Note: The plan document does not list “lymphedema therapy” by name, but it is typically billed as outpatient physical therapy and/or occupational therapy, which is covered under Rehabilitative and Habilitative Services. 
──────────────────────────────────────────────────
</t>
  </si>
  <si>
    <t>My son's pediatrician is recommending speech therapy, what will that cost?</t>
  </si>
  <si>
    <t xml:space="preserve">Brief Answer 
For speech therapy, the plan shows a $30 copay per visit (in-network), and it applies to the plan’s out-of-pocket maximum. Coverage is through the HMO network only—out-of-network is not covered.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Speech Therapy (Rehabilitative &amp; Habilitative Services):
#### Outpatient facility (e.g., hospital outpatient department)
In-Network Provider 
For in-network providers:  
the plan does not have a deductible.  
The copay for Outpatient Rehabilitation - Speech Therapy services is $30.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 Office setting
In-Network Provider 
For in-network providers:  
the plan does not have a deductible.  
The copay for In Office Rehabilitation - Speech Therapy services is $30.  
The service applies to the plan's out-of-pocket maximum amount of $4,000, not to exceed $8,000 per family. When the plan's out-of-pocket maximum amount is satisfied, the health plan will reimburse 100% of the allowed amount. 
Out-of-Network Provider 
For out-of-network providers, the member is responsible for 100% of the provider's billed amount, as the plan only covers in-network providers. 
Additional details (from the plan’s Speech Therapy description):  
- Speech therapy is covered as an outpatient rehabilitative/habilitative service. 
- It must be provided under a treatment plan prepared by the Physician or Health Care Provider. 
- Treatment must be provided by an appropriately-licensed or certified Health Care Provider. 
- Coverage continues as long as treatment is Medically Necessary (Blue Shield may periodically review the treatment plan/records for Medical Necessity).
</t>
  </si>
  <si>
    <t>Benefit Category: Speech Therapy
In Office Rehabilitation OR Outpatient Rehabilitation
HMO Provider: $15 per visit, Subject to Deductible – No, Applies to Annual Copay Max – Yes
OOPM HMO Provider: 2,500 ind/ $5,000 fam</t>
  </si>
  <si>
    <t>Tell me about how my respiratory therapy benefits.</t>
  </si>
  <si>
    <t xml:space="preserve">Brief Answer 
Respiratory therapy is covered under the plan’s Rehabilitative and Habilitative Services benefits. In-network respiratory therapy has a $30 copay per visit, and there are separate benefit lines depending on whether it’s done in an office or an outpatient facility.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A) Respiratory Therapy — Office setting (Rehabilitative &amp; Habilitative Services &gt; In Office Rehabilitation):
In-Network Provider 
For in-network providers:  
The plan does not have a deductible.  
The copay for In Office Rehabilitation - Respiratory Therapy services is $30.  
The service applies to the plan's out-of-pocket maximum amount of $4,000, not to exceed $8,000 per family. When the plan's out-of-pocket maximum amount is satisfied, the health plan will reimburse 100% of the allowed amount. 
Additional details: 
- Coverage is for outpatient rehabilitative and habilitative services (including respiratory therapy) when Medically Necessary.  
- A Physician or Health Care Provider must prepare a treatment plan, and services must be provided by an appropriately-licensed or certified provider.  
- Blue Shield may periodically review the treatment plan and records for Medical Necessity. 
Out-of-Network Provider 
For out-of-network providers, the member is responsible for 100% of the provider's billed amount, as the plan only covers in-network providers.
──────────────────────────────────────────────────
B) Respiratory Therapy — Outpatient facility (Rehabilitative &amp; Habilitative Services &gt; Outpatient Rehabilitation):
In-Network Provider 
For in-network providers:  
The plan does not have a deductible.  
The copay for Outpatient Rehabilitation - Respiratory Therapy services is $30.  
The service applies to the plan's out-of-pocket maximum amount of $4,000, not to exceed $8,000 per family. When the plan's out-of-pocket maximum amount is satisfied, the health plan will reimburse 100% of the allowed amount. 
Additional details: 
- Coverage is for outpatient rehabilitative and habilitative services (including respiratory therapy) when Medically Necessary.  
- A Physician or Health Care Provider must prepare a treatment plan, and services must be provided by an appropriately-licensed or certified provider.  
- Blue Shield may periodically review the treatment plan and records for Medical Necessity. 
Out-of-Network Provider 
For out-of-network providers, the member is responsible for 100% of the provider's billed amount, as the plan only covers in-network providers.
</t>
  </si>
  <si>
    <t xml:space="preserve">Removed However, In Office Rehabilitation - Respiratory Therapy is not subject to the deductible.  
However, Outpatient Rehabilitation - Respiratory Therapy is not subject to the deductible.  </t>
  </si>
  <si>
    <t>What are the benefits for occupational therapy?</t>
  </si>
  <si>
    <t xml:space="preserve">Brief Answer 
Occupational therapy is covered both in an office setting and as an outpatient facility service. In-network cost share is $10 per visit (Level 1 HMO Provider) or 20% coinsurance (Level 2 PPO Provider; deductible applies), depending on the provider/network level.
──────────────────────────────────────────────────
Detailed Explanation
Occupational Therapy — In Office Rehabilitation:
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There is no deductible and you have a $10 per visit cost share.
For Level 2 PPO in-network providers, you may access services without a referral. The plan has a $500 deductible per person, not to exceed $1,000 per family. Once the deductible is met, the plan will reimburse the provider 80% of the allowed amount for Occupational Therapy.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Occupational Therapy.
The service applies to the plan's out-of-pocket maximum amount of $5,500, not to exceed $16,000 per family. When the plan's out-of-pocket maximum amount is satisfied, the health plan will reimburse 100% of the allowed amount.  
──────────────────────────────────────────────────
Occupational Therapy — Outpatient Rehabilitation (Outpatient Facility):
This Plan uses a specific network of Health Care Providers, called the POS Added Advantage provider network. This Plan provides benefits at three different levels.
For Level 1 HMO in-network providers,  services must be provided or prior authorized by your primary care physician (PCP) or assigned medical group / IPA.  There is no deductible and you have a $10 per visit cost share.
For Level 2 PPO in-network providers, you may access services without a referral. The plan has a $500 deductible per person, not to exceed $1,000 per family.  Once the deductible is met, the plan will reimburse the provider 80% of the allowed amount for Occupational Therapy. The member's responsibility is 20% of the allowed amount which applies to the out of pocket maximum of $3,500 per individual and $10,000 per family.
For Level 3 out-of-network or non-participaing providers, services are covered at a higher cost share. An out-of-network provider has the right to bill for the balance. What this means is that the member may be responsible for the difference between the allowed amount and billed amount. 
The plan has a $500 deductible per person, not to exceed $1,000 per family.  
Once the deductible is met, the coinsurance is 40% of the allowed amount, and the plan will reimburse the remaining 60% of the allowed amount for Occupational Therapy. 
This plan has a maximum payable amount of up to $350 per day. This means the member would also be responsible for all charges above $350 per day.
The service applies to the plan's out-of-pocket maximum amount of $5,500, not to exceed $16,000 per family. When the plan's out-of-pocket maximum amount is satisfied, the health plan will reimburse 100% of the allowed amount.  
</t>
  </si>
  <si>
    <t>What is the coinsurance for outpatient physical therapy?</t>
  </si>
  <si>
    <t xml:space="preserve">Brief Answer 
For outpatient physical therapy (facility/outpatient setting), the plan shows an in-network copay of $10 per visit (not coinsurance). Out-of-network is 30% coinsurance (and balance billing may apply).
──────────────────────────────────────────────────
Detailed Explanation
Outpatient Physical Therapy (Outpatient facility):
In-Network Provider 
For in-network providers: 
the plan has a $250 deductible per person, not to exceed $750 per family.  
Physical Therapy is subject to this deductible. Once the deductible is met,  
The copay for Physical Therapy services is $10.  
The service applies to the plan's out-of-pocket maximum amount of $2,750, not to exceed $5,500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Physical Therapy is subject to this deductible. Once the deductible is met,  
The coinsurance is 30% of the allowed amount, and the plan will reimburse the remaining 70% of the allowed amount for Physical Therapy.  
The service applies to the plan's out-of-pocket maximum amount of $5,250, not to exceed $10,500 per family. When the plan's out-of-pocket maximum amount is satisfied, the health plan will reimburse 100% of the allowed amount. 
</t>
  </si>
  <si>
    <t>I just had shoulder surgery to repair my rotator cuff. The doctor said I will need to go to physical therapy in a couple weeks. Do you cover that?</t>
  </si>
  <si>
    <t>Brief Answer 
Yes—physical therapy is covered under this PPO plan. Your cost share depends on where the therapy is performed (in an office vs. outpatient facility), and both options are subject to the medical deductible.
──────────────────────────────────────────────────
Detailed Explanation
Physical Therapy (Outpatient Rehabilitative Services):
#### A) In Office Rehabilitation – Physical Therapy
In-Network Provider 
For in-network providers: 
the plan has a $2,500 deductible per person, not to exceed $5,000 per family.  
Physical Therapy Office is subject to this deductible. Once the deductible is met,  
The copay for Physical Therapy Office services is $25.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Physical Therapy Office is subject to this deductible. Once the deductible is met,  
The coinsurance is 50% of the allowed amount, and the plan will reimburse the remaining 50% of the allowed amount for Physical Therapy Office.  
The service applies to the plan's out-of-pocket maximum amount of $10,500, not to exceed $21,000 per family. When the plan's out-of-pocket maximum amount is satisfied, the health plan will reimburse 100% of the allowed amount. 
#### B) Outpatient Rehabilitation – Physical Therapy (Outpatient Facility)
In-Network Provider 
For in-network providers: 
the plan has a $2,500 deductible per person, not to exceed $5,000 per family.  
Physical Therapy Outpatient Facility is subject to this deductible. Once the deductible is met,  
The copay for Physical Therapy Outpatient Facility services is $25.  
The service applies to the plan's out-of-pocket maximum amount of $6,850, not to exceed $13,700 per family. When the plan's out-of-pocket maximum amount is satisfied, the health plan will reimburse 100% of the allowed amount. 
Out-of-Network Provider 
For out-of-network providers: 
An out-of-network provider has the right to bill for the balance. What this means is that the member may be responsible for the difference between the allowed amount and billed amount. 
the plan has a $2,500 deductible per person, not to exceed $5,000 per family.  
Physical Therapy Outpatient Facility is subject to this deductible. Once the deductible is met,  
The coinsurance is 50% of the allowed amount, and the plan will reimburse the remaining 50% of the allowed amount for Physical Therapy Outpatient Facility.  
The service applies to the plan's out-of-pocket maximum amount of $10,500, not to exceed $21,000 per family. When the plan's out-of-pocket maximum amount is satisfied, the health plan will reimburse 100% of the allowed amount.  
This plan has a maximum payable amount of up to $350 per day. This means the member would also be responsible for all charges above $350 per day. 
────────────────────────────────────────────────</t>
  </si>
  <si>
    <t>My son's school recommends we consult with a speech therapist. Does my health plan cover that?</t>
  </si>
  <si>
    <t xml:space="preserve">Brief Answer 
Yes—speech therapy is covered under this plan when it’s outpatient rehabilitative/habilitative speech therapy. The cost share depends on where the therapy is performed (office vs. outpatient facility). 
──────────────────────────────────────────────────
Detailed Explanation
Speech Therapy (Outpatient Rehabilitative &amp; Habilitative Services):
#### In-Network Provider
For in-network providers: 
the plan has a $500 deductible per person, not to exceed $1,500 per family.  
Speech Therapy (Office) is subject to this deductible. Once the deductible is met, 
The copay for Speech Therapy (Office) services is $20.  
The service applies to the plan's out-of-pocket maximum amount of $3,000, not to exceed $6,000 per family. When the plan's out-of-pocket maximum amount is satisfied, the health plan will reimburse 100% of the allowed amount. 
For in-network providers: 
the plan has a $500 deductible per person, not to exceed $1,500 per family.  
Speech Therapy (Outpatient Facility) is subject to this deductible. Once the deductible is met, 
The copay for Speech Therapy (Outpatient Facility) services is $20.  
The service applies to the plan's out-of-pocket maximum amount of $3,000, not to exceed $6,000 per family. When the plan's out-of-pocket maximum amount is satisfied, the health plan will reimburse 100% of the allowed amount. 
Additional details:
- Coverage is for outpatient rehabilitative and habilitative services, including speech therapy, when Medically Necessary.  
- A Physician or Health Care Provider must prepare a treatment plan, and treatment must be provided by an appropriately licensed/certified provider.  
- Blue Shield may periodically review the treatment plan/records for Medical Necessity.  
- The plan notes that testing for intelligence or learning disabilities is not covered (this is mentioned under the occupational therapy description within the same section). 
#### Out-of-Network Provider
For out-of-network providers: 
An out-of-network provider has the right to bill for the balance. What this means is that the member may be responsible for the difference between the allowed amount and billed amount.
──────────────────────────────────────────────────
</t>
  </si>
  <si>
    <t>I'm recovering from an accident and my doctor is recommending I have in home occupational therapy. How does my health plan cover that?</t>
  </si>
  <si>
    <t>Brief Answer 
In-home occupational therapy would fall under the plan’s Home Health Services (Home health care) benefit when it’s provided by a Participating (in-network) home health care agency under a physician-approved treatment plan. For in-network, it is 20% coinsurance (and it is subject to the medical deductible) with a 100 visits per member per calendar year limit.
──────────────────────────────────────────────────
Detailed Explanation
Home Health Services (Home health care) — In-home occupational therapy (Home health agency):
In-Network Provider 
For in-network providers: 
the plan has a $750 deductible per person, not to exceed $2,250 per family.  
Home Health Services (Home health care) is subject to this deductible. Once the deductible is met,  
The coinsurance is 20% of the allowed amount, and the plan will reimburse the remaining 80% of the allowed amount for Home Health Services (Home health care).  
The service applies to the plan's out-of-pocket maximum amount of $6,250, not to exceed $12,500 per family. When the plan's out-of-pocket maximum amount is satisfied, the health plan will reimburse 100% of the allowed amount.  
This plan has a limit of Up to a maximum of 100 visits per member per calendar year by home health care agency providers. If your Plan has a Calendar Year medical Deductible, the number of visits start counting toward the maximum when Services are first provided even if the Calendar Year medical Deductible has not been met. 
Additional details:  
- Services must be provided in the home under a written treatment plan approved by the physician. 
- Covered skilled provider types can include occupational therapists (as part of home health agency services). 
- “Intermittent home care” is defined as: fewer than seven days per week, or daily for fewer than eight hours per day, up to 21 days. 
- For OT (and other skilled disciplines listed in the EOC), coverage includes up to four visits per day, two hours maximum per visit; a visit of two hours or less counts as one visit. 
- Home Health Aide visits have a different definition (up to four hours max per visit; four hours or less counts as one visit). 
- Private duty nursing/continuous nursing (“shift care”) is not covered under Home Health Services.
Out-of-Network Provider 
For out-of-network providers: 
An out-of-network provider has the right to bill for the balance. What this means is that the member may be responsible for the difference between the allowed amount and billed amount. 
Not Covered (the member would be responsible for 100% of the billed amount). 
────────────────────────────────────────────────</t>
  </si>
  <si>
    <t>Skilled Nursing Facility (SNF) services</t>
  </si>
  <si>
    <t>SNF</t>
  </si>
  <si>
    <t>Can you help me understand the insurance coverage for skilled nursing facility?</t>
  </si>
  <si>
    <t>Brief Answer 
Yes. Under this PPO plan, skilled nursing facility (SNF) care is covered with 20% coinsurance in-network (and 40% coinsurance out-of-network) and is subject to the medical deductible. The plan also has a 100-day maximum per member per calendar year for skilled nursing services.
──────────────────────────────────────────────────
Detailed Explanation
Skilled Nursing Facility (SNF) services (Freestanding SNF + Hospital Skilled Nursing Unit):
For in-network providers: 
the plan has a $750 deductible per person, not to exceed $2,250 per family.  
Skilled nursing care is subject to this deductible. Once the deductible is met,  
The coinsurance is 20% of the allowed amount, and the plan will reimburse the remaining 80% of the allowed amount for skilled nursing care.  
The service applies to the plan's out-of-pocket maximum amount of $6,250, not to exceed $12,500 per family. When the plan's out-of-pocket maximum amount is satisfied, the health plan will reimburse 100% of the allowed amount.  
This plan has a limit of Up to a maximum of 100 days per member per calendar year except when received through a Hospice Program provided by a Participating Hospice Agency. This day maximum is a combined Benefit maximum for all skilled nursing services whether rendered in a Hospital or a free- standing Skilled Nursing Facility. If your Plan has a Calendar Year medical Deductible, the number of days start counting toward the maximum when Services are first provided even if the Calendar Year medical Deductible has not been met.  
For out-of-network providers: 
An out-of-network provider has the right to bill for the balance. What this means is that the member may be responsible for the difference between the allowed amount and billed amount. 
the plan has a $750 deductible per person, not to exceed $2,250 per family.  
Skilled nursing care is subject to this deductible. Once the deductible is met,  
The coinsurance is 40% of the allowed amount, and the plan will reimburse the remaining 60% of the allowed amount for skilled nursing care.  
The service applies to the plan's out-of-pocket maximum amount of $10,750, not to exceed $21,500 per family. When the plan's out-of-pocket maximum amount is satisfied, the health plan will reimburse 100% of the allowed amount.  
This plan has a limit of Up to a maximum of 100 days per member per calendar year except when received through a Hospice Program provided by a Participating Hospice Agency. This day maximum is a combined Benefit maximum for all skilled nursing services whether rendered in a Hospital or a free- standing Skilled Nursing Facility. If your Plan has a Calendar Year medical Deductible, the number of days start counting toward the maximum when Services are first provided even if the Calendar Year medical Deductible has not been met.  
Additional details:
- SNF benefits must be prior authorized.  
- The plan describes the benefit period as beginning on the admission date and ending 60 days after discharge or when skilled nursing services stop; a new benefit period can begin only after the existing one ends.  
- Coverage includes treatment in a hospital skilled nursing unit, a freestanding SNF, and subacute care level.  
- The EOC states the plan does not cover domiciliary care or custodial care (but does cover assistance with activities of daily living when it’s incidental to covered SNF services).  
──────────────────────────────────────────────────
Sources &amp; Citations
--- TABLE ---
Ref | Benefit/Service | Cost Share | Source
 | Medical Deductible | $750 individual / $2,250 family (Combined) | planCostShares &gt; (costShareType: “Medical Deductible”) &gt; providerCostShares &gt; coveredParties
 | Skilled nursing care (Freestanding SNF) – In-Network | 20% Coinsurance, Limit: 100 days per member per calendar year, subject to deductible, OOPM applies | eocCategories &gt; Skilled Nursing Facility (SNF) services &gt; Freestanding Skilled Nursing Facility &gt; Skilled nursing care &gt; providerCostShares (Participating Provider)
 | Out-of-Pocket Maximum (OOPM) | $6,250 / $12,500 in-network; $10,750 / $21,500 out-of-network | planCostShares &gt; (costShareType: “OOP Maximum”) &gt; providerCostShares &gt; coveredParties
 | Skilled nursing care (Freestanding SNF) – Out-of-Network | 40% Coinsurance, Limit: 100 days per member per calendar year, subject to deductible, OOPM applies | eocCategories &gt; Skilled Nursing Facility (SNF) services &gt; Freestanding Skilled Nursing Facility &gt; Skilled nursing care &gt; providerCostShares (Non-Participating Provider)
 | SNF narrative rules (prior auth, benefit period, coverage scope, exclusions) | N/A | eocCategories &gt; Skilled Nursing Facility (SNF) services &gt; content</t>
  </si>
  <si>
    <t>Transplant Services</t>
  </si>
  <si>
    <t>Hospital facility services
Professional physician services</t>
  </si>
  <si>
    <t>I will need a kidney transplant. I need to understand how my insurance covers that?</t>
  </si>
  <si>
    <t xml:space="preserve">Brief Answer 
This plan covers kidney transplant services, but costs depend on whether the services are facility (hospital) vs professional (physicians), and whether they are inpatient vs outpatient. Because this is an HMO (Local Access+) plan, the Member generally must use in-network providers/medical group for coverage.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Kidney Transplant (Transplant Services):
A) Facility services (Hospital / transplant facility):
In-Network Provider 
For in-network providers:  
the plan has a $1,500 deductible per person, not to exceed $3,000 per family.  
Transplant services &gt; Hospital facility services: is subject to this deductible. Once the deductible is met,  
The coinsurance is 10% of the allowed amount, and the plan will reimburse the remaining 90% of the allowed amount for Transplant services &gt; Hospital facility services.  
The service applies to the plan's out-of-pocket maximum amount of $2,500, not to exceed $5,000 per family. When the plan's out-of-pocket maximum amount is satisfied, the health plan will reimburse 100% of the allowed amount. 
Additional details (travel reimbursement):
- The plan notes the Member *may* be eligible for travel expense reimbursement for transplant services (pre-op/post-op visits) if they live at least 100 miles from the nearest transplant services Participating Provider.  
- Maximum travel reimbursement: $5,000 per Member, per lifetime.  
- Reimbursable items may include transportation, hotel (up to $200/day for 1 double-occupancy room), and meals (up to $100/day). 
Out-of-Network Provider 
For out-of-network providers, the member is responsible for 100% of the provider's billed amount, as the plan only covers in-network providers.
──────────────────────────────────────────────────
B) Professional physician services (surgeon/physician fees):
In-Network Provider 
For in-network providers:  
the plan has a $1,500 deductible per person, not to exceed $3,000 per family.  
However, Transplant services &gt; Professional physician services is not subject to the deductible.  
The plan will reimburse the provider 100% of the allowed amount for Transplant services &gt; Professional physician services. 
Out-of-Network Provider 
For out-of-network providers, the member is responsible for 100% of the provider's billed amount, as the plan only covers in-network providers.
──────────────────────────────────────────────────
C) Related fees to expect (important for transplant):
In addition to the hospital bill, the member can expect related professional fees for services like surgery, anesthesia, and diagnostic testing (radiological, pathology, or laboratory). 
──────────────────────────────────────────────────
Donor-related services (living donor / transplant bank):
The plan states transplant benefits include coverage for donation-related services for a living donor (including a potential donor) or a transplant organ bank, as long as the donor services are directly related to a covered transplant for a Member of this plan. 
</t>
  </si>
  <si>
    <t>Urgent Care 
Blue Card</t>
  </si>
  <si>
    <t>I’m traveling out of state – will my health insurance cover me if I need to see a doctor or go to an urgent care while away from home?</t>
  </si>
  <si>
    <t xml:space="preserve">Brief Answer
Members who experience an Emergency Medical Condition or a Psychiatric Emergency Medical Condition while traveling outside of California should seek immediate care from the nearest Hospital. The Benefits of this plan will be provided anywhere in the world for treatment of an Emergency Medical Condition or a Psychiatric Emergency Medical Condition.
In-Network Freestanding outpatient facility
The member has a $20 copay for services.  There is a deductible of $1500 per person not to exceed $3000 per family.  However these services are not subject to the deductible.  The services do apply to the Out of pocket maximim of $5500 per person not to exceed $11000 per family.  Once the out of pocket maximum is met, the services will be covered at 100% of the allowed amount.
Non Participating Providers:  There is a deductible of $3000 per person not to exceed $6000 per family.  Once the deductible has been met, the members coinsurance is 40%.  The services do apply to the Out of pocket maximim of $10000 per person not to exceed $20000 per family.  Once the out of pocket maximum is met, the services will be covered at 100% of the allowed amount.
Under the BlueCard® Program, benefits will be provided for Covered Benefits received outside of California, but within the BlueCard® Service Area. When you receive Covered Benefits within the geographic area served by a Host Blue, Blue Shield will remain responsible for doing what we agreed to in the contract. However, the Host Blue is responsible for contracting with and generally handling all interactions with its participating healthcare providers, including direct payment to the provider.
Whenever you receive Covered Benefits outside of California, within the BlueCard Service Area, and the claim is processed through the BlueCard® Program, your Member share of cost for these services, if not a flat dollar Copayment, is calculated based on the lower of:
The billed charges for Covered Benefits; or
The negotiated price that the Host Blue makes available to Blue Shield.
Often, this negotiated price will be a simple discount that reflects an actual price that the Host Blue pays to your healthcare provider. Sometimes, it is an estimated price that takes into account special arrangements with your healthcare provider or provider group that may include types of settlements, incentive payments, and/or other credits or charges. Occasionally, it may be an average price, based on a discount that results in expected average savings for similar types of healthcare providers after taking into account the same types of transactions as with an estimated price.
Estimated pricing and average pricing, going forward, also take into account adjustments to correct for over- or underestimation of modifications of past pricing of claims as noted above. However, such adjustments will not affect the price Blue Shield used for your claim because these adjustments will not be applied retroactively to claims already paid.
To find participating BlueCard® providers you can call BlueCard Access® at 1-800-810-BLUE (2583) or go online at bcbs.com and select “Find a Doctor.” 
Prior authorization may be required for non-emergency services. Please see the Medical Management Programs section for additional information on prior authorization and the Emergency Benefits section for information on emergency admission notification.
Non-participating providers outside of California
When Covered Benefits are provided outside of California and within the BlueCard® Service Area by non-participating providers, the amount you pay for such services will normally be based on either the Host Blue’s non-participating provider local payment, the Allowable Amount Blue Shield pays a Non-Participating Provider in California if the Host Blue has no non-participating provider allowance, or the pricing arrangements required by applicable state or federal law. In these situations, you will be responsible for any difference between the amount that the non-participating provider bills and the payment Blue Shield will make for Covered Benefits as set forth in this paragraph. 
If you do not see a participating provider through the BlueCard® Program, you will have to pay the entire bill for your medical care and submit a claim to the local Blue Cross and/or Blue Shield plan, or to Blue Shield of California for reimbursement. Blue Shield will review your claim and notify you of its coverage determination within 30 days after receipt of the claim; you will be reimbursed as described in the preceding paragraph. Remember, your share of cost is higher when you see a non-participating provider.
Your Cost Share for out-of-network Emergency Services will be the same as the amount due to a Participating Provider for such Covered Benefits, as listed in the Summary of Benefits. </t>
  </si>
  <si>
    <t>Incorrect Deductible</t>
  </si>
  <si>
    <t>Corrected OutofNetwork Deductibles</t>
  </si>
  <si>
    <t>Urgent Care Services</t>
  </si>
  <si>
    <t>Are urgent care visits covered at out-of-network facilities?</t>
  </si>
  <si>
    <t>Brief Answer 
For this HMO (Access+) plan, urgent care is covered in-network, but out-of-network urgent care is not covered—the member would be responsible for 100% of the billed amount.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Urgent Care (Freestanding):
In-Network Provider 
For in-network providers: 
- the plan has a $1,500 deductible per person, not to exceed $3,000 per family.  
- However, Urgent Care - Freestanding Outpatient Facility Services is not subject to the deductible. Once the deductible is met,  
- The copay for Urgent Care - Freestanding Outpatient Facility Services services is $20.  
- The service applies to the plan's out-of-pocket maximum amount of $3,000, not to exceed $6,000 per family. When the plan's out-of-pocket maximum amount is satisfied, the health plan will reimburse 100% of the allowed amount.  
-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Out-of-Network Provider 
For out-of-network providers, the member is responsible for 100% of the provider's billed amount, as the plan only covers in-network providers.
──────────────────────────────────────────────────
Sources &amp; Citations
--- TABLE ---
Ref | Benefit/Service | Cost Share | Source
 | Medical Deductible (Facility) | $1,500 individual / $3,000 family | planCostShares &gt; (costShareType: “Medical Deductible”) &gt; providerCostShares (HMO Provider) &gt; coveredParties
 | Urgent Care – Freestanding Outpatient Facility Services | $20 copay per visit; subjectToDeductible: false | eocCategories &gt; Urgent Care Services &gt; Urgent Care &gt; Freestanding outpatient facility &gt; providerCostShares (HMO Provider)
 | Out-of-Pocket Maximum | $3,000 individual / $6,000 family | planCostShares &gt; (costShareType: “OOP Maximum”) &gt; providerCostShares (HMO Provider) &gt; coveredParties
 | Urgent care access rules (HMO service area vs outside medical group area) | N/A | eocCategories &gt; Urgent Care Services &gt; content</t>
  </si>
  <si>
    <t>I think broke my wrist, how much will I pay if I go to an urgent care center?</t>
  </si>
  <si>
    <t>Brief Answer 
For an urgent care center visit on this Access+ HMO plan, the cost share is $20 per visit (both the urgent care facility and the urgent care professional services). This urgent care cost share applies to the plan’s out-of-pocket maximum.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Urgent Care Center Visit (Freestanding):
#### In-Network Provider
For in-network providers:  
the plan has a $1,500 deductible per person, not to exceed $3,000 per family.  
However, Urgent Care - Freestanding Outpatient Facility Services is not subject to the deductible.  
The copay for Urgent Care - Freestanding Outpatient Facility Services services is $20.  
The service applies to the plan's out-of-pocket maximum amount of $3,000, not to exceed $6,000 per family. When the plan's out-of-pocket maximum amount is satisfied, the health plan will reimburse 100% of the allowed amount. 
Also billed at urgent care (professional services) — In-Network Provider 
For in-network providers:  
the plan has a $1,500 deductible per person, not to exceed $3,000 per family.  
However, Urgent Care - Freestanding Professional Services is not subject to the deductible.  
The copay for Urgent Care - Freestanding Professional Services services is $20.  
The service applies to the plan's out-of-pocket maximum amount of $3,000, not to exceed $6,000 per family. When the plan's out-of-pocket maximum amount is satisfied, the health plan will reimburse 100% of the allowed amount. 
#### Out-of-Network Provider
For out-of-network providers, the member is responsible for 100% of the provider's billed amount, as the plan only covers in-network providers. 
────────────────────────────────────────────────</t>
  </si>
  <si>
    <t>Hearing Aids</t>
  </si>
  <si>
    <t>Do I have coverage for hearing aids?</t>
  </si>
  <si>
    <t>Brief Answer 
No — this plan’s hearing aid exam and hearing aid equipment/supplies are not covered, so the member would be responsible for 100% of the billed amount.
──────────────────────────────────────────────────
Detailed Explanation
Hearing Aid Services (Hearing Aid Exam + Hearing Aid Equipment/Supplies):
In-Network Provider 
The Hearing Aid Examination for evaluation and/or fitting of hearing aids is not a benefit of this health plan. The member would be responsible for 100% of the billed amount.  
Ancillary Equipment and Supplies for Hearing Aid - Professional is not a benefit of this health plan. The member would be responsible for 100% of the billed amount.  
Hearing Aid Instrument – Monaural or Binaural, including ear mold(s), the initial battery, and cords - Professional is not a benefit of this health plan. The member would be responsible for 100% of the billed amount. 
Out-of-Network Provider 
For out-of-network providers, the member is responsible for 100% of the provider's billed amount, as the plan only covers in-network providers.
──────────────────────────────────────────────────
Sources &amp; Citations
--- TABLE ---
Ref | Benefit/Service | Cost Share | Source
 | Hearing Aid Examination for evaluation and/or fitting of hearing aids | Not Covered | eocCategories &gt; Hearing Aid Services &gt; Hearing Aid Exam &gt; Hearing Aid Examination for evaluation and/or fitting of hearing aids &gt; providerCostShares (HMO Provider) &gt; costShareText
 | Ancillary Equipment and Supplies for Hearing Aid | Not Covered | eocCategories &gt; Hearing Aid Services &gt; Hearing Aid Equipment and Supplies &gt; Ancillary Equipment and Supplies for Hearing Aid &gt; providerCostShares (HMO Provider) &gt; costShareText
 | Hearing Aid Instrument – Monaural or Binaural (incl. ear molds, initial battery, cords) | Not Covered | eocCategories &gt; Hearing Aid Services &gt; Hearing Aid Equipment and Supplies &gt; Hearing Aid Instrument - Monaural or Binaural... &gt; providerCostShares (HMO Provider) &gt; costShareText</t>
  </si>
  <si>
    <t>Do you cover hearing aids?</t>
  </si>
  <si>
    <t>Brief Answer 
Yes. This plan includes a Hearing Aid Services rider that covers hearing aid exams and hearing aid equipment/supplies at no charge, but Blue Shield reimburses up to a plan payment maximum of $2,000 per member per 24 months. 
──────────────────────────────────────────────────
Detailed Explanation
Hearing Aid Services (Rider):
#### In-Network Provider 
For in-network providers: 
However, Hearing Aid Examination for evaluation and/or fitting of hearing aids - Professional is not subject to the deductible.  
The plan will reimburse the provider 100% of the allowed amount for Hearing Aid Examination for evaluation and/or fitting of hearing aids - Professional.  
This plan has a maximum payable amount of up to $2,000 per member per 24 months. This means the member would also be responsible for all charges above $2,000 per member per 24 months.  
For in-network providers: 
However, Ancillary Equipment and Supplies for Hearing Aid - Professional is not subject to the deductible.  
The plan will reimburse the provider 100% of the allowed amount for Ancillary Equipment and Supplies for Hearing Aid - Professional.  
This plan has a maximum payable amount of up to $2,000 per member per 24 months. This means the member would also be responsible for all charges above $2,000 per member per 24 months.  
For in-network providers: 
However, Hearing Aid Instrument – Monaural or Binaural, including ear mold(s), the initial battery, and cords - Professional is not subject to the deductible.  
The plan will reimburse the provider 100% of the allowed amount for Hearing Aid Instrument – Monaural or Binaural, including ear mold(s), the initial battery, and cords - Professional.  
This plan has a maximum payable amount of up to $2,000 per member per 24 months. This means the member would also be responsible for all charges above $2,000 per member per 24 months.  
Additional details: 
- The hearing aid rider benefits are separate from the medical plan, but the general provisions/limitations/exclusions of the Evidence of Coverage still apply.  
- Because Blue Shield does not maintain a network of contracted providers for these services, the rider states the benefits “can be received from any provider” and claims can be submitted to Blue Shield for reimbursement.  
- Rider exclusions include (not an all-inclusive list): surgically implanted hearing devices; spare hearing aids; assisted listening/amplification devices; batteries/equipment outside the initial purchase terms; amounts exceeding prescribed specs; and repairs/replacement parts after warranty/replacement more than once in 24 months.  
#### Out-of-Network Provider 
For out-of-network providers: 
An out-of-network provider has the right to bill for the balance. What this means is that the member may be responsible for the difference between the allowed amount and billed amount. 
- Hearing Aid Examination for evaluation and/or fitting of hearing aids - Professional: No Charge, max $2,000 per member per 24 months.  
- Ancillary Equipment and Supplies for Hearing Aid - Professional: No Charge, max $2,000 per member per 24 months.  
- Hearing Aid Instrument – Monaural or Binaural - Professional: No Charge, max $2,000 per member per 24 months.  
──────────────────────────────────────────────────
Sources &amp; Citations
--- TABLE ---
Ref | Benefit/Service | Cost Share | Source
 | Hearing Aid Examination for evaluation and/or fitting of hearing aids | No Charge; Plan payment max $2,000 per member per 24 months; not subject to deductible; OOPM does not apply | eocCategories &gt; Hearing Aid Services &gt; Hearing Aid Exam &gt; Hearing Aid Examination for evaluation and/or fitting of hearing aids &gt; providerCostShares (Participating Provider and Non-Participating Provider)
 | Ancillary Equipment and Supplies for Hearing Aid | No Charge; Plan payment max $2,000 per member per 24 months; not subject to deductible; OOPM does not apply | eocCategories &gt; Hearing Aid Services &gt; Hearing Aid Equipment and Supplies &gt; Ancillary Equipment and Supplies for Hearing Aid &gt; providerCostShares (Participating Provider and Non-Participating Provider)
 | Hearing Aid Instrument – Monaural or Binaural (incl. ear molds, initial battery, cords) | No Charge; Plan payment max $2,000 per member per 24 months; not subject to deductible; OOPM does not apply | eocCategories &gt; Hearing Aid Services &gt; Hearing Aid Equipment and Supplies &gt; Hearing Aid Instrument – Monaural or Binaural... &gt; providerCostShares (Participating Provider and Non-Participating Provider)
 | Hearing Aid Services rider narrative (network/reimbursement + exclusions) | N/A | eocCategories &gt; Hearing Aid Services &gt; content</t>
  </si>
  <si>
    <t>252</t>
  </si>
  <si>
    <t>=IF(TRIM(Q311)="Test",COUNTIF($Q$2:Q311,"Test"),"")</t>
  </si>
  <si>
    <t xml:space="preserve">Brief Answer 
Yes—biologic drugs can be covered, but how they’re covered depends on how the drug is given (self-administered outpatient prescription drug vs. administered by a provider under the medical benefit). The plan also notes that drugs administered by a provider require prior authorization.
──────────────────────────────────────────────────
Detailed Explanation
Biologic drugs for autoimmune conditions typically fall into two coverage pathways depending on administration route and site of care:
1) Biologics administered by a Health Care Provider (medical benefit):
The plan states that prescription drugs administered by a Health Care Provider (e.g., in a physician’s office, infusion center, outpatient department of a hospital, or at home through a home infusion agency) are covered under the medical benefit and require prior authorization.
- Examples of settings mentioned in the plan: physician office, infusion center, hospital outpatient department, home through a home infusion agency.
2) Self-administered outpatient biologics (pharmacy benefit):
The plan includes an Outpatient Prescription Drug benefit for self-administered FDA-approved drugs obtained through retail or mail-order pharmacies. The plan also states that some drugs, most specialty drugs, and prescriptions exceeding quantity limits require prior authorization.
Tier cost shares (Outpatient Prescription Drug Benefits): 
- Retail (30-day supply) 
 - Tier 1: $10 per prescription  
 - Tier 2: $25 per prescription  
 - Tier 3: $40 per prescription  
 - Tier 4: 20% Coinsurance (max $250 per prescription) 
- Retail (90-day supply) 
 - Tier 1: $30 per prescription  
 - Tier 2: $75 per prescription  
 - Tier 3: $120 per prescription  
 - Tier 4: 20% Coinsurance (max $750 per prescription) 
- Mail Order (90-day supply) 
 - Tier 1: $20 per prescription  
 - Tier 2: $50 per prescription  
 - Tier 3: $80 per prescription  
 - Tier 4: 20% Coinsurance (max $500 per prescription) 
Important note for a “biologic” specifically: this plan document provides tier cost-share structure, but it does not identify which tier any specific biologic is on, nor whether it is covered/excluded by name. If you need drug-by-drug tier placement, consult the Knowledgebase and follow internal guidance for using the plan’s “Price Check My Rx” process referenced in the EOC .
</t>
  </si>
  <si>
    <t>253</t>
  </si>
  <si>
    <t>=IF(TRIM(Q312)="Test",COUNTIF($Q$2:Q312,"Test"),"")</t>
  </si>
  <si>
    <t>Are compounded medications covered?</t>
  </si>
  <si>
    <t xml:space="preserve">Brief Answer 
I couldn't find this information in the current plan document. The plan document includes general outpatient prescription drug exclusions and limitations, but it does not specifically state whether *compounded medications* are covered.
──────────────────────────────────────────────────
Detailed Explanation
I reviewed the plan’s Prescription Drug exclusions/limitations, and there is no explicit mention of “compounded medications” (or “compound drugs”) as covered or excluded.  Because the document doesn’t address compounded medications directly (and there isn’t enough detail here to map it to a broader category without guessing), I can’t confirm coverage from this plan data. 
If you need a definitive internal answer for this scenario, please consult the Knowledgebase.
</t>
  </si>
  <si>
    <t>254</t>
  </si>
  <si>
    <t>=IF(TRIM(Q313)="Test",COUNTIF($Q$2:Q313,"Test"),"")</t>
  </si>
  <si>
    <t>Are contraceptive implants covered?</t>
  </si>
  <si>
    <t xml:space="preserve">Brief Answer 
Yes—contraceptive implants are covered in-network at no charge under this plan. Out-of-network contraceptive implant services are not covered.
──────────────────────────────────────────────────
Detailed Explanation
Contraceptives — Implanted Contraceptives:
#### In-Network Provider
For in-network providers: 
the plan has a $2,500 deductible per person, not to exceed $5,000 per family.  
The plan will reimburse the provider 100% of the allowed amount for Implanted Contraceptives. 
#### Out-of-Network Provider
For out-of-network providers: 
An out-of-network provider has the right to bill for the balance. What this means is that the member may be responsible for the difference between the allowed amount and billed amount. 
The Implanted Contraceptives benefit is not a benefit of this health plan. The member would be responsible for 100% of the billed amount. 
──────────────────────────────────────────────────
</t>
  </si>
  <si>
    <t>255</t>
  </si>
  <si>
    <t>=IF(TRIM(Q314)="Test",COUNTIF($Q$2:Q314,"Test"),"")</t>
  </si>
  <si>
    <t>Are non-FDA approved drugs covered?</t>
  </si>
  <si>
    <t xml:space="preserve">Brief Answer 
Yes—some non-FDA approved drugs may be covered when they’re used in an Approved Clinical Trial as routine patient care, but the investigational drug/item/service itself is not covered. Otherwise, the plan generally excludes drugs/devices not approved by the FDA in the clinical trial context.
──────────────────────────────────────────────────
Detailed Explanation
The plan states it does not cover clinical trials, except Approved Clinical Trials as described in the EOC. In that Approved Clinical Trial coverage, the plan covers routine patient care (care that would otherwise be covered if not provided in connection with the trial), but it does not include the investigational drug, item, or service itself.  
Additionally, within the same Approved Clinical Trial section, routine patient care does not include “Drugs or devices not approved by the U.S. Food and Drug Administration (FDA)”. 
What this means operationally: 
- If the “non-FDA approved drug” is the investigational product in a trial → Not covered.  
- Even for Approved Clinical Trials, routine patient care still excludes FDA-unapproved drugs/devices. 
</t>
  </si>
  <si>
    <t>256</t>
  </si>
  <si>
    <t>=IF(TRIM(Q315)="Test",COUNTIF($Q$2:Q315,"Test"),"")</t>
  </si>
  <si>
    <t>Are weight loss drugs covered?</t>
  </si>
  <si>
    <t xml:space="preserve">Brief Answer 
I couldn't find a specific “weight loss drugs” coverage benefit in the current plan document. The plan’s Outpatient Prescription Drug section lists weight-loss drugs as excluded when prescribed solely for the purpose of losing weight, with an exception when medically necessary for treatment of Class III (severe) obesity.
──────────────────────────────────────────────────
Detailed Explanation
I couldn't find a specific benefit that says “weight loss drugs are covered” with a defined tier/copay for this plan. However, the plan’s Outpatient prescription Drug exclusions and limitations state: 
- Drugs are not covered when prescribed solely for the purpose of losing weight, except when Medically Necessary for the treatment of Class III or severe obesity . 
- The plan notes that enrollment in a comprehensive weight loss program may be required for a reasonable period of time prior to or concurrent with receiving the prescription drug . 
──────────────────────────────────────────────────
</t>
  </si>
  <si>
    <t>260</t>
  </si>
  <si>
    <t>=IF(TRIM(Q316)="Test",COUNTIF($Q$2:Q316,"Test"),"")</t>
  </si>
  <si>
    <t>Do you cover brand names as well as generic drugs?</t>
  </si>
  <si>
    <t xml:space="preserve">Brief Answer 
Yes. This plan’s outpatient prescription drug benefit includes coverage for both generic and brand-name drugs, with member cost-share based on the drug’s tier (Tier 1–Tier 4).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Retail (30-day supply) 
 - Tier 1: $20 per prescription  
 - Tier 2: $40 per prescription  
 - Tier 3: $60 per prescription  
 - Tier 4: 20% Coinsurance (maximum payable amount of up to $250 per prescription) 
Retail (90-day supply) 
 - Tier 1: $60 per prescription  
 - Tier 2: $120 per prescription  
 - Tier 3: $180 per prescription  
 - Tier 4: 20% Coinsurance (maximum payable amount of up to $750 per prescription) 
Mail Order (90-day supply) 
 - Tier 1: $40 per prescription  
 - Tier 2: $80 per prescription  
 - Tier 3: $120 per prescription  
 - Tier 4: 20% Coinsurance (maximum payable amount of up to $500 per prescription) 
How this answers “brand vs. generic”: 
- Tier 1 is described as “Formulary Generic Drugs.”  
- Tier 2 is described as “Formulary Brand Name Drugs” (and can also include certain generics per the plan’s tier descriptions).  
- Tier 3 is described as “Non-Formulary Brand Name Drugs.”  
- Tier 4 applies to certain high-cost/specialty drugs (covered with coinsurance and a per-prescription maximum). 
</t>
  </si>
  <si>
    <t>268</t>
  </si>
  <si>
    <t>=IF(TRIM(Q317)="Test",COUNTIF($Q$2:Q317,"Test"),"")</t>
  </si>
  <si>
    <t>My doctor prescribed Losartan, what's the copay for that?</t>
  </si>
  <si>
    <t xml:space="preserve">Brief Answer 
The plan document doesn’t list Losartan’s specific tier, so I can’t quote an exact Losartan copay from this data. I *can* provide the plan’s Rx tier copays (retail 30-day, retail 90-day, and mail order), and you can use “Price Check My Rx” to confirm Losartan’s tier and member cost.
──────────────────────────────────────────────────
Detailed Explanation
Retail (30-day supply) 
 - Tier 1: $15 per prescription  
 - Tier 2: $30 per prescription  
 - Tier 3: Not Covered  
 - Tier 4: 20% Coinsurance  
Retail (90-day supply) 
 - Tier 1: $45 per prescription  
 - Tier 2: $90 per prescription  
 - Tier 3: Not Covered  
 - Tier 4: 20% Coinsurance  
Mail Order (90-day supply) 
 - Tier 1: $30 per prescription  
 - Tier 2: $60 per prescription  
 - Tier 3: Not Covered  
 - Tier 4: 20% Coinsurance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For in-network providers: 
However, Outpatient Prescription Drug Benefits - Retail / Retail 90 Day Supply / Mail Service is not subject to the deductible.  
For out-of-network providers: 
For out-of-network providers, the member is responsible for 100% of the provider's billed amount, as the plan only covers in-network providers.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
</t>
  </si>
  <si>
    <t>270</t>
  </si>
  <si>
    <t>What's my coverage for prescriptions?</t>
  </si>
  <si>
    <t xml:space="preserve">Brief Answer 
This plan includes outpatient prescription drug coverage under an “Enhanced Rx - Value Formulary” rider. Costs vary by drug tier (1–4) and by where/how the prescription is filled (Retail 30-day, Retail 90-day, or Mail Order). The plan as a annual pharmacy deductible of $150. 
──────────────────────────────────────────────────
Detailed Explanation
Prescription Drug Benefits (Outpatient Drugs):
#### In-Network Provider
For in-network providers: 
Retail (30-day supply) 
 - Tier 1: $20 per prescription  
 - Tier 2: $40 per prescription  
 - Tier 3: $60 per prescription  
 - Tier 4: 30% Coinsurance  (Maximum of $250 per prescription
Retail (90-day supply) 
 - Tier 1: $60 per prescription  
 - Tier 2: $120 per prescription  
 - Tier 3: $180 per prescription  
 - Tier 4: 30% Coinsurance   (Maximum of $750 per prescription.)
Mail Order (90-day supply) 
 - Tier 1: $40 per prescription  
 - Tier 2: $80 per prescription  
 - Tier 3: $120 per prescription  
 - Tier 4: 30% Coinsurance   (Maximum of $500 per prescription.)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 Out-of-Network Provider
For out-of-network providers: 
An out-of-network provider has the right to bill for the balance. What this means is that the member may be responsible for the difference between the allowed amount and billed amount. 
- Retail Tier 1: 25% of purchase price + $20 per prescription  
- Retail Tier 2: 25% of purchase price + $40 per prescription  
- Retail Tier 3: 25% of purchase price + $60 per prescription  
- Retail Tier 4: 25% of purchase price + 30% Coinsurance   (Maximum of $250 per prescription).
- Mail Order: Not Covered  
- Retail 90-day: Not Covered  
</t>
  </si>
  <si>
    <t>HW 5/4: Missing Max for Tier 4 and RX Deductible</t>
  </si>
  <si>
    <t>HW 5/4: Added Maximums $250 per prescription for Tier 4 Retail, $500 for Tier 4 Mail, $750 for Tier 4 Retail-90day and Added RX deductible.</t>
  </si>
  <si>
    <t>272</t>
  </si>
  <si>
    <t>=IF(TRIM(Q319)="Test",COUNTIF($Q$2:Q319,"Test"),"")</t>
  </si>
  <si>
    <t>What is the copay for acetaminophen with codeine?</t>
  </si>
  <si>
    <t xml:space="preserve">Brief Answer 
The plan document doesn’t specify a single copay for acetaminophen with codeine because drug copays depend on the medication’s formulary tier. This plan has Tier 1–2 copays and lists Tier 3 as not covered; Tier 4 is 20% coinsurance (with a per-prescription maximum).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 Benefits (tier-based copays/coinsurance) :
Retail (30-day supply) 
 - Tier 1: $15 per prescription  
 - Tier 2: $30 per prescription  
 - Tier 3: Not Covered  
 - Tier 4: 20% Coinsurance  
Retail (90-day supply) 
 - Tier 1: $45 per prescription  
 - Tier 2: $90 per prescription  
 - Tier 3: Not Covered  
 - Tier 4: 20% Coinsurance  
Mail Order (90-day supply) 
 - Tier 1: $30 per prescription  
 - Tier 2: $60 per prescription  
 - Tier 3: Not Covered  
 - Tier 4: 20% Coinsurance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 In-Network Provider
For in-network providers:  
- Pharmacy deductible: $0 (individual). 
#### Out-of-Network Provider
For out-of-network providers, the member is responsible for 100% of the provider's billed amount, as the plan only covers in-network providers.
──────────────────────────────────────────────────
</t>
  </si>
  <si>
    <t>275</t>
  </si>
  <si>
    <t>Do you cover CAYA (a contraceptive diaphragm)?</t>
  </si>
  <si>
    <t xml:space="preserve">Brief Answer
The plan covers the diaphragm fitting procedure with the Family Planning and Infertility benefits at no charge when done by an in-network (Participating) provider and contraceptive drugs and devices through the prescription drug benefits.
A) Diaphragm fitting procedure (Contraceptives)
In-Network Provider
For in-network providers:
the plan has a $5,800 deductible per person, not to exceed $11,600 per family. [3]
However, Diaphragm fitting procedure is not subject to the deductible. [1]
The plan will reimburse the provider 100% of the allowed amount for Diaphragm fitting procedure. [1]
Additional details:
The plan document states family planning services are not covered from Non-Participating Providers. [4]
Out-of-Network Provider
For out-of-network providers:
An out-of-network provider has the right to bill for the balance. What this means is that the member may be responsible for the difference between the allowed amount and billed amount. [2]
The Diaphragm fitting procedure is not a benefit of this health plan. The member would be responsible for 100% of the billed amount. [2]
B) Prescription Drug Benefits - Contraceptive Drugs/Devices - Retail
Participating Provider: $0 Cost Share 
Non-Participating Provider: 
Tier 1: 25% of purchase price + $10 per prescription
Tier 2: 25% of purchase price + $25 per prescription
Tier 3: 25% of purchase price + $40 per prescription
C) Prescription Drug Benefits - Contraceptive Drugs/Devices - Retail 90 Day
Participating Provider: $0 Cost Share 
Non-Participating Provider: Not Covered
D) Prescription Drug Benefits - Contraceptive Drugs/Devices - Mail Service
Participating Provider: $0 Cost Share 
Non-Participating Provider: Not Covered
</t>
  </si>
  <si>
    <t>HW 5/8: Updated question to be more clear that CAYA is contraceptive device. Note -reasked Mira and only picked up fitting, had to add Pharmacy piece of benefit B,C,D</t>
  </si>
  <si>
    <t>277</t>
  </si>
  <si>
    <t xml:space="preserve">Brief Answer 
Yes — this plan includes Retail (90-day supply) benefits (for participating pharmacies), so members can get 90-day fills for covered medications that are eligible under the pharmacy benefit.
──────────────────────────────────────────────────
Detailed Explanation
Prescription Drug Benefits — 90-day supply options (Participating Pharmacy)
Retail (90-day supply) 
 - Tier 1: $45 per prescription 
 - Tier 2: $90 per prescription 
 - Tier 3: $135 per prescription 
 - Tier 4: 30% Coinsurance (Maximum of $750 per prescription)
Mail Order (90-day supply) 
 - Tier 1: $30 per prescription 
 - Tier 2: $60 per prescription 
 - Tier 3: $90 per prescription 
 - Tier 4: 30% Coinsurance (Maximum of $500 per prescription)
For in-network providers: 
the plan has a $1,000 deductible per person, not to exceed $2,000 per family.  
However, Retail 90-day prescription drug tiers are not subject to the deductible for Tier 1 ($45 per prescription) and are subject to the deductible for Tiers 2–4 ($90 per prescription, $135 per prescription, and 30% coinsurance).  
The service applies to the plan's out-of-pocket maximum amount of $5,000, not to exceed $10,000 per family. When the plan's out-of-pocket maximum amount is satisfied, the health plan will reimburse 100% of the allowed amount. 
For out-of-network providers: 
An out-of-network provider has the right to bill for the balance. What this means is that the member may be responsible for the difference between the allowed amount and billed amount. 
</t>
  </si>
  <si>
    <t>HW 5/5: Missing Tier 4 $ Maximums
Also, incorrect deductible (Plan has $150 RX Deductible)</t>
  </si>
  <si>
    <t>HW 5/6:Added RX Maximum Missing for Tier 4
Also Incorrect information -  is providing Medical Deductible, this plan has a $150 RX deductible</t>
  </si>
  <si>
    <t>278</t>
  </si>
  <si>
    <t>=IF(TRIM(Q322)="Test",COUNTIF($Q$2:Q322,"Test"),"")</t>
  </si>
  <si>
    <t>What is the cost to get my prescription mailed?</t>
  </si>
  <si>
    <t xml:space="preserve">Brief Answer 
For this plan’s mail-order prescriptions, the cost depends on the drug’s tier: Tier 1 is $20, Tier 2 is $50, Tier 3 is not covered, and Tier 4 is 20% coinsurance. The plan shows a $0 pharmacy deductible.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Prescription Drugs — Mail Order (90-day supply):
#### In-Network Provider
For in-network providers: 
Retail (30-day supply) 
 - Tier 1: $10 per prescription  
 - Tier 2: $25 per prescription  
 - Tier 3: Not Covered  
 - Tier 4: 20% Coinsurance  
Retail (90-day supply) 
 - Tier 1: $30 per prescription  
 - Tier 2: $75 per prescription  
 - Tier 3: Not Covered  
 - Tier 4: 20% Coinsurance  
Mail Order (90-day supply) 
 - Tier 1: $20 per prescription  
 - Tier 2: $50 per prescription  
 - Tier 3: Not Covered  
 - Tier 4: 20% Coinsurance  
Pharmacy deductible: $0 (individual). 
Tier 4 maximums (mail order): 20% coinsurance with a maximum payable amount of up to $500 per prescription. This means the member would also be responsible for all charges above $500 per prescription. 
#### Out-of-Network Provider
For out-of-network providers, the member is responsible for 100% of the provider's billed amount, as the plan only covers in-network providers.
──────────────────────────────────────────────────
</t>
  </si>
  <si>
    <t>279</t>
  </si>
  <si>
    <t>=IF(TRIM(Q323)="Test",COUNTIF($Q$2:Q323,"Test"),"")</t>
  </si>
  <si>
    <t>What's my copay for Kalydeco?</t>
  </si>
  <si>
    <t xml:space="preserve">Brief Answer 
Kalydeco is a prescription drug, but this plan document doesn’t list drug-by-drug tiers—so I can’t confirm the exact copay for Kalydeco from the plan data. What I *can* provide is the plan’s Rx tier cost-share schedule; once you confirm Kalydeco’s tier in “Price Check My Rx,” you’ll have the copay/coinsurance.
──────────────────────────────────────────────────
Detailed Explanation
Retail (30-day supply)  
 - Tier 1: $10 per prescription  
 - Tier 2: $30 per prescription  
 - Tier 3: $50 per prescription  
 - Tier 4: 30% Coinsurance (maximum payable amount of up to $250 per prescription)  
Retail (90-day supply)  
 - Tier 1: $30 per prescription  
 - Tier 2: $90 per prescription  
 - Tier 3: $150 per prescription  
 - Tier 4: 30% Coinsurance (maximum payable amount of up to $750 per prescription)  
Mail Order (90-day supply)  
 - Tier 1: $20 per prescription  
 - Tier 2: $60 per prescription  
 - Tier 3: $100 per prescription  
 - Tier 4: 30% Coinsurance (maximum payable amount of up to $500 per prescription)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t>
  </si>
  <si>
    <t>280</t>
  </si>
  <si>
    <t>(note: different tiers depending on potency)</t>
  </si>
  <si>
    <t>I was just prescribed temazepam, what's the copay for that?</t>
  </si>
  <si>
    <t xml:space="preserve">Brief Answer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
Detailed Explanation
Prescription Drug Benefits (tier-based copays):
Retail (30-day supply) 
- Tier 1: $20 per prescription  
- Tier 2: $40 per prescription  
- Tier 3: $60 per prescription  
- Tier 4: 30% Coinsurance (max $250 per prescription)  
Retail (90-day supply) 
- Tier 1: $60 per prescription  
- Tier 2: $120 per prescription  
- Tier 3: $180 per prescription  
- Tier 4: 30% Coinsurance (max $750 per prescription)  
Mail Order (90-day supply) 
- Tier 1: $40 per prescription  
- Tier 2: $80 per prescription  
- Tier 3: $120 per prescription  
- Tier 4: 30% Coinsurance (max $500 per prescription)  
How to quote temazepam specifically:
I couldn't find temazepam’s formulary tier placement in the plan document, so I can’t determine which tier copay applies. Use the Knowledgebase workflow for “Price Check My Rx” to confirm temazepam’s tier and member-specific cost at the point in time (since costs can vary based on claim processing timing and accumulators). 
──────────────────────────────────────────────────
</t>
  </si>
  <si>
    <t>KT 0505 - LLM Rule 32 - Incomplete script</t>
  </si>
  <si>
    <t>Original Text: I couldn't find the copay for temazepam specifically in the current plan document. This plan’s pharmacy benefit uses tier-based copays, so you’ll need to confirm temazepam’s tier using the Knowledgebase “Price Check My Rx” guidance.</t>
  </si>
  <si>
    <t>281</t>
  </si>
  <si>
    <t>=IF(TRIM(Q325)="Test",COUNTIF($Q$2:Q325,"Test"),"")</t>
  </si>
  <si>
    <t>What should Gleostine cost me?</t>
  </si>
  <si>
    <t xml:space="preserve">Brief Answer 
Because Gleostine is a specific prescription drug, the plan document doesn’t tell us its exact tier or member cost for that specific medication. What we *can* provide is the plan’s tier cost structure for retail and mail order, and then you’ll want to use Price Check My Rx to see Gleostine’s formulary status/tier and the exact cost.
──────────────────────────────────────────────────
Detailed Explanation
Retail (30-day supply) 
 - Tier 1: $10 per prescription  
 - Tier 2: $30 per prescription  
 - Tier 3: $50 per prescription  
 - Tier 4: 20% Coinsurance  
Retail (90-day supply) 
 - Tier 1: $30 per prescription  
 - Tier 2: $90 per prescription  
 - Tier 3: $150 per prescription  
 - Tier 4: 20% Coinsurance  
Mail Order (90-day supply) 
 - Tier 1: $20 per prescription  
 - Tier 2: $60 per prescription  
 - Tier 3: $100 per prescription  
 - Tier 4: 20% Coinsurance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
</t>
  </si>
  <si>
    <t>287</t>
  </si>
  <si>
    <t>=IF(TRIM(Q326)="Test",COUNTIF($Q$2:Q326,"Test"),"")</t>
  </si>
  <si>
    <t>I need to have my COVID booster and flu shot, how much will that cost?</t>
  </si>
  <si>
    <t xml:space="preserve">Brief Answer 
Under this plan, preventive immunizations are covered at no charge when received from a Participating Provider. I couldn’t find a specific cost-share line item for COVID-19 booster or flu shot in the current plan document beyond the general preventive/immunization coverage.
──────────────────────────────────────────────────
Detailed Explanation
Preventive immunizations (COVID booster and flu shot):
#### In-Network Provider
For in-network providers: 
The plan will reimburse the provider 100% of the allowed amount for preventive immunization services. 
#### Out-of-Network Provider
For out-of-network providers: 
An out-of-network provider has the right to bill for the balance. What this means is that the member may be responsible for the difference between the allowed amount and billed amount. 
──────────────────────────────────────────────────
Ref | Benefit/Service | Cost Share | Source
</t>
  </si>
  <si>
    <t>297</t>
  </si>
  <si>
    <t>=IF(TRIM(Q327)="Test",COUNTIF($Q$2:Q327,"Test"),"")</t>
  </si>
  <si>
    <t>I need to have an annual physical. Is that covered with no cost to me?</t>
  </si>
  <si>
    <t xml:space="preserve">Brief Answer 
Yes—an annual preventive care visit (“Annual Health Exams”) is covered at no charge when the Member uses an in-network (Participating) Provider. Out-of-network preventive care is not covered.
──────────────────────────────────────────────────
Detailed Explanation
Annual Physical / Annual Health Exams (Preventive):
#### In-Network Provider
For in-network providers: 
the plan has a $250 deductible per person, not to exceed $750 per family.  
However, Annual Health Exams is not subject to the deductible. Once the deductible is met,  
The plan will reimburse the provider 100% of the allowed amount for Annual Health Exams.  
#### Out-of-Network Provider
For out-of-network providers: 
An out-of-network provider has the right to bill for the balance. What this means is that the member may be responsible for the difference between the allowed amount and billed amount.  
The Annual Health Exams is not a benefit of this health plan. The member would be responsible for 100% of the billed amount. </t>
  </si>
  <si>
    <t>298</t>
  </si>
  <si>
    <t>=IF(TRIM(Q328)="Test",COUNTIF($Q$2:Q328,"Test"),"")</t>
  </si>
  <si>
    <t>My daughter is scheduled to have a MMR vaccine. Will there be a cost for that?</t>
  </si>
  <si>
    <t>Brief Answer 
Based on the Preventive Health Services section, immunizations recommended by ACIP are covered at no charge when received from an in-network (HMO) provider. I couldn’t find a specific “MMR vaccine” line item in the benefits table, but MMR falls under immunizations described in Preventive Health Services.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Preventive Health Services (Immunizations):
#### In-Network Provider
For in-network providers:  
The plan will reimburse the provider 100% of the allowed amount for Preventive Health Services (immunizations). 
 Out-of-Network Provider
For out-of-network providers, the member is responsible for 100% of the provider's billed amount, as the plan only covers in-network providers.
────────────────────────────────────────────────</t>
  </si>
  <si>
    <t>Type of Benefit Question</t>
  </si>
  <si>
    <t>Covered in Benefit Lookup Table</t>
  </si>
  <si>
    <t>Acupuncture</t>
  </si>
  <si>
    <t>Allergy Testing &amp; Immunotherapy</t>
  </si>
  <si>
    <t>Bariatric Surgery</t>
  </si>
  <si>
    <t>N/A</t>
  </si>
  <si>
    <t>Diabetes Care Services 
Physician &amp; other Professional Services</t>
  </si>
  <si>
    <t>Diagnostic X-ray, imaging, pathology, laboratory, &amp; other testing</t>
  </si>
  <si>
    <t>Diagnostic X-ray, imaging, pathology, laboratory, &amp; other testing
Preventive</t>
  </si>
  <si>
    <t>Emergency</t>
  </si>
  <si>
    <t>Prescription Drugs / Formulary</t>
  </si>
  <si>
    <t>Family Planning &amp; Infertility</t>
  </si>
  <si>
    <t>General
Physician &amp; Professional Services</t>
  </si>
  <si>
    <t>Infertility - Assisted Reproductive</t>
  </si>
  <si>
    <t>Medical treatment of the teeth, gums, jaw joints, &amp; jaw bones</t>
  </si>
  <si>
    <t>Mental Health &amp; Substance Use Disorder</t>
  </si>
  <si>
    <t>Physician &amp; other Professional Services</t>
  </si>
  <si>
    <t>Physician &amp; other Professional Services
Hospital Services</t>
  </si>
  <si>
    <t>Physician &amp; other Professional Services
Hosptial Services</t>
  </si>
  <si>
    <t>Pregnancy &amp; Maternity Care</t>
  </si>
  <si>
    <t>Prescription Drug</t>
  </si>
  <si>
    <t>Rehabilitative &amp; Habilitative Services</t>
  </si>
  <si>
    <t>Benefit - Category</t>
  </si>
  <si>
    <t>Benefit - Category Grade</t>
  </si>
  <si>
    <t xml:space="preserve"> Deductible</t>
  </si>
  <si>
    <t xml:space="preserve"> Deductible Grade</t>
  </si>
  <si>
    <t>Cost Share</t>
  </si>
  <si>
    <t>Cost Share Grade</t>
  </si>
  <si>
    <t>OOPM</t>
  </si>
  <si>
    <t>OOPM Grade</t>
  </si>
  <si>
    <t>Limits and Maximums</t>
  </si>
  <si>
    <t>Situational Scripting/ Vendor Details</t>
  </si>
  <si>
    <r>
      <t>Was the correct</t>
    </r>
    <r>
      <rPr>
        <b/>
        <sz val="10"/>
        <color theme="1"/>
        <rFont val="Calibri"/>
        <family val="2"/>
        <scheme val="minor"/>
      </rPr>
      <t xml:space="preserve"> Category/ Sub-Category </t>
    </r>
    <r>
      <rPr>
        <sz val="10"/>
        <color theme="1"/>
        <rFont val="Calibri"/>
        <family val="2"/>
        <scheme val="minor"/>
      </rPr>
      <t>of benefit determined – agent matched question to benefit category?</t>
    </r>
  </si>
  <si>
    <t>Yes - Correct
Yes - Correct, but agent asked follow up question
No - Incorrect (Wrong)
No - Could not answer question
N/A</t>
  </si>
  <si>
    <r>
      <t xml:space="preserve"> If plan has a deductible, did agent advise of </t>
    </r>
    <r>
      <rPr>
        <b/>
        <sz val="10"/>
        <color theme="1"/>
        <rFont val="Calibri"/>
        <family val="2"/>
        <scheme val="minor"/>
      </rPr>
      <t>plan's deductible</t>
    </r>
    <r>
      <rPr>
        <sz val="10"/>
        <color theme="1"/>
        <rFont val="Calibri"/>
        <family val="2"/>
        <scheme val="minor"/>
      </rPr>
      <t>?</t>
    </r>
  </si>
  <si>
    <t>Yes - Correct
Yes - Correct, but agent asked follow up question
No - Incorrect (Missing)
No - Could not answer question
N/A</t>
  </si>
  <si>
    <r>
      <t xml:space="preserve">If service has a Cost Share, did agent advise of </t>
    </r>
    <r>
      <rPr>
        <b/>
        <sz val="10"/>
        <color theme="1"/>
        <rFont val="Calibri"/>
        <family val="2"/>
        <scheme val="minor"/>
      </rPr>
      <t>plan's cost share</t>
    </r>
    <r>
      <rPr>
        <sz val="10"/>
        <color theme="1"/>
        <rFont val="Calibri"/>
        <family val="2"/>
        <scheme val="minor"/>
      </rPr>
      <t xml:space="preserve"> (copay, coinsurance, copay + coinsurance) ?</t>
    </r>
  </si>
  <si>
    <r>
      <t xml:space="preserve">If service applies to OOPM, did agent advise that the </t>
    </r>
    <r>
      <rPr>
        <b/>
        <sz val="10"/>
        <color theme="1"/>
        <rFont val="Calibri"/>
        <family val="2"/>
        <scheme val="minor"/>
      </rPr>
      <t>service applies to the OOPM</t>
    </r>
    <r>
      <rPr>
        <sz val="10"/>
        <color theme="1"/>
        <rFont val="Calibri"/>
        <family val="2"/>
        <scheme val="minor"/>
      </rPr>
      <t>?</t>
    </r>
  </si>
  <si>
    <t>If plan has a Limit for the service in question, did the agent explain the limit detail?</t>
  </si>
  <si>
    <r>
      <rPr>
        <b/>
        <sz val="10"/>
        <color theme="1"/>
        <rFont val="Calibri"/>
        <family val="2"/>
        <scheme val="minor"/>
      </rPr>
      <t xml:space="preserve">HMO/ POS plans </t>
    </r>
    <r>
      <rPr>
        <sz val="10"/>
        <color theme="1"/>
        <rFont val="Calibri"/>
        <family val="2"/>
        <scheme val="minor"/>
      </rPr>
      <t>(HMO level) - did agent advise caller that PCP/ Medical Group Coordination is usually required</t>
    </r>
  </si>
  <si>
    <r>
      <t xml:space="preserve">If </t>
    </r>
    <r>
      <rPr>
        <b/>
        <sz val="10"/>
        <color theme="1"/>
        <rFont val="Calibri"/>
        <family val="2"/>
        <scheme val="minor"/>
      </rPr>
      <t xml:space="preserve">service is a plan exclusion </t>
    </r>
    <r>
      <rPr>
        <sz val="10"/>
        <color theme="1"/>
        <rFont val="Calibri"/>
        <family val="2"/>
        <scheme val="minor"/>
      </rPr>
      <t>or not a benefit, did agent advise caller that member would be responsible for 100% of the billed charges?</t>
    </r>
  </si>
  <si>
    <r>
      <t xml:space="preserve">Did agent provide the </t>
    </r>
    <r>
      <rPr>
        <b/>
        <sz val="10"/>
        <color theme="1"/>
        <rFont val="Calibri"/>
        <family val="2"/>
        <scheme val="minor"/>
      </rPr>
      <t xml:space="preserve">correct amounts </t>
    </r>
    <r>
      <rPr>
        <sz val="10"/>
        <color theme="1"/>
        <rFont val="Calibri"/>
        <family val="2"/>
        <scheme val="minor"/>
      </rPr>
      <t xml:space="preserve">for </t>
    </r>
    <r>
      <rPr>
        <b/>
        <u/>
        <sz val="10"/>
        <color theme="1"/>
        <rFont val="Calibri"/>
        <family val="2"/>
        <scheme val="minor"/>
      </rPr>
      <t>both</t>
    </r>
    <r>
      <rPr>
        <sz val="10"/>
        <color theme="1"/>
        <rFont val="Calibri"/>
        <family val="2"/>
        <scheme val="minor"/>
      </rPr>
      <t xml:space="preserve"> individual and family deductible? </t>
    </r>
  </si>
  <si>
    <r>
      <t xml:space="preserve">If service has a Cost Share, did agent provide caller the </t>
    </r>
    <r>
      <rPr>
        <b/>
        <sz val="10"/>
        <color theme="1"/>
        <rFont val="Calibri"/>
        <family val="2"/>
        <scheme val="minor"/>
      </rPr>
      <t>correct amounts?</t>
    </r>
  </si>
  <si>
    <r>
      <t xml:space="preserve">If service applies to OOPM, Did agent give   </t>
    </r>
    <r>
      <rPr>
        <b/>
        <u/>
        <sz val="10"/>
        <color theme="1"/>
        <rFont val="Calibri"/>
        <family val="2"/>
        <scheme val="minor"/>
      </rPr>
      <t>both</t>
    </r>
    <r>
      <rPr>
        <b/>
        <sz val="10"/>
        <color theme="1"/>
        <rFont val="Calibri"/>
        <family val="2"/>
        <scheme val="minor"/>
      </rPr>
      <t xml:space="preserve"> </t>
    </r>
    <r>
      <rPr>
        <sz val="10"/>
        <color theme="1"/>
        <rFont val="Calibri"/>
        <family val="2"/>
        <scheme val="minor"/>
      </rPr>
      <t>individual and family OOPM amounts?</t>
    </r>
  </si>
  <si>
    <t>If plan has a Maximum for the service in question, did the agent explain the limit detail?</t>
  </si>
  <si>
    <r>
      <rPr>
        <b/>
        <sz val="10"/>
        <color theme="1"/>
        <rFont val="Calibri"/>
        <family val="2"/>
        <scheme val="minor"/>
      </rPr>
      <t>Emergency or Ambulance</t>
    </r>
    <r>
      <rPr>
        <sz val="10"/>
        <color theme="1"/>
        <rFont val="Calibri"/>
        <family val="2"/>
        <scheme val="minor"/>
      </rPr>
      <t xml:space="preserve"> services - did agent advise coverage is at participating cost share even if treatment is received out of network?</t>
    </r>
  </si>
  <si>
    <r>
      <t xml:space="preserve"> If service has </t>
    </r>
    <r>
      <rPr>
        <b/>
        <sz val="10"/>
        <color theme="1"/>
        <rFont val="Calibri"/>
        <family val="2"/>
        <scheme val="minor"/>
      </rPr>
      <t>professional and facility components</t>
    </r>
    <r>
      <rPr>
        <sz val="10"/>
        <color theme="1"/>
        <rFont val="Calibri"/>
        <family val="2"/>
        <scheme val="minor"/>
      </rPr>
      <t xml:space="preserve"> (e.g. Surgery - Surgeon and In/OutPt Facility) , agent sought clarity on what benefit caller needed or provided both?</t>
    </r>
  </si>
  <si>
    <r>
      <t xml:space="preserve">Did the agent indicate if the deductible </t>
    </r>
    <r>
      <rPr>
        <b/>
        <sz val="10"/>
        <color theme="1"/>
        <rFont val="Calibri"/>
        <family val="2"/>
        <scheme val="minor"/>
      </rPr>
      <t xml:space="preserve">does or does not apply to service </t>
    </r>
    <r>
      <rPr>
        <sz val="10"/>
        <color theme="1"/>
        <rFont val="Calibri"/>
        <family val="2"/>
        <scheme val="minor"/>
      </rPr>
      <t>in question?</t>
    </r>
  </si>
  <si>
    <r>
      <t xml:space="preserve">If </t>
    </r>
    <r>
      <rPr>
        <b/>
        <sz val="10"/>
        <color theme="1"/>
        <rFont val="Calibri"/>
        <family val="2"/>
        <scheme val="minor"/>
      </rPr>
      <t>Active Choice</t>
    </r>
    <r>
      <rPr>
        <sz val="10"/>
        <color theme="1"/>
        <rFont val="Calibri"/>
        <family val="2"/>
        <scheme val="minor"/>
      </rPr>
      <t xml:space="preserve"> plan, Did agent identify that </t>
    </r>
    <r>
      <rPr>
        <b/>
        <sz val="10"/>
        <color theme="1"/>
        <rFont val="Calibri"/>
        <family val="2"/>
        <scheme val="minor"/>
      </rPr>
      <t>service applied to  First Dollar Service credit?</t>
    </r>
  </si>
  <si>
    <r>
      <t xml:space="preserve">If service applies to OOPM, Did agent give </t>
    </r>
    <r>
      <rPr>
        <b/>
        <sz val="10"/>
        <color theme="1"/>
        <rFont val="Calibri"/>
        <family val="2"/>
        <scheme val="minor"/>
      </rPr>
      <t>correct amounts</t>
    </r>
    <r>
      <rPr>
        <sz val="10"/>
        <color theme="1"/>
        <rFont val="Calibri"/>
        <family val="2"/>
        <scheme val="minor"/>
      </rPr>
      <t xml:space="preserve"> for the  individual and family OOPM?</t>
    </r>
  </si>
  <si>
    <t>Was the information the Agent provided amount Limits or Maximum information correct?</t>
  </si>
  <si>
    <r>
      <t xml:space="preserve">If </t>
    </r>
    <r>
      <rPr>
        <b/>
        <sz val="10"/>
        <color theme="1"/>
        <rFont val="Calibri"/>
        <family val="2"/>
        <scheme val="minor"/>
      </rPr>
      <t>Hosptial</t>
    </r>
    <r>
      <rPr>
        <sz val="10"/>
        <color theme="1"/>
        <rFont val="Calibri"/>
        <family val="2"/>
        <scheme val="minor"/>
      </rPr>
      <t xml:space="preserve"> benefits given - did agent help explain professional services can be expected also?</t>
    </r>
  </si>
  <si>
    <r>
      <t xml:space="preserve">If service could be </t>
    </r>
    <r>
      <rPr>
        <b/>
        <sz val="10"/>
        <color theme="1"/>
        <rFont val="Calibri"/>
        <family val="2"/>
        <scheme val="minor"/>
      </rPr>
      <t>diagnostic or preventive</t>
    </r>
    <r>
      <rPr>
        <sz val="10"/>
        <color theme="1"/>
        <rFont val="Calibri"/>
        <family val="2"/>
        <scheme val="minor"/>
      </rPr>
      <t xml:space="preserve"> (e.g. Mammogram), agent sought clarity on what benefit caller needed or provided both?</t>
    </r>
  </si>
  <si>
    <r>
      <t xml:space="preserve">If </t>
    </r>
    <r>
      <rPr>
        <b/>
        <sz val="10"/>
        <color theme="1"/>
        <rFont val="Calibri"/>
        <family val="2"/>
        <scheme val="minor"/>
      </rPr>
      <t xml:space="preserve">RX question </t>
    </r>
    <r>
      <rPr>
        <sz val="10"/>
        <color theme="1"/>
        <rFont val="Calibri"/>
        <family val="2"/>
        <scheme val="minor"/>
      </rPr>
      <t>and plan has separate RX deductible, Did agent provide this information?</t>
    </r>
  </si>
  <si>
    <r>
      <t xml:space="preserve">If </t>
    </r>
    <r>
      <rPr>
        <b/>
        <sz val="10"/>
        <color theme="1"/>
        <rFont val="Calibri"/>
        <family val="2"/>
        <scheme val="minor"/>
      </rPr>
      <t>Active Choice</t>
    </r>
    <r>
      <rPr>
        <sz val="10"/>
        <color theme="1"/>
        <rFont val="Calibri"/>
        <family val="2"/>
        <scheme val="minor"/>
      </rPr>
      <t xml:space="preserve"> plan, Did agent provide the </t>
    </r>
    <r>
      <rPr>
        <b/>
        <sz val="10"/>
        <color theme="1"/>
        <rFont val="Calibri"/>
        <family val="2"/>
        <scheme val="minor"/>
      </rPr>
      <t>correct First Dollar Service credit amounts</t>
    </r>
    <r>
      <rPr>
        <sz val="10"/>
        <color theme="1"/>
        <rFont val="Calibri"/>
        <family val="2"/>
        <scheme val="minor"/>
      </rPr>
      <t>?</t>
    </r>
  </si>
  <si>
    <r>
      <rPr>
        <b/>
        <sz val="10"/>
        <color rgb="FF000000"/>
        <rFont val="Calibri"/>
        <scheme val="minor"/>
      </rPr>
      <t>RX question</t>
    </r>
    <r>
      <rPr>
        <sz val="10"/>
        <color rgb="FF000000"/>
        <rFont val="Calibri"/>
        <scheme val="minor"/>
      </rPr>
      <t xml:space="preserve"> - 
If drug name not provided, did agent provide all 4 tiers? / Provide the right tier?
Seek place of service understanding - Retail 30/90 vs. Mail Order and Network and provide correct and relevant information?
</t>
    </r>
  </si>
  <si>
    <r>
      <t xml:space="preserve"> If service could be done in </t>
    </r>
    <r>
      <rPr>
        <b/>
        <sz val="10"/>
        <color theme="1"/>
        <rFont val="Calibri"/>
        <family val="2"/>
        <scheme val="minor"/>
      </rPr>
      <t xml:space="preserve">different places of service </t>
    </r>
    <r>
      <rPr>
        <sz val="10"/>
        <color theme="1"/>
        <rFont val="Calibri"/>
        <family val="2"/>
        <scheme val="minor"/>
      </rPr>
      <t>(e.g., outpatient hospital or surgery center), agent sought clarity from caller on place of service or provided all options?</t>
    </r>
  </si>
  <si>
    <r>
      <rPr>
        <b/>
        <sz val="10"/>
        <color theme="1"/>
        <rFont val="Calibri"/>
        <family val="2"/>
        <scheme val="minor"/>
      </rPr>
      <t xml:space="preserve">Out of State/ Out of Country </t>
    </r>
    <r>
      <rPr>
        <sz val="10"/>
        <color theme="1"/>
        <rFont val="Calibri"/>
        <family val="2"/>
        <scheme val="minor"/>
      </rPr>
      <t>- did agent provide correct information about BlueCard and type of services covered (e.g. Urgent and Emergency?)</t>
    </r>
  </si>
  <si>
    <r>
      <t xml:space="preserve">Did agent seek clarity of </t>
    </r>
    <r>
      <rPr>
        <b/>
        <sz val="10"/>
        <color theme="1"/>
        <rFont val="Calibri"/>
        <family val="2"/>
        <scheme val="minor"/>
      </rPr>
      <t xml:space="preserve">provider's network </t>
    </r>
    <r>
      <rPr>
        <sz val="10"/>
        <color theme="1"/>
        <rFont val="Calibri"/>
        <family val="2"/>
        <scheme val="minor"/>
      </rPr>
      <t>to be used or identify the network options and provided the corresponding benefits (e.g., Virtual Blue, AI-AN, HMO, EPO, Participating, Non-Participating)?</t>
    </r>
  </si>
  <si>
    <r>
      <rPr>
        <b/>
        <sz val="10"/>
        <color theme="1"/>
        <rFont val="Calibri"/>
        <family val="2"/>
        <scheme val="minor"/>
      </rPr>
      <t xml:space="preserve">Surgery - </t>
    </r>
    <r>
      <rPr>
        <sz val="10"/>
        <color theme="1"/>
        <rFont val="Calibri"/>
        <family val="2"/>
        <scheme val="minor"/>
      </rPr>
      <t>Did agent help explain in addition to surgeon fees, other costs like facility or pathology could be expected?</t>
    </r>
  </si>
  <si>
    <r>
      <rPr>
        <b/>
        <sz val="10"/>
        <color theme="1"/>
        <rFont val="Calibri"/>
        <family val="2"/>
        <scheme val="minor"/>
      </rPr>
      <t>Maternity</t>
    </r>
    <r>
      <rPr>
        <sz val="10"/>
        <color theme="1"/>
        <rFont val="Calibri"/>
        <family val="2"/>
        <scheme val="minor"/>
      </rPr>
      <t xml:space="preserve"> - Did agent break down coverage to meet need - pre/post vsts, imaging (ultrsounds), delivery, newborn services?</t>
    </r>
  </si>
  <si>
    <r>
      <rPr>
        <b/>
        <sz val="10"/>
        <color theme="1"/>
        <rFont val="Calibri"/>
        <family val="2"/>
        <scheme val="minor"/>
      </rPr>
      <t xml:space="preserve">Vendor </t>
    </r>
    <r>
      <rPr>
        <sz val="10"/>
        <color theme="1"/>
        <rFont val="Calibri"/>
        <family val="2"/>
        <scheme val="minor"/>
      </rPr>
      <t>- If benefits are administered by other (e.g. ASH), did agent provide vendor name and toll free number?</t>
    </r>
  </si>
  <si>
    <t>Test Question</t>
  </si>
  <si>
    <t>Type of Service/ Benefit Category</t>
  </si>
  <si>
    <t>Plan Type</t>
  </si>
  <si>
    <t>Expected Sample Response - MVP1</t>
  </si>
  <si>
    <t>Expected Response Phase 2</t>
  </si>
  <si>
    <t>LLM Rule for Response</t>
  </si>
  <si>
    <t>SG Pltm90 TrioHMO 0/20+CD CCSB+ARB Jul25</t>
  </si>
  <si>
    <t>M0040929</t>
  </si>
  <si>
    <r>
      <rPr>
        <sz val="11"/>
        <color rgb="FF000000"/>
        <rFont val="Aptos Narrow"/>
        <family val="2"/>
      </rPr>
      <t xml:space="preserve">Plan: SG Pltm90 TrioHMO 0/20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
</t>
    </r>
    <r>
      <rPr>
        <b/>
        <sz val="11"/>
        <color rgb="FF000000"/>
        <rFont val="Aptos Narrow"/>
        <family val="2"/>
      </rPr>
      <t xml:space="preserve">
A. Cryopreservation of embryos, oocytes, sperm, reproductive tissue (Retrieved from a Member)
1. In-network Provider: 
</t>
    </r>
    <r>
      <rPr>
        <sz val="11"/>
        <color rgb="FF000000"/>
        <rFont val="Aptos Narrow"/>
        <family val="2"/>
      </rPr>
      <t xml:space="preserve">The plan does not have a deductible. The coinsurance is 10% of the allowed amount, and Blue Shield will reimburse the provider for 90% of the allowed amount. The service applies to the plan's out-of-pocket maximum amount of $4,500, not to exceed $9,000 per family. When the plan's out-of-pocket maximum amount is satisfied, the plan will reimburse 100% of the allowed amount.
This service has a limit of 1 procedure per year up to 1 year. 
</t>
    </r>
    <r>
      <rPr>
        <b/>
        <sz val="11"/>
        <color rgb="FF000000"/>
        <rFont val="Aptos Narrow"/>
        <family val="2"/>
      </rPr>
      <t xml:space="preserve">
2. Out-of-network Provider:
For out-of-network providers, the patient is responsible for 100% of the provider's billed amount, as the plan only covers in-network providers.
B. Gamete intrafallopian transfer (GIFT)
1. In-network Provider:
</t>
    </r>
    <r>
      <rPr>
        <sz val="11"/>
        <color rgb="FF000000"/>
        <rFont val="Aptos Narrow"/>
        <family val="2"/>
      </rPr>
      <t xml:space="preserve">The plan does not have a deductible. The coinsurance is 10% of the allowed amount, and Blue Shield will reimburse the provider for 90% of the allowed amount. The service applies to the plan's out-of-pocket maximum amount of $4,500, not to exceed $9,000 per family. When the plan's out-of-pocket maximum amount is satisfied, the plan will reimburse 100% of the allowed amount.
This service has a limit of 1 procedure per lifetime. 
</t>
    </r>
    <r>
      <rPr>
        <b/>
        <sz val="11"/>
        <color rgb="FF000000"/>
        <rFont val="Aptos Narrow"/>
        <family val="2"/>
      </rPr>
      <t xml:space="preserve">
2. Out-of-network Provider:
For out-of-network providers, the patient is responsible for 100% of the provider's billed amount, as the plan only covers in-network providers.
C. Natural artificial inseminations without ovum [oocyte or ovarian tissue (egg)] stimulation 
1. In-network Provider: 
</t>
    </r>
    <r>
      <rPr>
        <sz val="11"/>
        <color rgb="FF000000"/>
        <rFont val="Aptos Narrow"/>
        <family val="2"/>
      </rPr>
      <t xml:space="preserve">The plan does not have a deductible. The coinsurance is 10% of the allowed amount, and Blue Shield will reimburse the provider for 90% of the allowed amount. The service applies to the plan's out-of-pocket maximum amount of $4,500, not to exceed $9,000 per family. When the plan's out-of-pocket maximum amount is satisfied, the plan will reimburse 100% of the allowed amount.
This service has a limit of 6 procedures per lifetime. 
</t>
    </r>
    <r>
      <rPr>
        <b/>
        <sz val="11"/>
        <color rgb="FF000000"/>
        <rFont val="Aptos Narrow"/>
        <family val="2"/>
      </rPr>
      <t xml:space="preserve">
2. Out-of-network Provider: 
</t>
    </r>
    <r>
      <rPr>
        <sz val="11"/>
        <color rgb="FF000000"/>
        <rFont val="Aptos Narrow"/>
        <family val="2"/>
      </rPr>
      <t xml:space="preserve">For out-of-network providers, the patient is responsible for 100% of the provider's billed amount, as the plan only covers in-network providers.
</t>
    </r>
    <r>
      <rPr>
        <b/>
        <sz val="11"/>
        <color rgb="FF000000"/>
        <rFont val="Aptos Narrow"/>
        <family val="2"/>
      </rPr>
      <t xml:space="preserve">
D. Oocyte (egg) retrieval
1. In-network Provider:
</t>
    </r>
    <r>
      <rPr>
        <sz val="11"/>
        <color rgb="FF000000"/>
        <rFont val="Aptos Narrow"/>
        <family val="2"/>
      </rPr>
      <t xml:space="preserve">The plan does not have a deductible. The coinsurance is 10% of the allowed amount, and Blue Shield will reimburse the provider for 90% of the allowed amount. The service applies to the plan's out-of-pocket maximum amount of $4,500, not to exceed $9,000 per family. When the plan's out-of-pocket maximum amount is satisfied, the plan will reimburse 100% of the allowed amount.
This service has a limit of 1 procedure per lifetime. 
</t>
    </r>
    <r>
      <rPr>
        <b/>
        <sz val="11"/>
        <color rgb="FF000000"/>
        <rFont val="Aptos Narrow"/>
        <family val="2"/>
      </rPr>
      <t xml:space="preserve">
2. Out-of-network Provider:
For out-of-network providers, the patient is responsible for 100% of the provider's billed amount, as the plan only covers in-network providers.
E. Stimulated artificial inseminations with ovum (oocyte or ovarian tissue) stimulation
1. In-network Provider:
</t>
    </r>
    <r>
      <rPr>
        <sz val="11"/>
        <color rgb="FF000000"/>
        <rFont val="Aptos Narrow"/>
        <family val="2"/>
      </rPr>
      <t xml:space="preserve">The plan does not have a deductible. The coinsurance is 10% of the allowed amount, and Blue Shield will reimburse the provider for 90% of the allowed amount. The service applies to the plan's out-of-pocket maximum amount of $4,500, not to exceed $9,000 per family. When the plan's out-of-pocket maximum amount is satisfied, the plan will reimburse 100% of the allowed amount.
This service has a limit of 3 procedures per lifetime.
</t>
    </r>
    <r>
      <rPr>
        <b/>
        <sz val="11"/>
        <color rgb="FF000000"/>
        <rFont val="Aptos Narrow"/>
        <family val="2"/>
      </rPr>
      <t xml:space="preserve">
2. Out-of-network Provider: 
</t>
    </r>
    <r>
      <rPr>
        <sz val="11"/>
        <color rgb="FF000000"/>
        <rFont val="Aptos Narrow"/>
        <family val="2"/>
      </rPr>
      <t xml:space="preserve">For out-of-network providers, the patient is responsible for 100% of the provider's billed amount, as the plan only covers in-network providers.
</t>
    </r>
    <r>
      <rPr>
        <b/>
        <sz val="11"/>
        <color rgb="FF000000"/>
        <rFont val="Aptos Narrow"/>
        <family val="2"/>
      </rPr>
      <t xml:space="preserve">
Additional Information:</t>
    </r>
    <r>
      <rPr>
        <sz val="11"/>
        <color rgb="FF000000"/>
        <rFont val="Aptos Narrow"/>
        <family val="2"/>
      </rPr>
      <t xml:space="preserve"> Services related to intracytoplasmic sperm injection (ICSI), zygote intrafallopian transfer (ZIFT), or in vitro fertilization (IVF) are either not a benefit or they are an exclusion under the plan. This means that the patient would be responsible for 100% of the billed amount.</t>
    </r>
  </si>
  <si>
    <t>No change expected</t>
  </si>
  <si>
    <t>What are the benefits to diagnose infertility?</t>
  </si>
  <si>
    <t>SG Gold Trio HMO 500/35 OffEx+ARB Jul25</t>
  </si>
  <si>
    <t>M0040973</t>
  </si>
  <si>
    <r>
      <t>Plan: SG Gold Trio HMO 500/35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t>
    </r>
    <r>
      <rPr>
        <b/>
        <sz val="11"/>
        <color rgb="FF000000"/>
        <rFont val="Aptos Narrow"/>
        <family val="2"/>
      </rPr>
      <t xml:space="preserve">
A. Diagnosis and Treatment of the Cause of Infertility
1. In-network Provider:</t>
    </r>
    <r>
      <rPr>
        <sz val="11"/>
        <color rgb="FF000000"/>
        <rFont val="Aptos Narrow"/>
        <family val="2"/>
      </rPr>
      <t xml:space="preserve">
For in-network providers, the plan has a deductible of $500 per person, not to exceed $1,000 per family. However, services to diagnose the cause of infertility are not subject to the deductible.
The copay for office visits to diagnose the cause of infertility is $35 per visit. The service applies to the plan's out-of-pocket maximum amount of $7,500, not to exceed $15,000 per family. When the plan's out-of-pocket maximum amount is satisfied, the plan will reimburse 100% of the allowed amount.
The copay for outpatient lab and pathology visits to diagnose the cause of infertility is $55 per visit. The service applies to the plan's out-of-pocket maximum amount of $7,500, not to exceed $15,000 per family. When the plan's out-of-pocket maximum amount is satisfied, the plan will reimburse 100% of the allowed amount.
For injections in an inpatient, outpatient, or office setting, the plan will reimburse 100% of the allowed amount.
For outpatient facility fees, as well as well as inpatient visits, the plan will reimburse 100% of the allowed amount.</t>
    </r>
    <r>
      <rPr>
        <b/>
        <sz val="11"/>
        <color rgb="FF000000"/>
        <rFont val="Aptos Narrow"/>
        <family val="2"/>
      </rPr>
      <t xml:space="preserve">
2. Out-of-network Provider:</t>
    </r>
    <r>
      <rPr>
        <sz val="11"/>
        <color rgb="FF000000"/>
        <rFont val="Aptos Narrow"/>
        <family val="2"/>
      </rPr>
      <t xml:space="preserve">
For out-of-network providers, the patient is responsible for 100% of the provider's billed amount because the plan only covers services from in-network providers.</t>
    </r>
  </si>
  <si>
    <t>SG Gold Tandem PPO 500/30 OffEx+ARB Jul27</t>
  </si>
  <si>
    <t>M0037538</t>
  </si>
  <si>
    <r>
      <t>Plan: SG Gold Tandem PPO 500/30</t>
    </r>
    <r>
      <rPr>
        <b/>
        <sz val="11"/>
        <color rgb="FF000000"/>
        <rFont val="Aptos Narrow"/>
        <family val="2"/>
      </rPr>
      <t xml:space="preserve">
A. Cryopreservation of embryos, oocytes, sperm, reproductive tissue (Retrieved from a Member)
1. In-network Provider: </t>
    </r>
    <r>
      <rPr>
        <sz val="11"/>
        <color rgb="FF000000"/>
        <rFont val="Aptos Narrow"/>
        <family val="2"/>
      </rPr>
      <t xml:space="preserve">
For in-network providers, the plan has a $750 deductible per person, not to exceed $1,500 per family. However, the service is not subject to the deductible. The coinsurance is 50% of the allowed amount, and the plan will reimburse 50% of the allowed amount.
This service has a limit of 1 procedure per year up to 1 year. </t>
    </r>
    <r>
      <rPr>
        <b/>
        <sz val="11"/>
        <color rgb="FF000000"/>
        <rFont val="Aptos Narrow"/>
        <family val="2"/>
      </rPr>
      <t xml:space="preserve">
2. Out-of-network Provider:
For out-of-network providers, this service is either not a benefit or it is an exclusion under the plan. This means that the patient would be responsible for 100% of the billed amount.
B. Gamete intrafallopian transfer (GIFT)
1. In-network Provider:</t>
    </r>
    <r>
      <rPr>
        <sz val="11"/>
        <color rgb="FF000000"/>
        <rFont val="Aptos Narrow"/>
        <family val="2"/>
      </rPr>
      <t xml:space="preserve">
For in-network providers, the plan has a $750 deductible per person, not to exceed $1,500 per family. However, the service is not subject to the deductible. The coinsurance is 50% of the allowed amount, and the plan will reimburse 50% of the allowed amount.
This service has a limit of 1 procedure per lifetime. </t>
    </r>
    <r>
      <rPr>
        <b/>
        <sz val="11"/>
        <color rgb="FF000000"/>
        <rFont val="Aptos Narrow"/>
        <family val="2"/>
      </rPr>
      <t xml:space="preserve">
2. Out-of-network Provider:
For out-of-network providers, this service is either not a benefit or it is an exclusion under the plan. This means that the patient would be responsible for 100% of the billed amount.
C. Natural artificial inseminations without ovum [oocyte or ovarian tissue (egg)] stimulation 
1. In-network Provider: </t>
    </r>
    <r>
      <rPr>
        <sz val="11"/>
        <color rgb="FF000000"/>
        <rFont val="Aptos Narrow"/>
        <family val="2"/>
      </rPr>
      <t xml:space="preserve">
For in-network providers, the plan has a $750 deductible per person, not to exceed $1,500 per family. However, the service is not subject to the deductible. The coinsurance is 50% of the allowed amount, and the plan will reimburse 50% of the allowed amount.
This service has a limit of 6 procedures per lifetime. </t>
    </r>
    <r>
      <rPr>
        <b/>
        <sz val="11"/>
        <color rgb="FF000000"/>
        <rFont val="Aptos Narrow"/>
        <family val="2"/>
      </rPr>
      <t xml:space="preserve">
2. Out-of-network Provider: </t>
    </r>
    <r>
      <rPr>
        <sz val="11"/>
        <color rgb="FF000000"/>
        <rFont val="Aptos Narrow"/>
        <family val="2"/>
      </rPr>
      <t xml:space="preserve">
For out-of-network providers, this service is either not a benefit or it is an exclusion under the plan. This means that the patient would be responsible for 100% of the billed amount.</t>
    </r>
    <r>
      <rPr>
        <b/>
        <sz val="11"/>
        <color rgb="FF000000"/>
        <rFont val="Aptos Narrow"/>
        <family val="2"/>
      </rPr>
      <t xml:space="preserve">
D. Oocyte (egg) retrieval
1. In-network Provider:</t>
    </r>
    <r>
      <rPr>
        <sz val="11"/>
        <color rgb="FF000000"/>
        <rFont val="Aptos Narrow"/>
        <family val="2"/>
      </rPr>
      <t xml:space="preserve">
For in-network providers, the plan has a $750 deductible per person, not to exceed $1,500 per family. However, the service is not subject to the deductible. The coinsurance is 50% of the allowed amount, and the plan will reimburse 50% of the allowed amount.</t>
    </r>
    <r>
      <rPr>
        <b/>
        <sz val="11"/>
        <color rgb="FF000000"/>
        <rFont val="Aptos Narrow"/>
        <family val="2"/>
      </rPr>
      <t xml:space="preserve">
2. Out-of-network Provider:
For out-of-network providers, this service is either not a benefit or it is an exclusion under the plan. This means that the patient would be responsible for 100% of the billed amount.
E. Stimulated artificial inseminations with ovum (oocyte or ovarian tissue) stimulation
1. In-network Provider:</t>
    </r>
    <r>
      <rPr>
        <sz val="11"/>
        <color rgb="FF000000"/>
        <rFont val="Aptos Narrow"/>
        <family val="2"/>
      </rPr>
      <t xml:space="preserve">
For in-network providers, the plan has a $750 deductible per person, not to exceed $1,500 per family. However, the service is not subject to the deductible. The coinsurance is 50% of the allowed amount, and the plan will reimburse 50% of the allowed amount.
This service has a limit of 3 procedures per lifetime.</t>
    </r>
    <r>
      <rPr>
        <b/>
        <sz val="11"/>
        <color rgb="FF000000"/>
        <rFont val="Aptos Narrow"/>
        <family val="2"/>
      </rPr>
      <t xml:space="preserve">
2. Out-of-network Provider: </t>
    </r>
    <r>
      <rPr>
        <sz val="11"/>
        <color rgb="FF000000"/>
        <rFont val="Aptos Narrow"/>
        <family val="2"/>
      </rPr>
      <t xml:space="preserve">
For out-of-network providers, this service is either not a benefit or it is an exclusion under the plan. This means that the patient would be responsible for 100% of the billed amount.</t>
    </r>
    <r>
      <rPr>
        <b/>
        <sz val="11"/>
        <color rgb="FF000000"/>
        <rFont val="Aptos Narrow"/>
        <family val="2"/>
      </rPr>
      <t xml:space="preserve">
Additional Information:</t>
    </r>
    <r>
      <rPr>
        <sz val="11"/>
        <color rgb="FF000000"/>
        <rFont val="Aptos Narrow"/>
        <family val="2"/>
      </rPr>
      <t xml:space="preserve"> Services related to intracytoplasmic sperm injection (ICSI), zygote intrafallopian transfer (ZIFT), or in vitro fertilization (IVF) are either not a benefit or they are an exclusion under the plan. This means that the patient would be responsible for 100% of the billed amount.</t>
    </r>
  </si>
  <si>
    <t>Is IVF/GIFT/ZIFT/ICSI/Cryoperservation?Artificial Insemination covered?</t>
  </si>
  <si>
    <t xml:space="preserve">Brief Answer
IVF (in vitro fertilization) is not covered under this plan. The member would be responsible for 100% of the billed amount for IVF services.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In vitro fertilization (IVF)
For in-network providers:
The In vitro fertilization (IVF) is not a benefit of this health plan. The member would be responsible for 100% of the billed amount. [2]
Out-of-Network Provider
For out-of-network providers, the member is responsible for 100% of the provider's billed amount, as the plan only covers in-network providers. [1]
</t>
  </si>
  <si>
    <t>Are hearing aids a benefit?</t>
  </si>
  <si>
    <t>SG Gold Trio HMO 1000/35 OffEx+ARB Jul25</t>
  </si>
  <si>
    <t>M0040971</t>
  </si>
  <si>
    <t>Hearing Aid</t>
  </si>
  <si>
    <t>Plan: SG Gold Trio HMO 1000/35
Hearing aids are either not a benefit or they are an exclusion under the plan. This means that the patient would be responsible for 100% of the billed amount.
A discount program is available from EPIC Hearing Healthcare. Refer to https://www.blueshieldca.com/en/home/be-well/live-healthy/hearing-aid-discount to learn more.</t>
  </si>
  <si>
    <t>SG Pltm Full PPO 0/10 OffEx+ARB Jan25</t>
  </si>
  <si>
    <t>M0037560</t>
  </si>
  <si>
    <t>Blue Card Program</t>
  </si>
  <si>
    <t>Plan: SG Pltm Full PPO 0/10
If you need medical care while traveling outside of California, you’re covered. Blue Shield has relationships with health plans in other states, Puerto Rico, and the U.S. Virgin Islands through the BlueCard® Program. The Blue Cross Blue Shield Association can help you access care from participating and non-participating providers in those geographic areas.</t>
  </si>
  <si>
    <t>Do I need a referral from my primary doctor to see a specialist on my plan?</t>
  </si>
  <si>
    <t xml:space="preserve">SG Pltm90 TrioHMO 0/20+CD Mirror+ARB Jul25
</t>
  </si>
  <si>
    <t>M0040930</t>
  </si>
  <si>
    <t>Self Referral</t>
  </si>
  <si>
    <t>Brief Answer
Yes—on this HMO plan, a PCP referral is usually required to see a specialist, but there are specific referral-free exceptions. For this Trio ACO plan, referral-free exceptions include Trio+ specialist visits, urgent care, and emergency services.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Referral exceptions (Trio ACO plan):
Trio: The patient does not need a referral for: Emergency Services; Urgent Services; Trio+ Specialist visits; OB/GYN services by an obstetrician, gynecologist, or family practice Physician within the patient's Medical Group; and Office visits with the patient's primary care physician (PCP). [2]</t>
  </si>
  <si>
    <t>NEW</t>
  </si>
  <si>
    <t>Does my plan come with a Health Savings Account?</t>
  </si>
  <si>
    <t>Health Savings Account</t>
  </si>
  <si>
    <t>How does my Health Savings Account work with my medical plan?</t>
  </si>
  <si>
    <t>Do I need a referral to see a doctor under Level I?</t>
  </si>
  <si>
    <t>Tiered POS – Level I (HMO Participating)</t>
  </si>
  <si>
    <r>
      <rPr>
        <sz val="11"/>
        <color rgb="FF000000"/>
        <rFont val="Calibri"/>
        <family val="2"/>
        <scheme val="minor"/>
      </rPr>
      <t xml:space="preserve">Yes. Under </t>
    </r>
    <r>
      <rPr>
        <b/>
        <sz val="11"/>
        <color rgb="FF000000"/>
        <rFont val="Calibri"/>
        <family val="2"/>
        <scheme val="minor"/>
      </rPr>
      <t>Level I (HMO Participating Providers)</t>
    </r>
    <r>
      <rPr>
        <sz val="11"/>
        <color rgb="FF000000"/>
        <rFont val="Calibri"/>
        <family val="2"/>
        <scheme val="minor"/>
      </rPr>
      <t xml:space="preserve">, services must be </t>
    </r>
    <r>
      <rPr>
        <b/>
        <sz val="11"/>
        <color rgb="FF000000"/>
        <rFont val="Calibri"/>
        <family val="2"/>
        <scheme val="minor"/>
      </rPr>
      <t>provided or prior authorized</t>
    </r>
    <r>
      <rPr>
        <sz val="11"/>
        <color rgb="FF000000"/>
        <rFont val="Calibri"/>
        <family val="2"/>
        <scheme val="minor"/>
      </rPr>
      <t xml:space="preserve"> by your </t>
    </r>
    <r>
      <rPr>
        <b/>
        <sz val="11"/>
        <color rgb="FF000000"/>
        <rFont val="Calibri"/>
        <family val="2"/>
        <scheme val="minor"/>
      </rPr>
      <t>primary care physician (PCP) or assigned medical group / IPA</t>
    </r>
    <r>
      <rPr>
        <sz val="11"/>
        <color rgb="FF000000"/>
        <rFont val="Calibri"/>
        <family val="2"/>
        <scheme val="minor"/>
      </rPr>
      <t xml:space="preserve">, except for services that are specifically exempted in your Evidence of Coverage. </t>
    </r>
  </si>
  <si>
    <t>For plans with a tiered POS network, benefits are determined by the provider tier used.
Level I (HMO Participating Providers): Services must be provided or prior authorized by the member’s Primary Care Physician (PCP) or assigned medical group / IPA, except for services explicitly exempted in the Evidence of Coverage.
Level II (PPO Participating Providers): Services may be accessed without a referral and are covered when provided by Participating Providers. Any Copayment or Coinsurance is calculated from the Allowable Amount.
Level III (Non‑Participating Providers): Services are provided by Non‑Participating Providers. Members are responsible for higher cost sharing and any charges above the Allowable Amount, as described in the EOC.
Referral requirements and cost sharing must be applied based on the tier used, not the service type.</t>
  </si>
  <si>
    <t>Do I need a referral if I use Level II providers?</t>
  </si>
  <si>
    <t>Tiered POS – Level II (PPO Participating)</t>
  </si>
  <si>
    <r>
      <rPr>
        <sz val="11"/>
        <color rgb="FF000000"/>
        <rFont val="Calibri"/>
        <family val="2"/>
        <scheme val="minor"/>
      </rPr>
      <t xml:space="preserve">No. Under </t>
    </r>
    <r>
      <rPr>
        <b/>
        <sz val="11"/>
        <color rgb="FF000000"/>
        <rFont val="Calibri"/>
        <family val="2"/>
        <scheme val="minor"/>
      </rPr>
      <t>Level II (PPO Participating Providers)</t>
    </r>
    <r>
      <rPr>
        <sz val="11"/>
        <color rgb="FF000000"/>
        <rFont val="Calibri"/>
        <family val="2"/>
        <scheme val="minor"/>
      </rPr>
      <t xml:space="preserve">, you may access services </t>
    </r>
    <r>
      <rPr>
        <b/>
        <sz val="11"/>
        <color rgb="FF000000"/>
        <rFont val="Calibri"/>
        <family val="2"/>
        <scheme val="minor"/>
      </rPr>
      <t>without a referral</t>
    </r>
    <r>
      <rPr>
        <sz val="11"/>
        <color rgb="FF000000"/>
        <rFont val="Calibri"/>
        <family val="2"/>
        <scheme val="minor"/>
      </rPr>
      <t xml:space="preserve">. Covered services are provided by Participating Providers, and any Copayment or Coinsurance is calculated from the </t>
    </r>
    <r>
      <rPr>
        <b/>
        <sz val="11"/>
        <color rgb="FF000000"/>
        <rFont val="Calibri"/>
        <family val="2"/>
        <scheme val="minor"/>
      </rPr>
      <t>Allowable Amount</t>
    </r>
    <r>
      <rPr>
        <sz val="11"/>
        <color rgb="FF000000"/>
        <rFont val="Calibri"/>
        <family val="2"/>
        <scheme val="minor"/>
      </rPr>
      <t xml:space="preserve">, as described in your plan. </t>
    </r>
  </si>
  <si>
    <t>What happens if I go to a provider that’s not in my network?</t>
  </si>
  <si>
    <t>Tiered POS – Level III (Non‑Participating)</t>
  </si>
  <si>
    <r>
      <rPr>
        <sz val="11"/>
        <color rgb="FF000000"/>
        <rFont val="Calibri"/>
        <family val="2"/>
        <scheme val="minor"/>
      </rPr>
      <t xml:space="preserve">When you receive care from </t>
    </r>
    <r>
      <rPr>
        <b/>
        <sz val="11"/>
        <color rgb="FF000000"/>
        <rFont val="Calibri"/>
        <family val="2"/>
        <scheme val="minor"/>
      </rPr>
      <t>Level III (Non‑Participating Providers)</t>
    </r>
    <r>
      <rPr>
        <sz val="11"/>
        <color rgb="FF000000"/>
        <rFont val="Calibri"/>
        <family val="2"/>
        <scheme val="minor"/>
      </rPr>
      <t xml:space="preserve">, services are covered at a higher cost share. You are responsible for any applicable Copayment or Coinsurance, as well as </t>
    </r>
    <r>
      <rPr>
        <b/>
        <sz val="11"/>
        <color rgb="FF000000"/>
        <rFont val="Calibri"/>
        <family val="2"/>
        <scheme val="minor"/>
      </rPr>
      <t>charges above the Allowable Amount</t>
    </r>
    <r>
      <rPr>
        <sz val="11"/>
        <color rgb="FF000000"/>
        <rFont val="Calibri"/>
        <family val="2"/>
        <scheme val="minor"/>
      </rPr>
      <t xml:space="preserve">, as outlined in your Evidence of Coverage. </t>
    </r>
  </si>
  <si>
    <t>Does my coverage change based on which tier I use?</t>
  </si>
  <si>
    <t>Tiered POS – All Levels</t>
  </si>
  <si>
    <r>
      <rPr>
        <sz val="11"/>
        <color rgb="FF000000"/>
        <rFont val="Calibri"/>
        <family val="2"/>
        <scheme val="minor"/>
      </rPr>
      <t xml:space="preserve">Yes. In a </t>
    </r>
    <r>
      <rPr>
        <b/>
        <sz val="11"/>
        <color rgb="FF000000"/>
        <rFont val="Calibri"/>
        <family val="2"/>
        <scheme val="minor"/>
      </rPr>
      <t>tiered network plan</t>
    </r>
    <r>
      <rPr>
        <sz val="11"/>
        <color rgb="FF000000"/>
        <rFont val="Calibri"/>
        <family val="2"/>
        <scheme val="minor"/>
      </rPr>
      <t xml:space="preserve">, your benefits depend on the </t>
    </r>
    <r>
      <rPr>
        <b/>
        <sz val="11"/>
        <color rgb="FF000000"/>
        <rFont val="Calibri"/>
        <family val="2"/>
        <scheme val="minor"/>
      </rPr>
      <t>provider tier you use</t>
    </r>
    <r>
      <rPr>
        <sz val="11"/>
        <color rgb="FF000000"/>
        <rFont val="Calibri"/>
        <family val="2"/>
        <scheme val="minor"/>
      </rPr>
      <t xml:space="preserve">. Referral requirements and cost sharing are applied based on whether care is received under </t>
    </r>
    <r>
      <rPr>
        <b/>
        <sz val="11"/>
        <color rgb="FF000000"/>
        <rFont val="Calibri"/>
        <family val="2"/>
        <scheme val="minor"/>
      </rPr>
      <t>Level I (HMO Participating)</t>
    </r>
    <r>
      <rPr>
        <sz val="11"/>
        <color rgb="FF000000"/>
        <rFont val="Calibri"/>
        <family val="2"/>
        <scheme val="minor"/>
      </rPr>
      <t xml:space="preserve">, </t>
    </r>
    <r>
      <rPr>
        <b/>
        <sz val="11"/>
        <color rgb="FF000000"/>
        <rFont val="Calibri"/>
        <family val="2"/>
        <scheme val="minor"/>
      </rPr>
      <t>Level II (PPO Participating)</t>
    </r>
    <r>
      <rPr>
        <sz val="11"/>
        <color rgb="FF000000"/>
        <rFont val="Calibri"/>
        <family val="2"/>
        <scheme val="minor"/>
      </rPr>
      <t xml:space="preserve">, or </t>
    </r>
    <r>
      <rPr>
        <b/>
        <sz val="11"/>
        <color rgb="FF000000"/>
        <rFont val="Calibri"/>
        <family val="2"/>
        <scheme val="minor"/>
      </rPr>
      <t>Level III (Non‑Participating Providers)</t>
    </r>
    <r>
      <rPr>
        <sz val="11"/>
        <color rgb="FF000000"/>
        <rFont val="Calibri"/>
        <family val="2"/>
        <scheme val="minor"/>
      </rPr>
      <t xml:space="preserve">. </t>
    </r>
  </si>
  <si>
    <t>Do I need a referral to see a specialist on this plan?</t>
  </si>
  <si>
    <t>Two‑Tier PPO</t>
  </si>
  <si>
    <r>
      <rPr>
        <sz val="11"/>
        <color rgb="FF000000"/>
        <rFont val="Calibri"/>
        <family val="2"/>
        <scheme val="minor"/>
      </rPr>
      <t xml:space="preserve">No. This is a </t>
    </r>
    <r>
      <rPr>
        <b/>
        <sz val="11"/>
        <color rgb="FF000000"/>
        <rFont val="Calibri"/>
        <family val="2"/>
        <scheme val="minor"/>
      </rPr>
      <t>Two‑Tier PPO plan</t>
    </r>
    <r>
      <rPr>
        <sz val="11"/>
        <color rgb="FF000000"/>
        <rFont val="Calibri"/>
        <family val="2"/>
        <scheme val="minor"/>
      </rPr>
      <t xml:space="preserve">, and referrals are </t>
    </r>
    <r>
      <rPr>
        <b/>
        <sz val="11"/>
        <color rgb="FF000000"/>
        <rFont val="Calibri"/>
        <family val="2"/>
        <scheme val="minor"/>
      </rPr>
      <t>not required</t>
    </r>
    <r>
      <rPr>
        <sz val="11"/>
        <color rgb="FF000000"/>
        <rFont val="Calibri"/>
        <family val="2"/>
        <scheme val="minor"/>
      </rPr>
      <t>. You may see Participating Providers or Non‑Participating Providers directly.</t>
    </r>
  </si>
  <si>
    <t>For Two‑Tier PPO plans, benefits are determined solely by whether care is received from a Participating Provider or a Non‑Participating Provider.
Tier 1 (Participating Providers): Covered services are received from Participating Providers and are subject to the Tier 1 Copayment or Coinsurance, calculated from the Allowable Amount. No referral is required.
Tier 2 (Non‑Participating Providers): Covered services are received from Non‑Participating Providers. Members are responsible for Tier 2 cost sharing and any charges above the Allowable Amount.
No HMO or PCP referral logic applies to Two‑Tier PPO products.</t>
  </si>
  <si>
    <t>What’s the difference between Tier 1 and Tier 2 providers?</t>
  </si>
  <si>
    <r>
      <t>Tier 1</t>
    </r>
    <r>
      <rPr>
        <sz val="11"/>
        <color theme="1"/>
        <rFont val="Calibri"/>
        <family val="2"/>
        <scheme val="minor"/>
      </rPr>
      <t xml:space="preserve"> includes </t>
    </r>
    <r>
      <rPr>
        <b/>
        <sz val="11"/>
        <color theme="1"/>
        <rFont val="Calibri"/>
        <family val="2"/>
        <scheme val="minor"/>
      </rPr>
      <t>Participating Providers</t>
    </r>
    <r>
      <rPr>
        <sz val="11"/>
        <color theme="1"/>
        <rFont val="Calibri"/>
        <family val="2"/>
        <scheme val="minor"/>
      </rPr>
      <t xml:space="preserve">, where services are covered at the lower Tier 1 Copayment or Coinsurance, calculated from the Allowable Amount. </t>
    </r>
    <r>
      <rPr>
        <b/>
        <sz val="11"/>
        <color theme="1"/>
        <rFont val="Calibri"/>
        <family val="2"/>
        <scheme val="minor"/>
      </rPr>
      <t>Tier 2</t>
    </r>
    <r>
      <rPr>
        <sz val="11"/>
        <color theme="1"/>
        <rFont val="Calibri"/>
        <family val="2"/>
        <scheme val="minor"/>
      </rPr>
      <t xml:space="preserve"> includes </t>
    </r>
    <r>
      <rPr>
        <b/>
        <sz val="11"/>
        <color theme="1"/>
        <rFont val="Calibri"/>
        <family val="2"/>
        <scheme val="minor"/>
      </rPr>
      <t>Non‑Participating Providers</t>
    </r>
    <r>
      <rPr>
        <sz val="11"/>
        <color theme="1"/>
        <rFont val="Calibri"/>
        <family val="2"/>
        <scheme val="minor"/>
      </rPr>
      <t>, where higher cost sharing applies and you may be responsible for charges above the Allowable Amount.</t>
    </r>
  </si>
  <si>
    <t>Why did the same service cost more this time?</t>
  </si>
  <si>
    <t>Active Choice - Service by Category</t>
  </si>
  <si>
    <t>For Active Choice plans, benefits are determined by the category of service selected, not by provider tier or referral structure.
Covered services are grouped into defined service categories, each with its own Copayment, Coinsurance, or deductible rules as listed in the Evidence of Coverage.
Members may receive covered services from Participating Providers or Non‑Participating Providers, and cost sharing is applied based on both the service category and the provider’s network status, as described in the plan.
Referral requirements apply only if explicitly stated for a specific service category in the Evidence of Coverage.</t>
  </si>
  <si>
    <t>Why is this service covered differently than I expected?</t>
  </si>
  <si>
    <t>I heard my plan covers some care upfront before I pay anything — how does that work?</t>
  </si>
  <si>
    <t>For regular things like office visits or labs, how much does my plan pay before I start paying?</t>
  </si>
  <si>
    <t>What happens once that upfront coverage runs out — do I pay the full cost or just my usual copay?</t>
  </si>
  <si>
    <t>Is surgery or a hospital stay handled the same way as regular doctor visits on this plan?</t>
  </si>
  <si>
    <t>“Why am I paying full price for my prescriptions?”</t>
  </si>
  <si>
    <t>Rx Embedded</t>
  </si>
  <si>
    <t>“Do my prescriptions count toward my deductible?”</t>
  </si>
  <si>
    <t>“Does my medication cost go toward my out‑of‑pocket maximum?”</t>
  </si>
  <si>
    <t>“Why does my drug cost show up under medical spending?”</t>
  </si>
  <si>
    <t>“Once I meet my deductible, will my prescriptions be covered?”</t>
  </si>
  <si>
    <t>“Is my prescription benefit separate from medical?”</t>
  </si>
  <si>
    <r>
      <t xml:space="preserve">Is </t>
    </r>
    <r>
      <rPr>
        <b/>
        <sz val="11"/>
        <color rgb="FF000000"/>
        <rFont val="Aptos Narrow"/>
        <family val="2"/>
      </rPr>
      <t>telehealth</t>
    </r>
    <r>
      <rPr>
        <sz val="11"/>
        <color rgb="FF000000"/>
        <rFont val="Aptos Narrow"/>
        <family val="2"/>
      </rPr>
      <t xml:space="preserve"> a option on this plan?</t>
    </r>
  </si>
  <si>
    <t>SG Pltm90 TrioHMO 0/20+CD Mirror+ARB Jul25</t>
  </si>
  <si>
    <r>
      <t>Plan: SG Pltm90 TrioHMO 0/20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t>
    </r>
    <r>
      <rPr>
        <b/>
        <sz val="11"/>
        <color rgb="FF000000"/>
        <rFont val="Aptos Narrow"/>
        <family val="2"/>
      </rPr>
      <t xml:space="preserve">
A. Online consultations
1. In-network provider:
Yes, this plan includes telehealth options. For in-network providers, the plan does not have a deductible. The copay for an online consultation is $20 per visit. The service applies to the plan's out-of-pocket maximum amount of $4,500, not to exceed $9,000 per family. When the plan's out-of-pocket maximum amount is satisfied, the plan will reimburse 100% of the allowed amount.
Additional Information: </t>
    </r>
    <r>
      <rPr>
        <sz val="11"/>
        <color rgb="FF000000"/>
        <rFont val="Aptos Narrow"/>
        <family val="2"/>
      </rPr>
      <t>Coverage for telehealth PCP or specialist visits will be on the same basis and to the same extent as a service conducted in person. Additionally, online telebehavioral heal services are available through MHSA participating providers and are a covered service.</t>
    </r>
    <r>
      <rPr>
        <b/>
        <sz val="11"/>
        <color rgb="FF000000"/>
        <rFont val="Aptos Narrow"/>
        <family val="2"/>
      </rPr>
      <t xml:space="preserve">
2. Out-of-network provider:
For out-of-network providers, the patient is responsible for 100% of the provider's billed amount, as the plan only covers in-network providers.
B. Teladoc
1. In-network provider:</t>
    </r>
    <r>
      <rPr>
        <sz val="11"/>
        <color rgb="FF000000"/>
        <rFont val="Aptos Narrow"/>
        <family val="2"/>
      </rPr>
      <t xml:space="preserve">
The plan also provides coverage for Teladoc services. Teladoc is a third-party provider providing health consultations by secure online video. Teladoc providers provide general medical services and mental health services. For more information, call 1 (800) 835-2362 or visit www.blueshieldca.com/teladoc.
For in-network providers, the plan does not have a deductible. The plan will reimburse the provider 100% of the allowed amount for Teladoc consultations.</t>
    </r>
    <r>
      <rPr>
        <b/>
        <sz val="11"/>
        <color rgb="FF000000"/>
        <rFont val="Aptos Narrow"/>
        <family val="2"/>
      </rPr>
      <t xml:space="preserve">
2. Out-of-network provider:</t>
    </r>
    <r>
      <rPr>
        <sz val="11"/>
        <color rgb="FF000000"/>
        <rFont val="Aptos Narrow"/>
        <family val="2"/>
      </rPr>
      <t xml:space="preserve">
For out-of-network providers, the patient is responsible for 100% of the provider's billed amount, as the plan only covers in-network providers.</t>
    </r>
  </si>
  <si>
    <t>SG Gold Tandem PPO 1000/30 OffEx+ARB Jan25</t>
  </si>
  <si>
    <t>M0037534</t>
  </si>
  <si>
    <r>
      <t xml:space="preserve">Plan: SG Gold Tandem PPO 1000/30
</t>
    </r>
    <r>
      <rPr>
        <b/>
        <sz val="11"/>
        <color rgb="FF000000"/>
        <rFont val="Aptos Narrow"/>
        <family val="2"/>
      </rPr>
      <t xml:space="preserve">
A. Teladoc General Medical Consultations 
1. In-network Provider: 
</t>
    </r>
    <r>
      <rPr>
        <sz val="11"/>
        <color rgb="FF000000"/>
        <rFont val="Aptos Narrow"/>
        <family val="2"/>
      </rPr>
      <t xml:space="preserve">The plan has a $1,000 deductible per person, not to exceed $2,000 per family. However, Teladoc consultations are not subject to the deductible. Blue Shield will reimburse the provider 100% of the allowed amount.
</t>
    </r>
    <r>
      <rPr>
        <b/>
        <sz val="11"/>
        <color rgb="FF000000"/>
        <rFont val="Aptos Narrow"/>
        <family val="2"/>
      </rPr>
      <t xml:space="preserve">
2. Out-of-network Provider:
</t>
    </r>
    <r>
      <rPr>
        <sz val="11"/>
        <color rgb="FF000000"/>
        <rFont val="Aptos Narrow"/>
        <family val="2"/>
      </rPr>
      <t>The service you are requesting is either not a benefit or it is an exclusion under your current policy. As the member, this means you are responsible for 100% of the billed amount.</t>
    </r>
  </si>
  <si>
    <t>1. Can I see a doctor online with this plan, and how much does it cost?</t>
  </si>
  <si>
    <t>Virtual Blue (note this is different than the  teledoc respones)</t>
  </si>
  <si>
    <r>
      <t xml:space="preserve">Yes. Your plan includes access to the </t>
    </r>
    <r>
      <rPr>
        <b/>
        <sz val="11"/>
        <color theme="1"/>
        <rFont val="Calibri"/>
        <family val="2"/>
        <scheme val="minor"/>
      </rPr>
      <t>Virtual Blue program</t>
    </r>
    <r>
      <rPr>
        <sz val="11"/>
        <color theme="1"/>
        <rFont val="Calibri"/>
        <family val="2"/>
        <scheme val="minor"/>
      </rPr>
      <t xml:space="preserve">, which offers virtual primary care, specialist care, and mental health visits by phone or secure video. When you use a </t>
    </r>
    <r>
      <rPr>
        <b/>
        <sz val="11"/>
        <color theme="1"/>
        <rFont val="Calibri"/>
        <family val="2"/>
        <scheme val="minor"/>
      </rPr>
      <t>Virtual Blue program provider</t>
    </r>
    <r>
      <rPr>
        <sz val="11"/>
        <color theme="1"/>
        <rFont val="Calibri"/>
        <family val="2"/>
        <scheme val="minor"/>
      </rPr>
      <t xml:space="preserve">, there is </t>
    </r>
    <r>
      <rPr>
        <b/>
        <sz val="11"/>
        <color theme="1"/>
        <rFont val="Calibri"/>
        <family val="2"/>
        <scheme val="minor"/>
      </rPr>
      <t>no cost to you</t>
    </r>
    <r>
      <rPr>
        <sz val="11"/>
        <color theme="1"/>
        <rFont val="Calibri"/>
        <family val="2"/>
        <scheme val="minor"/>
      </rPr>
      <t xml:space="preserve"> — these visits have a </t>
    </r>
    <r>
      <rPr>
        <b/>
        <sz val="11"/>
        <color theme="1"/>
        <rFont val="Calibri"/>
        <family val="2"/>
        <scheme val="minor"/>
      </rPr>
      <t>$0 copayment</t>
    </r>
    <r>
      <rPr>
        <sz val="11"/>
        <color theme="1"/>
        <rFont val="Calibri"/>
        <family val="2"/>
        <scheme val="minor"/>
      </rPr>
      <t>, and the medical deductible does not apply.</t>
    </r>
  </si>
  <si>
    <r>
      <rPr>
        <sz val="11"/>
        <color rgb="FF000000"/>
        <rFont val="Segoe UI"/>
        <family val="2"/>
      </rPr>
      <t xml:space="preserve">For all plans that include the </t>
    </r>
    <r>
      <rPr>
        <b/>
        <sz val="11"/>
        <color rgb="FF000000"/>
        <rFont val="Segoe UI"/>
        <family val="2"/>
      </rPr>
      <t>Virtual Blue program</t>
    </r>
    <r>
      <rPr>
        <sz val="11"/>
        <color rgb="FF000000"/>
        <rFont val="Segoe UI"/>
        <family val="2"/>
      </rPr>
      <t xml:space="preserve">, services rendered by </t>
    </r>
    <r>
      <rPr>
        <b/>
        <sz val="11"/>
        <color rgb="FF000000"/>
        <rFont val="Segoe UI"/>
        <family val="2"/>
      </rPr>
      <t>Virtual Blue program providers</t>
    </r>
    <r>
      <rPr>
        <sz val="11"/>
        <color rgb="FF000000"/>
        <rFont val="Segoe UI"/>
        <family val="2"/>
      </rPr>
      <t xml:space="preserve"> (including virtual primary care, specialist care, and mental health services) are covered with a </t>
    </r>
    <r>
      <rPr>
        <b/>
        <sz val="11"/>
        <color rgb="FF000000"/>
        <rFont val="Segoe UI"/>
        <family val="2"/>
      </rPr>
      <t>$0 copayment</t>
    </r>
    <r>
      <rPr>
        <sz val="11"/>
        <color rgb="FF000000"/>
        <rFont val="Segoe UI"/>
        <family val="2"/>
      </rPr>
      <t xml:space="preserve">, and the </t>
    </r>
    <r>
      <rPr>
        <b/>
        <sz val="11"/>
        <color rgb="FF000000"/>
        <rFont val="Segoe UI"/>
        <family val="2"/>
      </rPr>
      <t>medical deductible does not apply</t>
    </r>
    <r>
      <rPr>
        <sz val="11"/>
        <color rgb="FF000000"/>
        <rFont val="Segoe UI"/>
        <family val="2"/>
      </rPr>
      <t xml:space="preserve">. </t>
    </r>
    <r>
      <rPr>
        <b/>
        <sz val="11"/>
        <color rgb="FF000000"/>
        <rFont val="Segoe UI"/>
        <family val="2"/>
      </rPr>
      <t>No referral from a primary care physician is required</t>
    </r>
    <r>
      <rPr>
        <sz val="11"/>
        <color rgb="FF000000"/>
        <rFont val="Segoe UI"/>
        <family val="2"/>
      </rPr>
      <t xml:space="preserve"> to access Virtual Blue services.
If a member receives care</t>
    </r>
    <r>
      <rPr>
        <b/>
        <sz val="11"/>
        <color rgb="FF000000"/>
        <rFont val="Segoe UI"/>
        <family val="2"/>
      </rPr>
      <t xml:space="preserve"> outside of the Virtual Blue program</t>
    </r>
    <r>
      <rPr>
        <sz val="11"/>
        <color rgb="FF000000"/>
        <rFont val="Segoe UI"/>
        <family val="2"/>
      </rPr>
      <t>, standard PPO cost sharing applies according to the plan’s Summary of Benefits.</t>
    </r>
  </si>
  <si>
    <t>2. What types of care can I get through the Virtual Blue program?</t>
  </si>
  <si>
    <t>Virtual Blue</t>
  </si>
  <si>
    <r>
      <t xml:space="preserve">Through the Virtual Blue program, you can receive </t>
    </r>
    <r>
      <rPr>
        <b/>
        <sz val="11"/>
        <color theme="1"/>
        <rFont val="Calibri"/>
        <family val="2"/>
        <scheme val="minor"/>
      </rPr>
      <t>primary care</t>
    </r>
    <r>
      <rPr>
        <sz val="11"/>
        <color theme="1"/>
        <rFont val="Calibri"/>
        <family val="2"/>
        <scheme val="minor"/>
      </rPr>
      <t xml:space="preserve">, </t>
    </r>
    <r>
      <rPr>
        <b/>
        <sz val="11"/>
        <color theme="1"/>
        <rFont val="Calibri"/>
        <family val="2"/>
        <scheme val="minor"/>
      </rPr>
      <t>specialist care</t>
    </r>
    <r>
      <rPr>
        <sz val="11"/>
        <color theme="1"/>
        <rFont val="Calibri"/>
        <family val="2"/>
        <scheme val="minor"/>
      </rPr>
      <t xml:space="preserve">, and </t>
    </r>
    <r>
      <rPr>
        <b/>
        <sz val="11"/>
        <color theme="1"/>
        <rFont val="Calibri"/>
        <family val="2"/>
        <scheme val="minor"/>
      </rPr>
      <t>mental health care</t>
    </r>
    <r>
      <rPr>
        <sz val="11"/>
        <color theme="1"/>
        <rFont val="Calibri"/>
        <family val="2"/>
        <scheme val="minor"/>
      </rPr>
      <t xml:space="preserve"> virtually. This includes routine care, diagnosis and treatment of urgent concerns, mental health visits, and certain specialist services. If your Virtual Blue provider determines that in‑person care is needed, you may be directed to a Participating Provider outside the program, and regular cost sharing would apply.</t>
    </r>
  </si>
  <si>
    <t>3. Is mental health care included in Virtual Blue, or do I have to see someone in person?</t>
  </si>
  <si>
    <r>
      <t xml:space="preserve">Mental health care is included in the Virtual Blue program. You can receive virtual mental health visits with licensed providers at </t>
    </r>
    <r>
      <rPr>
        <b/>
        <sz val="11"/>
        <color theme="1"/>
        <rFont val="Calibri"/>
        <family val="2"/>
        <scheme val="minor"/>
      </rPr>
      <t>no cost</t>
    </r>
    <r>
      <rPr>
        <sz val="11"/>
        <color theme="1"/>
        <rFont val="Calibri"/>
        <family val="2"/>
        <scheme val="minor"/>
      </rPr>
      <t xml:space="preserve"> — a </t>
    </r>
    <r>
      <rPr>
        <b/>
        <sz val="11"/>
        <color theme="1"/>
        <rFont val="Calibri"/>
        <family val="2"/>
        <scheme val="minor"/>
      </rPr>
      <t>$0 copayment</t>
    </r>
    <r>
      <rPr>
        <sz val="11"/>
        <color theme="1"/>
        <rFont val="Calibri"/>
        <family val="2"/>
        <scheme val="minor"/>
      </rPr>
      <t xml:space="preserve"> applies when using a Virtual Blue program provider. If you choose to receive mental health services outside the Virtual Blue program, your standard office visit cost share would apply.</t>
    </r>
  </si>
  <si>
    <t>4. If I use Virtual Blue first, can I still go see a doctor in person later?</t>
  </si>
  <si>
    <r>
      <t xml:space="preserve">Yes. You can choose to receive care through the Virtual Blue program at any time, or you may see an in‑person </t>
    </r>
    <r>
      <rPr>
        <b/>
        <sz val="11"/>
        <color theme="1"/>
        <rFont val="Calibri"/>
        <family val="2"/>
        <scheme val="minor"/>
      </rPr>
      <t>Participating Provider</t>
    </r>
    <r>
      <rPr>
        <sz val="11"/>
        <color theme="1"/>
        <rFont val="Calibri"/>
        <family val="2"/>
        <scheme val="minor"/>
      </rPr>
      <t xml:space="preserve"> instead. If you start with Virtual Blue and are referred for in‑person care, you will pay the applicable copayment or coinsurance for that visit, based on your plan’s benefits.</t>
    </r>
  </si>
  <si>
    <t>Do I need a referral from my primary care doctor to use Virtual Blue or see a specialist?</t>
  </si>
  <si>
    <r>
      <t xml:space="preserve">No. A referral from a primary care physician is </t>
    </r>
    <r>
      <rPr>
        <b/>
        <sz val="11"/>
        <color theme="1"/>
        <rFont val="Segoe UI"/>
        <family val="2"/>
      </rPr>
      <t>not required</t>
    </r>
    <r>
      <rPr>
        <sz val="11"/>
        <color theme="1"/>
        <rFont val="Segoe UI"/>
        <family val="2"/>
      </rPr>
      <t xml:space="preserve"> under this plan. This is a </t>
    </r>
    <r>
      <rPr>
        <b/>
        <sz val="11"/>
        <color theme="1"/>
        <rFont val="Segoe UI"/>
        <family val="2"/>
      </rPr>
      <t>PPO plan</t>
    </r>
    <r>
      <rPr>
        <sz val="11"/>
        <color theme="1"/>
        <rFont val="Segoe UI"/>
        <family val="2"/>
      </rPr>
      <t xml:space="preserve">, and members can access care directly. You may use the </t>
    </r>
    <r>
      <rPr>
        <b/>
        <sz val="11"/>
        <color theme="1"/>
        <rFont val="Segoe UI"/>
        <family val="2"/>
      </rPr>
      <t>Virtual Blue program</t>
    </r>
    <r>
      <rPr>
        <sz val="11"/>
        <color theme="1"/>
        <rFont val="Segoe UI"/>
        <family val="2"/>
      </rPr>
      <t xml:space="preserve"> for primary care, specialist care, or mental health services without a referral. You can also see other Participating Providers without a referral, though standard cost sharing may apply if the visit is outside the Virtual Blue program.</t>
    </r>
  </si>
  <si>
    <t>Does my spouse or partner need to be on my plan?</t>
  </si>
  <si>
    <t>Brief Answer
The plan document doesn’t state a requirement that a spouse or partner must be enrolled on the plan in order for the Member to receive infertility diagnosis/treatment benefits. It does note that certain infertility-related services are excluded when they are “incident to or resulting from procedures for a surrogate mother who is otherwise not eligible” for covered maternity care under a Blue Shield plan.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What the plan says about infertility treatment eligibility
The plan provides infertility benefits “for the diagnosis and treatment of the cause of Infertility” (with certain exclusions). [2]
The Assisted Reproductive Technology (ART) benefit language refers to benefits “provided for a Member who meets the definition of Infertility” and states benefits are only provided for services received from Participating Providers. [3]
What the plan says that may affect whether another person must be enrolled
The exclusions section states infertility-related services are excluded for “services incident to or resulting from procedures for a surrogate mother who is otherwise not eligible for covered pregnancy and maternity care under a Blue Shield health plan.” [4]
This is the closest language in the plan to “another person must be eligible/enrolled,” but it’s specific to a surrogate mother scenario—not a general spouse/partner enrollment requirement.
I couldn't find this information in the current plan document. (Specifically, I did not find language stating a spouse/partner must be enrolled for the Member’s infertility treatments/procedures to be covered.)
If you need a definitive internal policy interpretation beyond the plan document language, please consult the Knowledgebase.</t>
  </si>
  <si>
    <t>Question can be removed, but keeping this here for interest of Mira response</t>
  </si>
  <si>
    <t>Are fertility medications covered?</t>
  </si>
  <si>
    <t>Brief Answer
Yes — fertility medications can be covered under this plan, but it depends on whether they are provider-administered (covered under the medical benefit with prior authorization) or self-administered outpatient prescriptions (covered under the Prescription Drug Benefit tiers). I couldn’t find a fertility-medication-specific benefit entry that lists which fertility drugs are covered.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1) Provider-administered fertility drugs (medical benefit)
This is what the plan calls “Prescription Drugs administered by a Health Care Provider” (for example, administered in a physician office, infusion center, hospital outpatient department, or at home through a home infusion agency). These are covered under the medical benefit and require prior authorization. [2]
I couldn’t find the exact member cost share for fertility medications administered by a provider in the portions of the plan data provided (the plan language confirms coverage under the medical benefit, but the specific cost-share table for those drugs wasn’t included). [2]
2) Self-administered fertility drugs (outpatient pharmacy benefit)
For infertility/ART, the plan states that self-administered drugs prescribed to induce fertilization are covered under the Prescription Drug Benefits section at the applicable drug tier (copay/coinsurance depends on Tier 1–Tier 4 and pharmacy type). [3]
Retail (30-day supply) [4]
Tier 1: $5 per prescription (Level A) / $7 per prescription (Level B) [4]
Tier 2: $20 per prescription (Level A) / $35 per prescription (Level B) [4]
Tier 3: $30 per prescription (Level A) / $50 per prescription (Level B) [4]
Tier 4: 10% Coinsurance (Level A/B); maximum payable amount up to $250 per prescription [4][5]
Retail (90-day supply) [4]
Tier 1: $15 per prescription (Level A) / $21 per prescription (Level B) [4]
Tier 2: $60 per prescription (Level A) / $105 per prescription (Level B) [4]
Tier 3: $90 per prescription (Level A) / $150 per prescription (Level B) [4]
Tier 4: 10% Coinsurance (Level A/B); maximum payable amount up to $750 per prescription [4][6]
Mail Order (90-day supply) [4]
Tier 1: $10 per prescription [4]
Tier 2: $40 per prescription [4]
Tier 3: $60 per prescription [4]
Tier 4: 10% Coinsurance; maximum payable amount up to $500 per prescription [4][7]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 [8]
Network (HMO) — required for benefits
In-Network Provider
For in-network providers: [9]
Out-of-Network Provider
For out-of-network providers, the member is responsible for 100% of the provider's billed amount, as the plan only covers in-network providers.</t>
  </si>
  <si>
    <t>How do I know if a doctor out of state takes my insurance?</t>
  </si>
  <si>
    <t>Blue Card</t>
  </si>
  <si>
    <t>Brief Answer
Because this is a PPO plan with the BlueCard out-of-state network, you’ll want the Member to confirm the provider participates in the BlueCard (Blue Cross Blue Shield) network. The most reliable way is to use the Blue Cross Blue Shield “Find a Doctor” tool (bcbs.com) referenced in the plan’s “Services Outside of California” program.
Detailed Explanation
How the Member can check if an out-of-state doctor takes this plan (BlueCard):
Have the Member search for the doctor on the BlueCard “Find a Doctor” directory (bcbs.com). The plan directs Members to use bcbs.com to find participating providers while outside California [1].
Confirm the doctor is “participating” with the local Blue Cross/Blue Shield plan (Host Blue). The plan explains that when care is received outside California in the BlueCard Service Area, providers fall into two types: participating (contracted with the Host Blue) and non-participating (not contracted) [2].
If the provider is non-participating, the Member can still receive care, but costs may be higher and balance billing may apply. The plan notes that non-participating providers outside California may bill above what is paid/allowed, and the Member can be responsible for the difference [2].</t>
  </si>
  <si>
    <t>Is emergency care covered everywhere?</t>
  </si>
  <si>
    <t>Brief Answer
Yes. Emergency Services are covered at any hospital (including non-participating/out-of-network facilities). The plan’s Emergency Room cost share applies for both in-network and out-of-network emergency room services.
Detailed Explanation
Emergency or Ambulance services are covered at the participating provider cost share, even if treatment is received from a non-participating provider.[1]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hospital.[1]
Emergency Room (Facility)
In-Network Provider
For in-network providers: [2]
the plan does not have a deductible.[3]
The service applies to the plan's out-of-pocket maximum amount of $4,700, not to exceed $9,400 per family. When the plan's out-of-pocket maximum amount is satisfied, the health plan will reimburse 100% of the allowed amount.[4]
Cost share: $150 per visit + 10% Coinsurance[5]
Out-of-Network Provider
For out-of-network providers:
An out-of-network provider has the right to bill for the balance. What this means is that the member may be responsible for the difference between the allowed amount and billed amount.[2]
the plan does not have a deductible.[3]
The service applies to the plan's out-of-pocket maximum amount of $4,700, not to exceed $9,400 per family. When the plan's out-of-pocket maximum amount is satisfied, the health plan will reimburse 100% of the allowed amount.[4]
Cost share (emergency): $150 per visit + 10% Coinsurance[5]
Emergency Room (Physician/Professional)
In-Network Provider
For in-network providers: [2]
the plan does not have a deductible.[3]
The service applies to the plan's out-of-pocket maximum amount of $4,700, not to exceed $9,400 per family. When the plan's out-of-pocket maximum amount is satisfied, the health plan will reimburse 100% of the allowed amount.[4]
Cost share: 10% Coinsurance[6]
Out-of-Network Provider
For out-of-network providers:
An out-of-network provider has the right to bill for the balance. What this means is that the member may be responsible for the difference between the allowed amount and billed amount.[2]
the plan does not have a deductible.[3]
The service applies to the plan's out-of-pocket maximum amount of $4,700, not to exceed $9,400 per family. When the plan's out-of-pocket maximum amount is satisfied, the health plan will reimburse 100% of the allowed amount.[4]
Cost share (emergency): 10% Coinsurance[6]</t>
  </si>
  <si>
    <t>Activity</t>
  </si>
  <si>
    <t>BSC Time - Question Creation</t>
  </si>
  <si>
    <t>BSC Time - Proposed Responses</t>
  </si>
  <si>
    <t>BSC Time - Validation</t>
  </si>
  <si>
    <t>Details</t>
  </si>
  <si>
    <t>Active Choice</t>
  </si>
  <si>
    <t>Two Tier PPO</t>
  </si>
  <si>
    <t>AI-AN</t>
  </si>
  <si>
    <t>HMO Trio</t>
  </si>
  <si>
    <t>HMO Access+</t>
  </si>
  <si>
    <t>PPO Savings</t>
  </si>
  <si>
    <t>EOC Samples</t>
  </si>
  <si>
    <t>Key Language</t>
  </si>
  <si>
    <t>Remaining IFP/SG</t>
  </si>
  <si>
    <t> </t>
  </si>
  <si>
    <t>Y</t>
  </si>
  <si>
    <t>Large Group – Virtual Blue</t>
  </si>
  <si>
    <t>Includes ground truth testing, JSON connection</t>
  </si>
  <si>
    <t>M0043097
M0038342
M0040830</t>
  </si>
  <si>
    <t>Virtual Blue Program, Telehealth (teledoc not included)</t>
  </si>
  <si>
    <t>Large Group – Infertility Benefits</t>
  </si>
  <si>
    <t>M0043097
M0043447</t>
  </si>
  <si>
    <t>Large Group – Blue Card (Home, Host)</t>
  </si>
  <si>
    <t>M0045317
M0044741</t>
  </si>
  <si>
    <t>BlueCard</t>
  </si>
  <si>
    <t>Large Group – Category</t>
  </si>
  <si>
    <t>M0043038
M0040178</t>
  </si>
  <si>
    <t>Category 1: First Dollar Services – Outpatient Professional and Diagnostic
Category 2: Outpatient and Inpatient FacilityBased Services</t>
  </si>
  <si>
    <t xml:space="preserve">Large  Group – Tiered networrks </t>
  </si>
  <si>
    <t>Y?</t>
  </si>
  <si>
    <t>M0043447
M0044384
M0044384
M0044385</t>
  </si>
  <si>
    <t>POS:
Level I (HMO Participating Providers): Services must be provided or prior authorized by your primary care
Physician or medical group/IPA, with some exceptions. Please review your EOC for details about how to
access care under this level.
• Level II (PPO Participating Providers): Services are provided by Participating Providers. Any Copayment or
Coinsurance is calculated from the Allowable Amount.
• Level III (Non-Participating Providers): Services are provided by Non-Participating Providers
Two-Tier PPO
“When using a Participating Provider” (Tier 1)
“When using a Non‑Participating Provider” (Tier 2)</t>
  </si>
  <si>
    <t>Large Group – PPO HSA</t>
  </si>
  <si>
    <t>M0039662</t>
  </si>
  <si>
    <t>“It is designed to be compatible for use with tax‑favored health savings accounts established under federal tax law.”
“This Plan is not a ‘Health Savings Account’ or an ‘HSA’, but is designed as a ‘high deductible health plan’ that may allow you, if you are eligible, to take advantage of the income tax benefits available to you when you establish an HSA and use the money you put into the HSA to pay for qualified medical expenses subject to the deductibles under this Plan.”</t>
  </si>
  <si>
    <t>Large Group - Hearing Aids</t>
  </si>
  <si>
    <t>Nexus Benefit ID 482</t>
  </si>
  <si>
    <t>Large Group - Self Referral</t>
  </si>
  <si>
    <t>Large Group - Rx Embedded</t>
  </si>
  <si>
    <t>" combined(s) medical and pharmacy Deductible"</t>
  </si>
  <si>
    <t>Formulary – Drug Tiers</t>
  </si>
  <si>
    <t>Formulary – Retail vs Mail Order</t>
  </si>
  <si>
    <t>Formulary - Drug Specifc vs General Drug category</t>
  </si>
  <si>
    <t>Signature Blue - Q3</t>
  </si>
  <si>
    <t>Expected Sample Response - with Formulary Data Added</t>
  </si>
  <si>
    <t>Prescription Drug Benefit  - General</t>
  </si>
  <si>
    <t>M0042184</t>
  </si>
  <si>
    <t>Plan: Bronze Access+ HMO® 7000/65 OffEx
To have your prescription drugs covered by your insurance, you must obtain them from a Participating Pharmacy. If you use a Non-Participating Pharmacy, Blue Shield will deny the claim and will not pay anything toward the cost of the drugs, unless they are for a covered emergency. Below is the breakdown of the prescription drug coverage:
Retail Pharmacy (30-day supply):
 - Tier 1:
The plan has a deductible of $7,000 per person, not to exceed $14,000 per family. However, Tier 1 drugs are not subject to the deductible. The copay for Tier 1 drugs is $25 at Level A Participating Pharmacies and $30 at Level B Participating Pharmacies.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$115 at Level A Participating Pharmacies and $145 at Level B Participating Pharmacies.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$160 at Level A Participating Pharmacies and $210 at Level B Participating Pharmacies.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$500 per prescription. The service applies to the plan's out-of-pocket maximum amount of $9,800, not to exceed $19,600 per family. When the plan's out-of-pocket maximum amount is satisfied, Blue Shield will reimburse the provider 100% of the allowed amount.
Retail 90-Day (at retail pharmacies):
 - Tier 1:
The plan has a deductible of $7,000 per person, not to exceed $14,000 per family. However, Tier 1 drugs are not subject to the deductible. The copay for Tier 1 drugs is $75 at Level A Participating Pharmacies and $90 at Level B Participating Pharmacies.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$345 at Level A Participating Pharmacies and $435 at Level B Participating Pharmacies.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$480 at Level A Participating Pharmacies and $630 at Level B Participating Pharmacies.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$1,500 per prescription. The service applies to the plan's out-of-pocket maximum amount of $9,800, not to exceed $19,600 per family. When the plan's out-of-pocket maximum amount is satisfied, Blue Shield will reimburse the provider 100% of the allowed amount.
Mail Order Service (90-day supply):
 - Tier 1:
The plan has a deductible of $7,000 per person, not to exceed $14,000 per family. However, Tier 1 drugs are not subject to the deductible. The copay for Tier 1 drugs is $50 per prescription.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$230 per prescription.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$320 per prescription.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$1,000 per prescription. The service applies to the plan's out-of-pocket maximum amount of $9,800, not to exceed $19,600 per family. When the plan's out-of-pocket maximum amount is satisfied, Blue Shield will reimburse the provider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</si>
  <si>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t>Prescription Drug Benefit</t>
  </si>
  <si>
    <t>M0042300</t>
  </si>
  <si>
    <t>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t>
  </si>
  <si>
    <t>M0042318</t>
  </si>
  <si>
    <r>
      <t>Plan: Silver Local Access+ HMO® 2100/70 OffEx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
Yes, some prescription drugs do require prior authorization from the insurance before they are covered. This process is necessary for certain drugs, including most specialty drugs and prescriptions that exceed specific quantity limits. Here is a detailed breakdown of the prescription drug coverage under your plan:</t>
    </r>
    <r>
      <rPr>
        <b/>
        <sz val="11"/>
        <color rgb="FF000000"/>
        <rFont val="Calibri"/>
        <family val="2"/>
      </rPr>
      <t xml:space="preserve">
Retail Pharmacy (30-day supply)</t>
    </r>
    <r>
      <rPr>
        <sz val="11"/>
        <color rgb="FF000000"/>
        <rFont val="Calibri"/>
        <family val="2"/>
      </rPr>
      <t>:
Tier 1:
  - The plan has a $450 pharmacy deductible per person, not to exceed $900 per family. However, Tier 1 drugs are not subject to the deductible. The copay for Tier 1 formulary generic drugs is $25 per prescription at Level A pharmacies and $30 per prescription at Level B pharmacies. The service applies to the plan's out-of-pocket maximum amount of $9,300, not to exceed $18,600 per family. When the plan's out-of-pocket maximum amount is satisfied, Blue Shield will reimburse the provider 100% of the allowed amount.
Tier 2:
  - The plan has a $450 pharmacy deductible per person, not to exceed $900 per family. After the deductible is met, your copay for Tier 2 formulary brand name drugs is $85 per prescription at Level A pharmacies and $110 per prescription at Level B pharmacies. The service applies to the plan's out-of-pocket maximum amount of $9,300, not to exceed $18,600 per family. When the plan's out-of-pocket maximum amount is satisfied, Blue Shield will reimburse the provider 100% of the allowed amount.
Tier 3:
  - The plan has a $450 pharmacy deductible per person, not to exceed $900 per family. After the deductible is met, your copay for Tier 3 non-formulary brand name drugs is $115 per prescription at Level A pharmacies and $155 per prescription at Level B pharmacies. The service applies to the plan's out-of-pocket maximum amount of $9,300, not to exceed $18,600 per family. When the plan's out-of-pocket maximum amount is satisfied, Blue Shield will reimburse the provider 100% of the allowed amount.
Tier 4:
  - The plan has a $450 pharmacy deductible per person, not to exceed $900 per family. After the deductible is met, the coinsurance for Tier 4 drugs is 40% with a maximum of $250 per prescription. The service applies to the plan's out-of-pocket maximum amount of $9,300, not to exceed $18,600 per family. When the plan's out-of-pocket maximum amount is satisfied, Blue Shield will reimburse the provider 100% of the allowed amount.</t>
    </r>
    <r>
      <rPr>
        <b/>
        <sz val="11"/>
        <color rgb="FF000000"/>
        <rFont val="Calibri"/>
        <family val="2"/>
      </rPr>
      <t xml:space="preserve">
Retail 90-Day (at retail pharmacies):
Tier 1:</t>
    </r>
    <r>
      <rPr>
        <sz val="11"/>
        <color rgb="FF000000"/>
        <rFont val="Calibri"/>
        <family val="2"/>
      </rPr>
      <t xml:space="preserve">
  - The plan has a $450 pharmacy deductible per person, not to exceed $900 per family. However, Tier 1 drugs are not subject to the deductible. The copay for Tier 1 formulary generic drugs is $75 per prescription at Level A pharmacies and $90 per prescription at Level B pharmacies. The service applies to the plan's out-of-pocket maximum amount of $9,300, not to exceed $18,600 per family. When the plan's out-of-pocket maximum amount is satisfied, Blue Shield will reimburse the provider 100% of the allowed amount.
Tier 2:
  - The plan has a $450 pharmacy deductible per person, not to exceed $900 per family. After the deductible is met, your copay for Tier 2 formulary brand name drugs is $255 per prescription at Level A pharmacies and $330 per prescription at Level B pharmacies. The service applies to the plan's out-of-pocket maximum amount of $9,300, not to exceed $18,600 per family. When the plan's out-of-pocket maximum amount is satisfied, Blue Shield will reimburse the provider 100% of the allowed amount.
Tier 3:
  - The plan has a $450 pharmacy deductible per person, not to exceed $900 per family. After the deductible is met, your copay for Tier 3 non-formulary brand name drugs is $345 per prescription at Level A pharmacies and $465 per prescription at Level B pharmacies. The service applies to the plan's out-of-pocket maximum amount of $9,300, not to exceed $18,600 per family. When the plan's out-of-pocket maximum amount is satisfied, Blue Shield will reimburse the provider 100% of the allowed amount.
Tier 4:
  - The plan has a $450 pharmacy deductible per person, not to exceed $900 per family. After the deductible is met, the coinsurance for Tier 4 drugs is 40% with a maximum of $750 per prescription. The service applies to the plan's out-of-pocket maximum amount of $9,300, not to exceed $18,600 per family. When the plan's out-of-pocket maximum amount is satisfied, Blue Shield will reimburse the provider 100% of the allowed amount.</t>
    </r>
    <r>
      <rPr>
        <b/>
        <sz val="11"/>
        <color rgb="FF000000"/>
        <rFont val="Calibri"/>
        <family val="2"/>
      </rPr>
      <t xml:space="preserve">
Mail Order Service (90-day supply):</t>
    </r>
    <r>
      <rPr>
        <sz val="11"/>
        <color rgb="FF000000"/>
        <rFont val="Calibri"/>
        <family val="2"/>
      </rPr>
      <t xml:space="preserve">
Tier 1:
  - The plan has a $450 pharmacy deductible per person, not to exceed $900 per family. However, Tier 1 drugs are not subject to the deductible. The copay for Tier 1 formulary generic drugs is $50 per prescription. The service applies to the plan's out-of-pocket maximum amount of $9,300, not to exceed $18,600 per family. When the plan's out-of-pocket maximum amount is satisfied, Blue Shield will reimburse the provider 100% of the allowed amount.
Tier 2:
  - The plan has a $450 pharmacy deductible per person, not to exceed $900 per family. After the deductible is met, your copay for Tier 2 formulary brand name drugs is $170 per prescription. The service applies to the plan's out-of-pocket maximum amount of $9,300, not to exceed $18,600 per family. When the plan's out-of-pocket maximum amount is satisfied, Blue Shield will reimburse the provider 100% of the allowed amount.
Tier 3:
  - The plan has a $450 pharmacy deductible per person, not to exceed $900 per family. After the deductible is met, your copay for Tier 3 non-formulary brand name drugs is $230 per prescription. The service applies to the plan's out-of-pocket maximum amount of $9,300, not to exceed $18,600 per family. When the plan's out-of-pocket maximum amount is satisfied, Blue Shield will reimburse the provider 100% of the allowed amount.
Tier 4:
  - The plan has a $450 pharmacy deductible per person, not to exceed $900 per family. After the deductible is met, the coinsurance for Tier 4 drugs is 40% with a maximum of $500 per prescription. The service applies to the plan's out-of-pocket maximum amount of $9,300, not to exceed $18,600 per family. When the plan's out-of-pocket maximum amount is satisfied, Blue Shield will reimburse the provider 100% of the allowed amount.</t>
    </r>
    <r>
      <rPr>
        <b/>
        <sz val="11"/>
        <color rgb="FF000000"/>
        <rFont val="Calibri"/>
        <family val="2"/>
      </rPr>
      <t xml:space="preserve">
Note:</t>
    </r>
    <r>
      <rPr>
        <sz val="11"/>
        <color rgb="FF000000"/>
        <rFont val="Calibri"/>
        <family val="2"/>
      </rPr>
      <t xml:space="preserv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</si>
  <si>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M0037557</t>
  </si>
  <si>
    <r>
      <t>Plan: SG Pltm Full PPO 0/0</t>
    </r>
    <r>
      <rPr>
        <b/>
        <sz val="11"/>
        <color rgb="FF000000"/>
        <rFont val="Calibri"/>
        <family val="2"/>
      </rPr>
      <t xml:space="preserve">
A. Tier 1 Mail Order Service (90-day supply):
1. In-network Provider:</t>
    </r>
    <r>
      <rPr>
        <sz val="11"/>
        <color rgb="FF000000"/>
        <rFont val="Calibri"/>
        <family val="2"/>
      </rPr>
      <t xml:space="preserve">
For in-network providers, the plan does not have a deductible. The plan will reimburse 100% of the allowed amount.</t>
    </r>
    <r>
      <rPr>
        <b/>
        <sz val="11"/>
        <color rgb="FF000000"/>
        <rFont val="Calibri"/>
        <family val="2"/>
      </rPr>
      <t xml:space="preserve">
2. Out-of-network Provider:</t>
    </r>
    <r>
      <rPr>
        <sz val="11"/>
        <color rgb="FF000000"/>
        <rFont val="Calibri"/>
        <family val="2"/>
      </rPr>
      <t xml:space="preserve">
Tier 1 mail service prescriptions from out-of-network providers are either not a benefit or they are an exclusion under the plan. This means that the patient would be responsible for 100% of the billed amount.</t>
    </r>
    <r>
      <rPr>
        <b/>
        <sz val="11"/>
        <color rgb="FF000000"/>
        <rFont val="Calibri"/>
        <family val="2"/>
      </rPr>
      <t xml:space="preserve">
B. Tier 2 Mail Order Service (90-day supply):
1. In-network Provider:</t>
    </r>
    <r>
      <rPr>
        <sz val="11"/>
        <color rgb="FF000000"/>
        <rFont val="Calibri"/>
        <family val="2"/>
      </rPr>
      <t xml:space="preserve">
For in-network providers, the plan does not have a deductible. The copay for mail service Tier 2 Formulary Brand Name Drugs is $70 per prescription. This amount applies to the plan's out-of-pocket maximum amount of $5,000, not to exceed $10,000 per family. When the plan's out-of-pocket maximum amount is satisfied, the plan will reimburse 100% of the allowed amount.</t>
    </r>
    <r>
      <rPr>
        <b/>
        <sz val="11"/>
        <color rgb="FF000000"/>
        <rFont val="Calibri"/>
        <family val="2"/>
      </rPr>
      <t xml:space="preserve">
2. Out-of-network Provider:
Tier 2 mail service prescriptions from out-of-network providers are either not a benefit or they are an exclusion under the plan. This means that the patient would be responsible for 100% of the billed amount.
C. Tier 3 Mail Order Service (90-day supply):
1. In-network Provider:</t>
    </r>
    <r>
      <rPr>
        <sz val="11"/>
        <color rgb="FF000000"/>
        <rFont val="Calibri"/>
        <family val="2"/>
      </rPr>
      <t xml:space="preserve">
For in-network providers, the plan does not have a deductible. The copay for mail service Tier 3 Non-Formulary Brand Name Drugs is $110 per prescription. This amount applies to the plan's out-of-pocket maximum amount of $5,000, not to exceed $10,000 per family. When the plan's out-of-pocket maximum amount is satisfied, the plan will reimburse 100% of the allowed amount.</t>
    </r>
    <r>
      <rPr>
        <b/>
        <sz val="11"/>
        <color rgb="FF000000"/>
        <rFont val="Calibri"/>
        <family val="2"/>
      </rPr>
      <t xml:space="preserve">
2. Out-of-network Provider:
Tier 3 mail service prescriptions from out-of-network providers are either not a benefit or they are an exclusion under the plan. This means that the patient would be responsible for 100% of the billed amount.
D. Tier 4 Mail Order Service (90-day supply):
1. In-network Provider:</t>
    </r>
    <r>
      <rPr>
        <sz val="11"/>
        <color rgb="FF000000"/>
        <rFont val="Calibri"/>
        <family val="2"/>
      </rPr>
      <t xml:space="preserve">
For in-network providers, the plan does not have a deductible. The coinsurance for mail service Tier 4 Non-Formulary Brand Name Drugs is 30% of the allowed amount, and the plan will reimburse the remaining 70% of the allowed amount. The coinsurance amount applies to the plan's out-of-pocket maximum amount of $5,000, not to exceed $10,000 per family. When the plan's out-of-pocket maximum amount is satisfied, the plan will reimburse 100% of the allowed amount.</t>
    </r>
    <r>
      <rPr>
        <b/>
        <sz val="11"/>
        <color rgb="FF000000"/>
        <rFont val="Calibri"/>
        <family val="2"/>
      </rPr>
      <t xml:space="preserve">
2. Out-of-network Provider:
Tier 4 mail service prescriptions from out-of-network providers are either not a benefit or they are an exclusion under the plan. This means that the patient would be responsible for 100% of the billed amount.
Additional Information: </t>
    </r>
    <r>
      <rPr>
        <sz val="11"/>
        <color rgb="FF000000"/>
        <rFont val="Calibri"/>
        <family val="2"/>
      </rPr>
      <t>Prescriptions obtained from a non-participating pharmacy are not covered unless they are for a covered emergency.</t>
    </r>
  </si>
  <si>
    <t>M0037421</t>
  </si>
  <si>
    <r>
      <t>Plan: SG Slvr70 HMO 2500/55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Blue Shield's Drug Formulary is divided into drug tiers. The copayment for a prescription drug will vary based on the drug tier.</t>
    </r>
    <r>
      <rPr>
        <b/>
        <sz val="11"/>
        <color rgb="FF000000"/>
        <rFont val="Calibri"/>
        <family val="2"/>
      </rPr>
      <t xml:space="preserve">
A. Retail Pharmacy (30-day supply):
1. In-network Provider:</t>
    </r>
    <r>
      <rPr>
        <sz val="11"/>
        <color rgb="FF000000"/>
        <rFont val="Calibri"/>
        <family val="2"/>
      </rPr>
      <t xml:space="preserve">
Tier 1: The plan has a $2,500 deductible per person, not to exceed $5,000 per family. However, Tier 1 drugs are not subject to the deductible. The copay for a Tier 1 drug is $19 per prescription.
Tier 2:  The plan has a $2,500 deductible per person, not to exceed $5,000 per family. After the deductible is met, the copay for Tier 2 drugs is $85 per prescription.
Tier 3:  The plan has a $2,500 deductible per person, not to exceed $5,000 per family. After the deductible is met, the copay for Tier 3 drugs is $110 per prescription.
Tier 4: The plan has a $2,500 deductible per person, not to exceed $5,000 per family. After the deductible is met, the coinsurance for Tier 4 drugs is 30% of the allowed amount, with a maximum payable of $250 per prescription.
Prescription drug copays and coinsurance amounts apply to the plan's out-of-pocket maximum amount of $8,750, not to exceed $17,500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in-network providers.
B. Mail Order Service (90-day supply):
1. In-network Provider:</t>
    </r>
    <r>
      <rPr>
        <sz val="11"/>
        <color rgb="FF000000"/>
        <rFont val="Calibri"/>
        <family val="2"/>
      </rPr>
      <t xml:space="preserve">
Tier 1: The plan has a $2,500 deductible per person, not to exceed $5,000 per family. However, Tier 1 drugs are not subject to the deductible. The copay for Tier 1 drugs is $38 per prescription.
Tier 2: The plan has a $2,500 deductible per person, not to exceed $5,000 per family. After the deductible is met, the copay for Tier 2 drugs is $170 per prescription.
Tier 3: The plan has a $2,500 deductible per person, not to exceed $5,000 per family. After the deductible is met, the copay for Tier 3 drugs is $220 per prescription.
Tier 4: The plan has a $2,500 deductible per person, not to exceed $5,000 per family. After the deductible is met, the coinsurance for Tier 4 drugs is 30% of the allowed amount, with a maximum payable of $500 per prescription.
Prescription drug copays and coinsurance amounts apply to the plan's out-of-pocket maximum amount of $8,750, not to exceed $17,500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in-network providers.
C. Retail Pharmacy (90-day supply):
1. In-network Provider:</t>
    </r>
    <r>
      <rPr>
        <sz val="11"/>
        <color rgb="FF000000"/>
        <rFont val="Calibri"/>
        <family val="2"/>
      </rPr>
      <t xml:space="preserve">
Tier 1: The plan has a $2,500 deductible per person, not to exceed $5,000 per family. However, Tier 1 drugs are not subject to the deductible. The copay for a Tier 1 drug is $57 per prescription.
Tier 2: The plan has a $2,500 deductible per person, not to exceed $5,000 per family. After the deductible is met, the copay for Tier 2 drugs is $255 per prescription.
Tier 3: The plan has a $2,500 deductible per person, not to exceed $5,000 per family. After the deductible is met, the copay for Tier 3 drugs is $330 per prescription.
Tier 4: The plan has a $2,500 deductible per person, not to exceed $5,000 per family. After the deductible is met, the coinsurance for Tier 4 drugs is 30% of the allowed amount, with a maximum payable of $750 per prescription.
Prescription drug copays and coinsurance amounts apply to the plan's out-of-pocket maximum amount of $8,750, not to exceed $17,500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in-network providers.
Additional Information: </t>
    </r>
    <r>
      <rPr>
        <sz val="11"/>
        <color rgb="FF000000"/>
        <rFont val="Calibri"/>
        <family val="2"/>
      </rPr>
      <t>Some drugs, most Specialty Drugs, and prescriptions for drugs exceeding specific quantity limits require prior authorization to be covered. Drugs not listed on the formulary may be covered if Blue Shield approves an exception request. If an exception is denied, the non-formulary drug is not covered, and the patient is responsible for the entire cost of the drug.</t>
    </r>
  </si>
  <si>
    <t>M0041009</t>
  </si>
  <si>
    <r>
      <t>Plan: SG Slvr Trio HMO 2300/70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t>
    </r>
    <r>
      <rPr>
        <b/>
        <sz val="11"/>
        <color rgb="FF000000"/>
        <rFont val="Calibri"/>
        <family val="2"/>
      </rPr>
      <t xml:space="preserve">
A. Compounded Medications
1. In-network Provider:</t>
    </r>
    <r>
      <rPr>
        <sz val="11"/>
        <color rgb="FF000000"/>
        <rFont val="Calibri"/>
        <family val="2"/>
      </rPr>
      <t xml:space="preserve">
The plan has a $2,300 deductible per person, not to exceed $4,600 per family. After the deductible has been met, the cost share for compounded medications is the appropriate Tier 3 copayment amount.
- At a retail pharmacy, the copay for a 30-day supply of medication is $115 per prescription at Provider Level A and $155 at Provider Level B.
- At a retail pharmacy, the copay for a 90-day supply of medication is $345 per prescription at Provider Level A and $465 at Provider Level B.
- At a mail service pharmacy, the copay for a 90-day supply of medication is $230 per prescription.
The service applies to the plan's out-of-pocket maximum amount of $8,750, not to exceed $17,500 per family. When the plan's out-of-pocket maximum amount is satisfied, Blue Shield will reimburse the provider 100% of the allowed amount.</t>
    </r>
    <r>
      <rPr>
        <b/>
        <sz val="11"/>
        <color rgb="FF000000"/>
        <rFont val="Calibri"/>
        <family val="2"/>
      </rPr>
      <t xml:space="preserve">
2. Out-of-network Provider:
For out-of-network providers, the patient is responsible for 100% of the provider's billed amount, as the plan only covers services from in-network providers.</t>
    </r>
  </si>
  <si>
    <t>M0037551</t>
  </si>
  <si>
    <r>
      <t>Plan: SG Pltm HMO 0/20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
Weight loss drugs are conditionally covered under the current plan.</t>
    </r>
    <r>
      <rPr>
        <b/>
        <sz val="11"/>
        <color rgb="FF000000"/>
        <rFont val="Calibri"/>
        <family val="2"/>
      </rPr>
      <t xml:space="preserve">
Prescription Drug Benefits
Some drugs, including those for the medically necessary treatment of Class III obesity, require prior authorization. Additionally, the patient is required to enroll in a comprehensive weight loss program that includes a reduced calorie diet, physical activity, and behavior therapy. The patient will need to be in this type of program for a reasonable period of time, prior to and while on the weight loss drug. Once prior authorization is received, the cost share for weight loss drugs prescribed for the medically necessary treatment of Class III obesity will be dependent on the drug's Tier.
A. Retail Pharmacy
1. In-network Provider:</t>
    </r>
    <r>
      <rPr>
        <sz val="11"/>
        <color rgb="FF000000"/>
        <rFont val="Calibri"/>
        <family val="2"/>
      </rPr>
      <t xml:space="preserve">
For in-network providers, the plan does not have a deductible. The copay for Tier 1 retail drugs is $5 per prescription. The copay for Tier 2 retail drugs is $15 per prescription. The copay for Tier 3 retail drugs is $25 per prescription. The  coinsurance for Tier 4 retail drugs is 20% of the allowed amount, with a maximum payable of $250 per prescription, and the plan will reimburse the remaining 80% of the allowed amount. The service applies to the plan's out-of-pocket maximum amount of $2,300, not to exceed $4,600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services from in-network providers.
B. Mail Service Pharmacy
1. In-network Provider:</t>
    </r>
    <r>
      <rPr>
        <sz val="11"/>
        <color rgb="FF000000"/>
        <rFont val="Calibri"/>
        <family val="2"/>
      </rPr>
      <t xml:space="preserve">
For in-network providers, the plan does not have a deductible. The copay for Tier 1 mail service drugs is $10 per prescription. The copay for Tier 2 mail service drugs is $30 per prescription. The copay for Tier 3 mail service drugs is $50 per prescription. The  coinsurance for Tier 4 mail service drugs is 20% of the allowed amount, with a maximum payable of $500 per prescription, and the plan will reimburse the remaining 80% of the allowed amount. The service applies to the plan's out-of-pocket maximum amount of $2,300, not to exceed $4,600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services from in-network providers.
B. Retail Pharmacy 90 Day
1. In-network Provider:</t>
    </r>
    <r>
      <rPr>
        <sz val="11"/>
        <color rgb="FF000000"/>
        <rFont val="Calibri"/>
        <family val="2"/>
      </rPr>
      <t xml:space="preserve">
For in-network providers, the plan does not have a deductible. The copay for Tier 1 retail 90 day drugs is $15 per prescription. The copay for Tier 2 retail 90 day drugs is $45 per prescription. The copay for Tier 3 retail 90 day drugs is $75 per prescription. The  coinsurance for Tier 4 retail 90 day drugs is 20% of the allowed amount, with a maximum payable of $750 per prescription, and the plan will reimburse the remaining 80% of the allowed amount. The service applies to the plan's out-of-pocket maximum amount of $2,300, not to exceed $4,600 per family. When the plan's out-of-pocket maximum amount is satisfied,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services from in-network providers.
Additional Information: </t>
    </r>
    <r>
      <rPr>
        <sz val="11"/>
        <color rgb="FF000000"/>
        <rFont val="Calibri"/>
        <family val="2"/>
      </rPr>
      <t>Note that drugs for weight loss when prescribed solely for the purpose of losing weight are excluded, except for when medically necessary for the treatment of Class III obesity and when prior authorized.</t>
    </r>
  </si>
  <si>
    <t>no change expected</t>
  </si>
  <si>
    <t>M0037558</t>
  </si>
  <si>
    <r>
      <t>Plan: SG Pltm Full PPO 0/0</t>
    </r>
    <r>
      <rPr>
        <b/>
        <sz val="11"/>
        <color rgb="FF000000"/>
        <rFont val="Calibri"/>
        <family val="2"/>
      </rPr>
      <t xml:space="preserve">
A. Preventive Health Services
1. In-network Provider:</t>
    </r>
    <r>
      <rPr>
        <sz val="11"/>
        <color rgb="FF000000"/>
        <rFont val="Calibri"/>
        <family val="2"/>
      </rPr>
      <t xml:space="preserve">
For in-network providers, the plan does not have a deductible. The plan will reimburse 100% of the allowed amount for immunizations recommended by either the Advisory Committee on Immunization Practices (ACIP) of the Centers for Disease Control and Prevention (CDC) or the most current version of the Recommended Childhood Immunization Schedule.</t>
    </r>
    <r>
      <rPr>
        <b/>
        <sz val="11"/>
        <color rgb="FF000000"/>
        <rFont val="Calibri"/>
        <family val="2"/>
      </rPr>
      <t xml:space="preserve">
2. Out-of-network Provider:
For out-of-network providers, preventive health services are either not a benefit or they are an exclusion under the plan. This means that the patient would be responsible for 100% of the billed amount.</t>
    </r>
  </si>
  <si>
    <t>M0037415</t>
  </si>
  <si>
    <t>Plan: SG Gold80 HMO 250/35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Blue Shield's Drug Formulary is divided into drug tiers. The copayment for a prescription drug will vary based on the drug tier.
A. Retail Pharmacy (30-day supply):
1. In-network Provider:
Tier 1: The plan has a $250 deductible per person, not to exceed $500 per family. However, Tier 1 drugs are not subject to the deductible. The copay for a Tier 1 drug is $15 per prescription.
Tier 2:  The plan has a $250 deductible per person, not to exceed $500 per family. However, Tier 2 drugs are not subject to the deductible. The copay for Tier 2 drugs is $40 per prescription.
Tier 3:  The plan has a $250 deductible per person, not to exceed $500 per family. However, Tier 3 drugs are not subject to the deductible. The copay for Tier 3 drugs is $70 per prescription.
Tier 4: The plan has a $250 deductible per person, not to exceed $500 per family. However, Tier 4 drugs are not subject to the deductible. The coinsurance for Tier 4 drugs is 20% of the allowed amount, with a maximum payable of $250 per prescription.
Prescription drug copays and coinsurance amounts apply to the plan's out-of-pocket maximum amount of $7,800, not to exceed $15,600 per family. When the plan's out-of-pocket maximum amount is satisfied, the plan will reimburse 100% of the allowed amount.
2. Out-of-network Provider:
For out-of-network providers, the patient is responsible for 100% of the provider's billed amount, as the plan only covers in-network providers.
B. Mail Order Service (90-day supply):
1. In-network Provider:
Tier 1: The plan has a $250 deductible per person, not to exceed $500 per family. However, Tier 1 drugs are not subject to the deductible. The copay for Tier 1 drugs is $30 per prescription.
Tier 2:  The plan has a $250 deductible per person, not to exceed $500 per family. However, Tier 2 drugs are not subject to the deductible. The copay for Tier 2 drugs is $80 per prescription.
Tier 3:  The plan has a $250 deductible per person, not to exceed $500 per family. However, Tier 3 drugs are not subject to the deductible. The copay for Tier 3 drugs is $140 per prescription.
Tier 4: The plan has a $250 deductible per person, not to exceed $500 per family. However, Tier 4 drugs are not subject to the deductible. The coinsurance for Tier 4 drugs is 20% of the allowed amount, with a maximum payable of $500 per prescription.
Prescription drug copays and coinsurance amounts apply to the plan's out-of-pocket maximum amount of $7,800, not to exceed $15,600 per family. When the plan's out-of-pocket maximum amount is satisfied, the plan will reimburse 100% of the allowed amount.
2. Out-of-network Provider:
For out-of-network providers, the patient is responsible for 100% of the provider's billed amount, as the plan only covers in-network providers.
C. Retail Pharmacy (90-day supply):
1. In-network Provider:
Tier 1: The plan has a $250 deductible per person, not to exceed $500 per family. However, Tier 1 drugs are not subject to the deductible. The copay for Tier 1 drugs is $45 per prescription.
Tier 2:  The plan has a $250 deductible per person, not to exceed $500 per family. However, Tier 2 drugs are not subject to the deductible. The copay for Tier 2 drugs is $120 per prescription.
Tier 3:  The plan has a $250 deductible per person, not to exceed $500 per family. However, Tier 3 drugs are not subject to the deductible. The copay for Tier 3 drugs is $210 per prescription.
Tier 4: The plan has a $250 deductible per person, not to exceed $500 per family. However, Tier 4 drugs are not subject to the deductible. The coinsurance for Tier 4 drugs is 20% of the allowed amount, with a maximum payable of $750 per prescription.
Prescription drug copays and coinsurance amounts apply to the plan's out-of-pocket maximum amount of $7,800, not to exceed $15,600 per family. When the plan's out-of-pocket maximum amount is satisfied, the plan will reimburse 100% of the allowed amount.
2. Out-of-network Provider:
For out-of-network providers, the patient is responsible for 100% of the provider's billed amount, as the plan only covers in-network providers.
Additional Information: Some drugs, most Specialty Drugs, and prescriptions for drugs exceeding specific quantity limits require prior authorization to be covered. Drugs not listed on the formulary may be covered if Blue Shield approves an exception request. If an exception is denied, the non-formulary drug is not covered, and the patient is responsible for the entire cost of the drug.</t>
  </si>
  <si>
    <t>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Retail (30-day supply)
- Tier 1: The plan has a $250 deductible per person, not to exceed $500 per family. However, Tier 1 drugs are not subject to the deductible. The copay for Tier 1 drugs is $45 per prescription.
2. Out-of-network Provider:
For out-of-network providers, the patient is responsible for 100% of the provider's billed amount, as the plan only covers in-network providers.
Prescription drug copays and coinsurance amounts apply to the plan's out-of-pocket maximum amount of $7,800, not to exceed $15,600 per family. When the plan's out-of-pocket maximum amount is satisfied, the plan will reimburse 100% of the allowed amount.
Retail (90-day supply)
 - Tier 1:The plan has a $250 deductible per person, not to exceed $500 per family. However, Tier 1 drugs are not subject to the deductible. The copay for Tier 1 drugs is $45 per prescription.
2. Out-of-network Provider:
For out-of-network providers, the patient is responsible for 100% of the provider's billed amount, as the plan only covers in-network providers.
Prescription drug copays and coinsurance amounts apply to the plan's out-of-pocket maximum amount of $7,800, not to exceed $15,600 per family. When the plan's out-of-pocket maximum amount is satisfied, the plan will reimburse 100% of the allowed amount.
Mail Order (90-day supply)
 - Tier 1: The plan has a $250 deductible per person, not to exceed $500 per family. However, Tier 1 drugs are not subject to the deductible. The copay for Tier 1 drugs is $30 per prescription.
For out-of-network providers, the patient is responsible for 100% of the provider's billed amount, as the plan only covers in-network providers.
Prescription drug copays and coinsurance amounts apply to the plan's out-of-pocket maximum amount of $7,800, not to exceed $15,600 per family. When the plan's out-of-pocket maximum amount is satisfied, the plan will reimburse 100% of the allowed amount.</t>
  </si>
  <si>
    <t>M0042265</t>
  </si>
  <si>
    <t>HMO - SG</t>
  </si>
  <si>
    <r>
      <t>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If a drug is covered under your health plan, here's a break down of those benefits:</t>
    </r>
    <r>
      <rPr>
        <b/>
        <sz val="11"/>
        <color rgb="FF000000"/>
        <rFont val="Calibri"/>
        <family val="2"/>
      </rPr>
      <t xml:space="preserve">
Retail Pharmacy (30-day supply):
Tier 1:</t>
    </r>
    <r>
      <rPr>
        <sz val="11"/>
        <color rgb="FF000000"/>
        <rFont val="Calibri"/>
        <family val="2"/>
      </rPr>
      <t xml:space="preserve">
  - The plan has a $100 pharmacy deductible per person, not to exceed $200 per family. However, Tier 1 drugs are not subject to the deductible. The copay for Tier 1 formulary generic drugs is $20 per prescription at Level A pharmacies and $25 per prescription at Level B pharmacies.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$50 per prescription at Level A pharmacies and $70 per prescription at Level B pharmacies.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non-formulary brand name drugs is $70 per prescription at Level A pharmacies and $100 per prescription at Level B pharmacies.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20% with a maximum of $250 per prescription. The service applies to the plan's out-of-pocket maximum amount of $7,800, not to exceed $15,600 per family. When the plan's out-of-pocket maximum amount is satisfied, Blue Shield will reimburse the provider 100% of the allowed amount.</t>
    </r>
    <r>
      <rPr>
        <b/>
        <sz val="11"/>
        <color rgb="FF000000"/>
        <rFont val="Calibri"/>
        <family val="2"/>
      </rPr>
      <t xml:space="preserve">
Retail 90-Day (at retail pharmacies):
Tier 1:</t>
    </r>
    <r>
      <rPr>
        <sz val="11"/>
        <color rgb="FF000000"/>
        <rFont val="Calibri"/>
        <family val="2"/>
      </rPr>
      <t xml:space="preserve">
  - The plan has a $100 pharmacy deductible per person, not to exceed $200 per family. However, Tier 1 drugs are not subject to the deductible. The copay for Tier 1 formulary generic drugs is $60 per prescription at Level A pharmacies and $75 per prescription at Level B pharmacies.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$150 per prescription at Level A pharmacies and $210 per prescription at Level B pharmacies.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formulary brand name drugs is $210 per prescription at Level A pharmacies and $300 per prescription at Level B pharmacies.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20% with a maximum of $750 per prescription. The service applies to the plan's out-of-pocket maximum amount of $7,800, not to exceed $15,600 per family. When the plan's out-of-pocket maximum amount is satisfied, Blue Shield will reimburse the provider 100% of the allowed amount.</t>
    </r>
    <r>
      <rPr>
        <b/>
        <sz val="11"/>
        <color rgb="FF000000"/>
        <rFont val="Calibri"/>
        <family val="2"/>
      </rPr>
      <t xml:space="preserve">
Mail Order Service (90-day supply):
Tier 1:</t>
    </r>
    <r>
      <rPr>
        <sz val="11"/>
        <color rgb="FF000000"/>
        <rFont val="Calibri"/>
        <family val="2"/>
      </rPr>
      <t xml:space="preserve">
  - The plan has a $100 pharmacy deductible per person, not to exceed $200 per family. However, Tier 1 drugs are not subject to the deductible. The copay for Tier 1 formulary generic drugs is $40 per prescription.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$100 per prescription.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non-formulary brand name drugs is $140 per prescription.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40% with a maximum of $500 per prescription. The service applies to the plan's out-of-pocket maximum amount of $7,800, not to exceed $15,600 per family. When the plan's out-of-pocket maximum amount is satisfied, Blue Shield will reimburse the provider 100% of the allowed amount.</t>
    </r>
    <r>
      <rPr>
        <b/>
        <sz val="11"/>
        <color rgb="FF000000"/>
        <rFont val="Calibri"/>
        <family val="2"/>
      </rPr>
      <t xml:space="preserve">
Note:</t>
    </r>
    <r>
      <rPr>
        <sz val="11"/>
        <color rgb="FF000000"/>
        <rFont val="Calibri"/>
        <family val="2"/>
      </rPr>
      <t xml:space="preserv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</si>
  <si>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Retail Pharmacy (30-day supply):
Tier 1:
  - The plan has a $100 pharmacy deductible per person, not to exceed $200 per family. However, Tier 1 drugs are not subject to the deductible. The copay for Tier 1 formulary generic drugs is $20 per prescription at Level A pharmacies and $25 per prescription at Level B pharmacies. The service applies to the plan's out-of-pocket maximum amount of $7,800, not to exceed $15,600 per family. When the plan's out-of-pocket maximum amount is satisfied, Blue Shield will reimburse the provider 100% of the allowed amount.
For out-of-network providers, the patient is responsible for 100% of the provider's billed amount, as the plan only covers in-network providers.
Retail 90-Day (at retail pharmacies):
Tier 1:
  - The plan has a $100 pharmacy deductible per person, not to exceed $200 per family. However, Tier 1 drugs are not subject to the deductible. The copay for Tier 1 formulary generic drugs is $60 per prescription at Level A pharmacies and $75 per prescription at Level B pharmacies. The service applies to the plan's out-of-pocket maximum amount of $7,800, not to exceed $15,600 per family. When the plan's out-of-pocket maximum amount is satisfied, Blue Shield will reimburse the provider 100% of the allowed amount.
For out-of-network providers, the patient is responsible for 100% of the provider's billed amount, as the plan only covers in-network providers.
Mail Order Service (90-day supply):
Tier 1:
  - The plan has a $100 pharmacy deductible per person, not to exceed $200 per family. However, Tier 1 drugs are not subject to the deductible. The copay for Tier 1 formulary generic drugs is $40 per prescription. The service applies to the plan's out-of-pocket maximum amount of $7,800, not to exceed $15,600 per family. When the plan's out-of-pocket maximum amount is satisfied, Blue Shield will reimburse the provider 100% of the allowed amount.
For out-of-network providers, the patient is responsible for 100% of the provider's billed amount, as the plan only covers in-network providers.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</si>
  <si>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t>M0042264</t>
  </si>
  <si>
    <r>
      <t>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If a drug is covered under your health plan, here's a break down of those benefits:</t>
    </r>
    <r>
      <rPr>
        <b/>
        <sz val="11"/>
        <color rgb="FF000000"/>
        <rFont val="Calibri"/>
        <family val="2"/>
      </rPr>
      <t xml:space="preserve">
Retail Pharmacy (30-day supply):
Tier 1:</t>
    </r>
    <r>
      <rPr>
        <sz val="11"/>
        <color rgb="FF000000"/>
        <rFont val="Calibri"/>
        <family val="2"/>
      </rPr>
      <t xml:space="preserve">
  - The plan has a $100 pharmacy deductible per person, not to exceed $200 per family. However, Tier 1 drugs are not subject to the deductible. The copay for Tier 1 formulary generic drugs is $20 per prescription at Level A pharmacies and $25 per prescription at Level B pharmacies.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$50 per prescription at Level A pharmacies and $70 per prescription at Level B pharmacies.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non-formulary brand name drugs is $70 per prescription at Level A pharmacies and $100 per prescription at Level B pharmacies.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20% with a maximum of $250 per prescription. The service applies to the plan's out-of-pocket maximum amount of $7,800, not to exceed $15,600 per family. When the plan's out-of-pocket maximum amount is satisfied, Blue Shield will reimburse the provider 100% of the allowed amount.</t>
    </r>
    <r>
      <rPr>
        <b/>
        <sz val="11"/>
        <color rgb="FF000000"/>
        <rFont val="Calibri"/>
        <family val="2"/>
      </rPr>
      <t xml:space="preserve">
Retail 90-Day (at retail pharmacies):
Tier 1:</t>
    </r>
    <r>
      <rPr>
        <sz val="11"/>
        <color rgb="FF000000"/>
        <rFont val="Calibri"/>
        <family val="2"/>
      </rPr>
      <t xml:space="preserve">
  - The plan has a $100 pharmacy deductible per person, not to exceed $200 per family. However, Tier 1 drugs are not subject to the deductible. The copay for Tier 1 formulary generic drugs is $60 per prescription at Level A pharmacies and $75 per prescription at Level B pharmacies.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$150 per prescription at Level A pharmacies and $210 per prescription at Level B pharmacies.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formulary brand name drugs is $210 per prescription at Level A pharmacies and $300 per prescription at Level B pharmacies.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20% with a maximum of $750 per prescription. The service applies to the plan's out-of-pocket maximum amount of $7,800, not to exceed $15,600 per family. When the plan's out-of-pocket maximum amount is satisfied, Blue Shield will reimburse the provider 100% of the allowed amount.</t>
    </r>
    <r>
      <rPr>
        <b/>
        <sz val="11"/>
        <color rgb="FF000000"/>
        <rFont val="Calibri"/>
        <family val="2"/>
      </rPr>
      <t xml:space="preserve">
Mail Order Service (90-day supply):
Tier 1:</t>
    </r>
    <r>
      <rPr>
        <sz val="11"/>
        <color rgb="FF000000"/>
        <rFont val="Calibri"/>
        <family val="2"/>
      </rPr>
      <t xml:space="preserve">
  - The plan has a $100 pharmacy deductible per person, not to exceed $200 per family. However, Tier 1 drugs are not subject to the deductible. The copay for Tier 1 formulary generic drugs is $40 per prescription. The service applies to the plan's out-of-pocket maximum amount of $7,800, not to exceed $15,600 per family. When the plan's out-of-pocket maximum amount is satisfied, Blue Shield will reimburse the provider 100% of the allowed amount.
Tier 2:
  - The plan has a $100 pharmacy deductible per person, not to exceed $200 per family. After the deductible is met, your copay for Tier 2 formulary brand name drugs is $100 per prescription. The service applies to the plan's out-of-pocket maximum amount of $7,800, not to exceed $15,600 per family. When the plan's out-of-pocket maximum amount is satisfied, Blue Shield will reimburse the provider 100% of the allowed amount.
Tier 3:
  - The plan has a $100 pharmacy deductible per person, not to exceed $200 per family. After the deductible is met, your copay for Tier 3 non-formulary brand name drugs is $140 per prescription. The service applies to the plan's out-of-pocket maximum amount of $7,800, not to exceed $15,600 per family. When the plan's out-of-pocket maximum amount is satisfied, Blue Shield will reimburse the provider 100% of the allowed amount.
Tier 4:
  - The plan has a $100 pharmacy deductible per person, not to exceed $200 per family. After the deductible is met, the coinsurance for Tier 4 drugs is 20% with a maximum of $500 per prescription. The service applies to the plan's out-of-pocket maximum amount of $7,800, not to exceed $15,600 per family. When the plan's out-of-pocket maximum amount is satisfied, Blue Shield will reimburse the provider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</si>
  <si>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When we get a question that has a drug name but that drug name has multiple dosages and formularies, find the most commonly prescribed version in the united states then provide the tier for the most commonly prescribed version and then ask is this the correct dosage and formulary for you?</t>
  </si>
  <si>
    <t>M0042134</t>
  </si>
  <si>
    <r>
      <t>M0042134: SG Pltm90 HMO 0/20+CD CCSB+ARB Jan26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If a drug is covered under your health plan, here's a break down of those benefits:</t>
    </r>
    <r>
      <rPr>
        <b/>
        <sz val="11"/>
        <color rgb="FF000000"/>
        <rFont val="Calibri"/>
        <family val="2"/>
      </rPr>
      <t xml:space="preserve">
Retail Pharmacy (30-day supply):
Tier 1:</t>
    </r>
    <r>
      <rPr>
        <sz val="11"/>
        <color rgb="FF000000"/>
        <rFont val="Calibri"/>
        <family val="2"/>
      </rPr>
      <t xml:space="preserve">
  - The plan does not have a deductible.The copay for Tier 1 formulary generic drugs is $5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$20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$30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$250 per prescription. The service applies to the plan's out-of-pocket maximum amount of $4,500, not to exceed $9,000 per family. When the plan's out-of-pocket maximum amount is satisfied, Blue Shield will reimburse the provider 100% of the allowed amount.</t>
    </r>
    <r>
      <rPr>
        <b/>
        <sz val="11"/>
        <color rgb="FF000000"/>
        <rFont val="Calibri"/>
        <family val="2"/>
      </rPr>
      <t xml:space="preserve">
Retail 90-Day (at retail pharmacies):
Tier 1:</t>
    </r>
    <r>
      <rPr>
        <sz val="11"/>
        <color rgb="FF000000"/>
        <rFont val="Calibri"/>
        <family val="2"/>
      </rPr>
      <t xml:space="preserve">
  - The plan does not have a deductible.The copay for Tier 1 formulary generic drugs is $15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$60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$90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$750 per prescription. The service applies to the plan's out-of-pocket maximum amount of $4,500, not to exceed $9,000 per family. When the plan's out-of-pocket maximum amount is satisfied, Blue Shield will reimburse the provider 100% of the allowed amount.</t>
    </r>
    <r>
      <rPr>
        <b/>
        <sz val="11"/>
        <color rgb="FF000000"/>
        <rFont val="Calibri"/>
        <family val="2"/>
      </rPr>
      <t xml:space="preserve">
Mail Order Service (90-day supply):
Tier 1:</t>
    </r>
    <r>
      <rPr>
        <sz val="11"/>
        <color rgb="FF000000"/>
        <rFont val="Calibri"/>
        <family val="2"/>
      </rPr>
      <t xml:space="preserve">
  - The plan does not have a deductible.The copay for Tier 1 formulary generic drugs is $10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$40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$60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$500 per prescription. The service applies to the plan's out-of-pocket maximum amount of $4,500, not to exceed $9,000 per family. When the plan's out-of-pocket maximum amount is satisfied, Blue Shield will reimburse the provider 100% of the allowed amount.</t>
    </r>
    <r>
      <rPr>
        <b/>
        <sz val="11"/>
        <color rgb="FF000000"/>
        <rFont val="Calibri"/>
        <family val="2"/>
      </rPr>
      <t xml:space="preserve">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</si>
  <si>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Non-formulary drugs need a formulary exception for medical necessity for coverage at Tier 4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Retail Pharmacy (30-day supply):
Tier 4:
  -The plan does not have a deductible. The coinsurance for Tier 4 drugs is 10% with a maximum of $250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Retail 90-Day (at retail pharmacies):
Tier 4:
  -The plan does not have a deductible. The coinsurance for Tier 4 drugs is 10% with a maximum of $750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Mail Order Service (90-day supply):
Tier 4:
  -The plan does not have a deductible. The coinsurance for Tier 4 drugs is 10% with a maximum of $500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</si>
  <si>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t>What's the coverage for Lisinopri?</t>
  </si>
  <si>
    <t>M0042132</t>
  </si>
  <si>
    <r>
      <t>Plan: Blue Shield Access+ Platinum 90 HMO® 0/20 PCP + Child Dental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If a drug is covered under your health plan, here's a break down of those benefits:</t>
    </r>
    <r>
      <rPr>
        <b/>
        <sz val="11"/>
        <color rgb="FF000000"/>
        <rFont val="Calibri"/>
        <family val="2"/>
      </rPr>
      <t xml:space="preserve">
Retail Pharmacy (30-day supply):
Tier 1:</t>
    </r>
    <r>
      <rPr>
        <sz val="11"/>
        <color rgb="FF000000"/>
        <rFont val="Calibri"/>
        <family val="2"/>
      </rPr>
      <t xml:space="preserve">
  - The plandoes not have a deductible.The copay for Tier 1 formulary generic drugs is $5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$20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$30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$250 per prescription. The service applies to the plan's out-of-pocket maximum amount of $4,500, not to exceed $9,000 per family. When the plan's out-of-pocket maximum amount is satisfied, Blue Shield will reimburse the provider 100% of the allowed amount.</t>
    </r>
    <r>
      <rPr>
        <b/>
        <sz val="11"/>
        <color rgb="FF000000"/>
        <rFont val="Calibri"/>
        <family val="2"/>
      </rPr>
      <t xml:space="preserve">
Retail 90-Day (at retail pharmacies):
Tier 1:</t>
    </r>
    <r>
      <rPr>
        <sz val="11"/>
        <color rgb="FF000000"/>
        <rFont val="Calibri"/>
        <family val="2"/>
      </rPr>
      <t xml:space="preserve">
  - The plan does not have a deductible.The copay for Tier 1 formulary generic drugs is $15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$60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$90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$750 per prescription. The service applies to the plan's out-of-pocket maximum amount of $4,500, not to exceed $9,000 per family. When the plan's out-of-pocket maximum amount is satisfied, Blue Shield will reimburse the provider 100% of the allowed amount.</t>
    </r>
    <r>
      <rPr>
        <b/>
        <sz val="11"/>
        <color rgb="FF000000"/>
        <rFont val="Calibri"/>
        <family val="2"/>
      </rPr>
      <t xml:space="preserve">
Mail Order Service (90-day supply):
Tier 1:</t>
    </r>
    <r>
      <rPr>
        <sz val="11"/>
        <color rgb="FF000000"/>
        <rFont val="Calibri"/>
        <family val="2"/>
      </rPr>
      <t xml:space="preserve">
  - The plan does not have a deductible.The copay for Tier 1 formulary generic drugs is $10 per prescription. The service applies to the plan's out-of-pocket maximum amount of $4,500, not to exceed $9,000 per family. When the plan's out-of-pocket maximum amount is satisfied, Blue Shield will reimburse the provider 100% of the allowed amount.
Tier 2:
  - The plan does not have a deductible.The copay for Tier 2 formulary generic drugs is $40 per prescription. The service applies to the plan's out-of-pocket maximum amount of $4,500, not to exceed $9,000 per family. When the plan's out-of-pocket maximum amount is satisfied, Blue Shield will reimburse the provider 100% of the allowed amount.
Tier 3:
  - The plan does not have a deductible.The copay for Tier 3 formulary generic drugs is $60 per prescription. The service applies to the plan's out-of-pocket maximum amount of $4,500, not to exceed $9,000 per family. When the plan's out-of-pocket maximum amount is satisfied, Blue Shield will reimburse the provider 100% of the allowed amount.
Tier 4:
  -The plan does not have a deductible. The coinsurance for Tier 4 drugs is 10% with a maximum of $500 per prescription. The service applies to the plan's out-of-pocket maximum amount of $4,500, not to exceed $9,000 per family. When the plan's out-of-pocket maximum amount is satisfied, Blue Shield will reimburse the provider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</si>
  <si>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Retail Pharmacy (30-day supply):
Tier 1:
  - The plandoes not have a deductible.The copay for Tier 1 formulary generic drugs is $5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Retail 90-Day (at retail pharmacies):
Tier 1:
  - The plan does not have a deductible.The copay for Tier 1 formulary generic drugs is $15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Mail Order Service (90-day supply):
Tier 1:
  - The plan does not have a deductible.The copay for Tier 1 formulary generic drugs is $10 per prescription. The service applies to the plan's out-of-pocket maximum amount of $4,500, not to exceed $9,000 per family. When the plan's out-of-pocket maximum amount is satisfied, Blue Shield will reimburse the provider 100% of the allowed amount.
For out-of-network providers, the patient is responsible for 100% of the provider's billed amount, as the plan only covers in-network providers.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</si>
  <si>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r>
      <t xml:space="preserve">Does my plan allow me to get a </t>
    </r>
    <r>
      <rPr>
        <b/>
        <sz val="11"/>
        <color rgb="FF000000"/>
        <rFont val="Calibri"/>
        <family val="2"/>
      </rPr>
      <t>90-day supply</t>
    </r>
    <r>
      <rPr>
        <sz val="11"/>
        <color rgb="FF000000"/>
        <rFont val="Calibri"/>
        <family val="2"/>
      </rPr>
      <t xml:space="preserve"> of my medications?</t>
    </r>
  </si>
  <si>
    <t>M0042262</t>
  </si>
  <si>
    <r>
      <t>Plan: Gold Trio HMO 1500/35 OffEx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
Yes, your plan allows you to get a 90-day supply of your medications. Here are the details:</t>
    </r>
    <r>
      <rPr>
        <b/>
        <sz val="11"/>
        <color rgb="FF000000"/>
        <rFont val="Calibri"/>
        <family val="2"/>
      </rPr>
      <t xml:space="preserve">
Retail 90-Day (at retail pharmacies):
Tier 1:</t>
    </r>
    <r>
      <rPr>
        <sz val="11"/>
        <color rgb="FF000000"/>
        <rFont val="Calibri"/>
        <family val="2"/>
      </rPr>
      <t xml:space="preserve">
  - The plan has a $150 pharmacy deductible per person, not to exceed $300 per family. However, Tier 1 drugs are not subject to the deductible. The copay for Tier 1 formulary generic drugs is $60 per prescription at Level A pharmacies and $75 per prescription at Level B pharmacies. The service applies to the plan's out-of-pocket maximum amount of $8,000, not to exceed $16,000 per family. When the plan's out-of-pocket maximum amount is satisfied, Blue Shield will reimburse the provider 100% of the allowed amount.
Tier 2:
  - The plan has a $150 pharmacy deductible per person, not to exceed $300 per family. After the deductible is met, your copay for Tier 2 formulary brand name drugs is $150 per prescription at Level A pharmacies and $210 per prescription at Level B pharmacies.  The service applies to the plan's out-of-pocket maximum amount of $8,000, not to exceed $16,000 per family. When the plan's out-of-pocket maximum amount is satisfied, Blue Shield will reimburse the provider 100% of the allowed amount.
Tier 3:
  - The plan has a $150 pharmacy deductible per person, not to exceed $300 per family. After the deductible is met, your copay for Tier 3 formulary brand name drugs is $210 per prescription at Level A pharmacies and $300 per prescription at Level B pharmacies.  The service applies to the plan's out-of-pocket maximum amount of $8,000, not to exceed $16,000 per family. When the plan's out-of-pocket maximum amount is satisfied, Blue Shield will reimburse the provider 100% of the allowed amount.
Tier 4:
  - The plan has a $150 pharmacy deductible per person, not to exceed $300 per family. After the deductible is met, the coinsurance for Tier 4 drugs is 20% with a maximum of $750 per prescription.  The service applies to the plan's out-of-pocket maximum amount of $8,000, not to exceed $16,000 per family. When the plan's out-of-pocket maximum amount is satisfied, Blue Shield will reimburse the provider 100% of the allowed amount.</t>
    </r>
    <r>
      <rPr>
        <b/>
        <sz val="11"/>
        <color rgb="FF000000"/>
        <rFont val="Calibri"/>
        <family val="2"/>
      </rPr>
      <t xml:space="preserve">
Mail Order Service (90-day supply):
Tier 1:</t>
    </r>
    <r>
      <rPr>
        <sz val="11"/>
        <color rgb="FF000000"/>
        <rFont val="Calibri"/>
        <family val="2"/>
      </rPr>
      <t xml:space="preserve">
  - The plan has a $150 pharmacy deductible per person, not to exceed $300 per family. However, Tier 1 drugs are not subject to the deductible. The copay for Tier 1 formulary generic drugs is $40 per prescription. The service applies to the plan's out-of-pocket maximum amount of $8,000, not to exceed $16,000 per family. When the plan's out-of-pocket maximum amount is satisfied, Blue Shield will reimburse the provider 100% of the allowed amount.
Tier 2:
  - The plan has a $150 pharmacy deductible per person, not to exceed $300 per family. After the deductible is met, your copay for Tier 2 formulary brand name drugs is $100 per prescription. The service applies to the plan's out-of-pocket maximum amount of $8,000, not to exceed $16,000 per family. When the plan's out-of-pocket maximum amount is satisfied, Blue Shield will reimburse the provider 100% of the allowed amount.
Tier 3:
  - The plan has a $150 pharmacy deductible per person, not to exceed $300 per family.y. After the deductible is met, your copay for Tier 3 non-formulary brand name drugs is $140 per prescription.  The service applies to the plan's out-of-pocket maximum amount of $8,000, not to exceed $16,000 per family. When the plan's out-of-pocket maximum amount is satisfied, Blue Shield will reimburse the provider 100% of the allowed amount.
Tier 4:
  - The plan has a $150 pharmacy deductible per person, not to exceed $300 per family. After the deductible is met, the coinsurance for Tier 4 drugs is 20% with a maximum of $500 per prescription.  The service applies to the plan's out-of-pocket maximum amount of $8,000, not to exceed $16,000 per family. When the plan's out-of-pocket maximum amount is satisfied, Blue Shield will reimburse the provider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</si>
  <si>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M0042263</t>
  </si>
  <si>
    <r>
      <t>Plan: Gold Trio HMO 1500/35 OffEx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 but there are some exceptions.
Yes, you have a copay for prescription drugs under your plan. Below is the breakdown of the copay structure for prescription drugs:</t>
    </r>
    <r>
      <rPr>
        <b/>
        <sz val="11"/>
        <color rgb="FF000000"/>
        <rFont val="Calibri"/>
        <family val="2"/>
      </rPr>
      <t xml:space="preserve">
Retail 30-Day (at retail pharmacies):
Tier 1: The plan has a $150 deductible per person, not to exceed $300 per family. However, Tier 1 drugs are not subject to the deductible. The copay for a Tier 1 drug is $20 per prescription for a Level A Provider and $25 per prescription for a Level B Provider.</t>
    </r>
    <r>
      <rPr>
        <sz val="11"/>
        <color rgb="FF000000"/>
        <rFont val="Calibri"/>
        <family val="2"/>
      </rPr>
      <t xml:space="preserve">
Tier 2:  The plan has a $150 deductible per person, not to exceed $300 per family. After the deductible is met, the copay for Tier 2 drugs is $50 per prescription for a Level A Provider and $70 per prescription for a Level B Provider.
Tier 3:  The plan has a $150 deductible per person, not to exceed $300 per family. After the deductible is met, the copay for Tier 3 drugs is $70 per prescription for a Level A Provider and $100 per prescription for a Level B Provider.
Tier 4: The plan has a $150 deductible per person, not to exceed $300 per family. After the deductible is met, the coinsurance for Tier 4 drugs is 20% of the allowed amount, with a maximum payable of $250 per prescription.</t>
    </r>
    <r>
      <rPr>
        <b/>
        <sz val="11"/>
        <color rgb="FF000000"/>
        <rFont val="Calibri"/>
        <family val="2"/>
      </rPr>
      <t xml:space="preserve">
Retail 90-Day (at retail pharmacies):
Tier 1:</t>
    </r>
    <r>
      <rPr>
        <sz val="11"/>
        <color rgb="FF000000"/>
        <rFont val="Calibri"/>
        <family val="2"/>
      </rPr>
      <t xml:space="preserve">
  - The plan has a $150 pharmacy deductible per person, not to exceed $300 per family. However, Tier 1 drugs are not subject to the deductible. The copay for Tier 1 formulary generic drugs is $60 per prescription at Level A pharmacies and $75 per prescription at Level B pharmacies. The service applies to the plan's out-of-pocket maximum amount of $8,000, not to exceed $16,000 per family. When the plan's out-of-pocket maximum amount is satisfied, Blue Shield will reimburse the provider 100% of the allowed amount.
Tier 2:
  - The plan has a $150 pharmacy deductible per person, not to exceed $300 per family. After the deductible is met, your copay for Tier 2 formulary brand name drugs is $150 per prescription at Level A pharmacies and $210 per prescription at Level B pharmacies.  The service applies to the plan's out-of-pocket maximum amount of $8,000, not to exceed $16,000 per family. When the plan's out-of-pocket maximum amount is satisfied, Blue Shield will reimburse the provider 100% of the allowed amount.
Tier 3:
  - The plan has a $150 pharmacy deductible per person, not to exceed $300 per family. After the deductible is met, your copay for Tier 3 formulary brand name drugs is $210 per prescription at Level A pharmacies and $300 per prescription at Level B pharmacies.  The service applies to the plan's out-of-pocket maximum amount of $8,000, not to exceed $16,000 per family. When the plan's out-of-pocket maximum amount is satisfied, Blue Shield will reimburse the provider 100% of the allowed amount.
Tier 4:
  - The plan has a $150 pharmacy deductible per person, not to exceed $300 per family. After the deductible is met, the coinsurance for Tier 4 drugs is 20% with a maximum of $750 per prescription.  The service applies to the plan's out-of-pocket maximum amount of $8,000, not to exceed $16,000 per family. When the plan's out-of-pocket maximum amount is satisfied, Blue Shield will reimburse the provider 100% of the allowed amount.
Mail Order Service (90-day supply):
Tier 1:
  - The plan has a $150 pharmacy deductible per person, not to exceed $300 per family. However, Tier 1 drugs are not subject to the deductible. The copay for Tier 1 formulary generic drugs is $40 per prescription. The service applies to the plan's out-of-pocket maximum amount of $8,000, not to exceed $16,000 per family. When the plan's out-of-pocket maximum amount is satisfied, Blue Shield will reimburse the provider 100% of the allowed amount.
Tier 2:
  - The plan has a $150 pharmacy deductible per person, not to exceed $300 per family. After the deductible is met, your copay for Tier 2 formulary brand name drugs is $100 per prescription. The service applies to the plan's out-of-pocket maximum amount of $8,000, not to exceed $16,000 per family. When the plan's out-of-pocket maximum amount is satisfied, Blue Shield will reimburse the provider 100% of the allowed amount.
Tier 3:
  - The plan has a $150 pharmacy deductible per person, not to exceed $300 per family.y. After the deductible is met, your copay for Tier 3 non-formulary brand name drugs is $140 per prescription.  The service applies to the plan's out-of-pocket maximum amount of $8,000, not to exceed $16,000 per family. When the plan's out-of-pocket maximum amount is satisfied, Blue Shield will reimburse the provider 100% of the allowed amount.
Tier 4:
  - The plan has a $150 pharmacy deductible per person, not to exceed $300 per family. After the deductible is met, the coinsurance for Tier 4 drugs is 20% with a maximum of $500 per prescription.  The service applies to the plan's out-of-pocket maximum amount of $8,000, not to exceed $16,000 per family. When the plan's out-of-pocket maximum amount is satisfied, Blue Shield will reimburse the provider 100% of the allowed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</si>
  <si>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M0042154</t>
  </si>
  <si>
    <t xml:space="preserve">
Retail 30-Day (at retail pharmacies):
In-network:
Tier 1: The plan does not have a deductible. The copay for a Tier 1 drug is $10 per prescription for at participating pharmacies.
Tier 2:  The plan does not have a deductible. The copay for a Tier 2 drug is $25 per prescription for at participating pharmacies.
Tier 3:  The plan does not have a deductible. The copay for a Tier 3 drug is $40 per prescription for at participating pharmacies.
Tier 4: The plan does not have a deductible. The coinsurance for Tier 4 drugs is 10% of the allowed amount, with a maximum payable of $250 per prescription.
Out-of-network:
Prescription drugs are either not a benefit or it is an exclusion under the plan. This means that the patient would be responsible for 100% of the billed amount.
Retail 90-Day (at retail pharmacies):
In-network:
Tier 1: The plan does not have a deductible. The copay for a Tier 1 drug is $30 per prescription for at participating pharmacies.
Tier 2:  The plan does not have a deductible. The copay for a Tier 2 drug is $75 per prescription for at participating pharmacies.
Tier 3:  The plan does not have a deductible. The copay for a Tier 3 drug is $120 per prescription for at participating pharmacies.
Tier 4: The plan does not have a deductible. The coinsurance for Tier 4 drugs is 10% of the allowed amount, with a maximum payable of $750 per prescription.
Out-of-network:
Prescription drugs are either not a benefit or it is an exclusion under the plan. This means that the patient would be responsible for 100% of the billed amount.
Mail Order Service (90-day supply):
In-network:
Tier 1: The plan does not have a deductible. The copay for a Tier 1 drug is $20 per prescription for at participating pharmacies.
Tier 2:  The plan does not have a deductible. The copay for a Tier 2 drug is $50 per prescription for at participating pharmacies.
Tier 3:  The plan does not have a deductible. The copay for a Tier 3 drug is $80 per prescription for at participating pharmacies.
Tier 4: The plan does not have a deductible. The coinsurance for Tier 4 drugs is 10% of the allowed amount, with a maximum payable of $500 per prescription.
Out-of-network:
Prescription drugs are either not a benefit or it is an exclusion under the plan. This means that the patient would be responsible for 100% of the billed amount.
Note: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</si>
  <si>
    <t>M0042265: SG Gold Trio HMO 500/35 OffEx+ARB Jan26
Yes, this plan has $100 per individual up to $200 family pharmacy deductible. The medical deductible is $500 per individual up to $1,000 per family.</t>
  </si>
  <si>
    <t>M0042128</t>
  </si>
  <si>
    <r>
      <t xml:space="preserve">
SG Gold80 HMO 250/35+CD CCSB Jan26
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t>
    </r>
    <r>
      <rPr>
        <b/>
        <sz val="11"/>
        <color rgb="FF000000"/>
        <rFont val="Calibri"/>
        <family val="2"/>
      </rPr>
      <t xml:space="preserve">
A. Outpatient Drugs
1. In-network Provider:</t>
    </r>
    <r>
      <rPr>
        <sz val="11"/>
        <color rgb="FF000000"/>
        <rFont val="Calibri"/>
        <family val="2"/>
      </rPr>
      <t xml:space="preserve">
Yes, Contraceptive Drugs/Devices - Retail are covered. For in-network providers, the plan has a $250 deductible per person, not to exceed $500 per family. However, implanted Contraceptive Drugs/Devices - Retail are not subject to the deductible. The plan will reimburse 100% of the allowed amount.
Yes, Contraceptive Drugs/Devices - 90 Day Retail are covered. For in-network providers, the plan has a $250 deductible per person, not to exceed $500 per family. However, implanted Contraceptive Drugs/Devices - 90 Day Retail are not subject to the deductible. The plan will reimburse 100% of the allowed amount.
Yes, Contraceptive Drugs/Devices - Mail Service are covered. For in-network providers, the plan has a $250 deductible per person, not to exceed $500 per family. However, implanted Contraceptive Drugs/Devices - Mail Serviceare not subject to the deductible. The plan will reimburse 100% of the allowed amount.</t>
    </r>
    <r>
      <rPr>
        <b/>
        <sz val="11"/>
        <color rgb="FF000000"/>
        <rFont val="Calibri"/>
        <family val="2"/>
      </rPr>
      <t xml:space="preserve">
2. Out-of-network Provider:</t>
    </r>
    <r>
      <rPr>
        <sz val="11"/>
        <color rgb="FF000000"/>
        <rFont val="Calibri"/>
        <family val="2"/>
      </rPr>
      <t xml:space="preserve">
For out-of-network providers, the patient is responsible for 100% of the provider's billed amount, as the plan only covers in-network providers.</t>
    </r>
  </si>
  <si>
    <t>M0042182</t>
  </si>
  <si>
    <t xml:space="preserve">
SG Slvr70 TrioHMO 2500/55+CD CCSB+ARB Jan26
Immunizations and vaccinations solely for the purpose of travel is an exclusion under the plan. This means that the patient would be responsible for 100% of the billed amount.</t>
  </si>
  <si>
    <t>M0042180</t>
  </si>
  <si>
    <t>M0042180: SG Slvr70 TrioHMO 2500/55+CD CCSB Jan26
It depends. Drugs that are available without a prescription (over-the-counter) are an exclusion in this plan. However, this exclusion does not apply if it is an approved US Preventive Services Task Force pharmacotherapy for cessation that is prescribed by a physician for a non-pregnant adult.
If it is an approved US Preventive Services Task Force pharmacotherapy for cessation that is prescribed by a physician for a non-pregnant adult then it is covered as an outpatient prescription drug.
A. Retail Pharmacy (30-day supply):
1. In-network Provider:
Tier 1: The plan has a $2,500 deductible per person, not to exceed $5,000 per family. However, Tier 1 drugs are not subject to the deductible. The copay for a Tier 1 drug is $19 per prescription for a Level A Provider and $24 per prescription for a Level B Provider.
Tier 2:  The plan has a $2,500 deductible per person, not to exceed $5,000 per family. After the deductible is met, the copay for Tier 2 drugs is $85 per prescription for a Level A Provider and $110 per prescription for a Level B Provider.
Tier 3:  The plan has a $2,500 deductible per person, not to exceed $5,000 per family. After the deductible is met, the copay for Tier 3 drugs is $110 per prescription for a Level A Provider and $150 per prescription for a Level B Provider.
Tier 4: The plan has a $2,500 deductible per person, not to exceed $5,000 per family. After the deductible is met, the coinsurance for Tier 4 drugs is 30% of the allowed amount, with a maximum payable of $750 per prescription.
Prescription drug copays and coinsurance amounts apply to the plan's out-of-pocket maximum amount of $8,750, not to exceed $17,500 per family. When the plan's out-of-pocket maximum amount is satisfied, the plan will reimburse 100% of the allowed amount.
2. Out-of-network Provider:
For out-of-network providers, the patient is responsible for 100% of the provider's billed amount, as the plan only covers in-network providers.
B. Mail Order Service (90-day supply):
1. In-network Provider:
Tier 1: The plan has a $2,500 deductible per person, not to exceed $5,000 per family. However, Tier 1 drugs are not subject to the deductible. The copay for Tier 1 drugs is $57 per prescription for Level A Providers and $72 for a Level B Provider.
Tier 2: The plan has a $2,500 deductible per person, not to exceed $5,000 per family. After the deductible is met, the copay for Tier 2 drugs is $170 per prescription.
Tier 3: The plan has a $2,500 deductible per person, not to exceed $5,000 per family. After the deductible is met, the copay for Tier 3 drugs is $220 per prescription.
Tier 4: The plan has a $2,500 deductible per person, not to exceed $5,000 per family. After the deductible is met, the coinsurance for Tier 4 drugs is 30% of the allowed amount, with a maximum payable of $500 per prescription.
Prescription drug copays and coinsurance amounts apply to the plan's out-of-pocket maximum amount of $8,750, not to exceed $17,500 per family. When the plan's out-of-pocket maximum amount is satisfied, the plan will reimburse 100% of the allowed amount.
2. Out-of-network Provider:
For out-of-network providers, the patient is responsible for 100% of the provider's billed amount, as the plan only covers in-network providers.
C. Retail Pharmacy (90-day supply):
1. In-network Provider:
Tier 1: The plan has a $2,500 deductible per person, not to exceed $5,000 per family. However, Tier 1 drugs are not subject to the deductible. The copay for a Tier 1 drug is $57 per prescription for a Level A Provider and $72 per prescription for a Level B Provider.
Tier 2: The plan has a $2,500 deductible per person, not to exceed $5,000 per family. After the deductible is met, the copay for Tier 2 drugs is $255 per prescription for a Level A Provider and $330 per prescription for a Level B provider.
Tier 3: The plan has a $2,500 deductible per person, not to exceed $5,000 per family. After the deductible is met, the copay for Tier 3 drugs is $330 per prescription for a Level A provider and $450 per prescription for a Level B Provider.
Tier 4: The plan has a $2,500 deductible per person, not to exceed $5,000 per family. After the deductible is met, the coinsurance for Tier 4 drugs is 30% of the allowed amount, with a maximum payable of $750 per prescription.
Prescription drug copays and coinsurance amounts apply to the plan's out-of-pocket maximum amount of $8,750, not to exceed $17,500 per family. When the plan's out-of-pocket maximum amount is satisfied, the plan will reimburse 100% of the allowed amount.
2. Out-of-network Provider:
For out-of-network providers, the patient is responsible for 100% of the provider's billed amount, as the plan only covers in-network providers.</t>
  </si>
  <si>
    <t>M0042170</t>
  </si>
  <si>
    <r>
      <t xml:space="preserve">
I don't have access to this plan's drug formulary to know if a specific drug is covered and under what tier.
To check if a particular medication is covered under your plan's formulary and find out what it will cost, you can use the "Price Check My Rx" tool available on your member portal at blueshieldca.com. This tool provides information on your eligibility for a prescription drug, the current cost of the prescription drug, any available lower-cost alternatives based on your plan formulary, and any limits, restrictions, or requirements for each drug, if applicable. Costs may vary at the time of filling your prescription due to claims processing.
If a drug is covered under your health plan, here's a break down of those benefits:</t>
    </r>
    <r>
      <rPr>
        <b/>
        <sz val="11"/>
        <color rgb="FF000000"/>
        <rFont val="Calibri"/>
        <family val="2"/>
      </rPr>
      <t xml:space="preserve">
Retail Pharmacy (30-day supply):</t>
    </r>
    <r>
      <rPr>
        <sz val="11"/>
        <color rgb="FF000000"/>
        <rFont val="Calibri"/>
        <family val="2"/>
      </rPr>
      <t xml:space="preserve">
 - Tier 1:
The plan has a deductible of $7,000 per person, not to exceed $14,000 per family. However, Tier 1 drugs are not subject to the deductible. The copay for Tier 1 drugs is $25 at Level A Participating Pharmacies and $30 at Level B Participating Pharmacies.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$115 at Level A Participating Pharmacies and $145 at Level B Participating Pharmacies.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$160 at Level A Participating Pharmacies and $210 at Level B Participating Pharmacies.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$500 per prescription. The service applies to the plan's out-of-pocket maximum amount of $9,800, not to exceed $19,600 per family. When the plan's out-of-pocket maximum amount is satisfied, Blue Shield will reimburse the provider 100% of the allowed amount.</t>
    </r>
    <r>
      <rPr>
        <b/>
        <sz val="11"/>
        <color rgb="FF000000"/>
        <rFont val="Calibri"/>
        <family val="2"/>
      </rPr>
      <t xml:space="preserve">
Retail 90-Day (at retail pharmacies):</t>
    </r>
    <r>
      <rPr>
        <sz val="11"/>
        <color rgb="FF000000"/>
        <rFont val="Calibri"/>
        <family val="2"/>
      </rPr>
      <t xml:space="preserve">
 - Tier 1:
The plan has a deductible of $7,000 per person, not to exceed $14,000 per family. However, Tier 1 drugs are not subject to the deductible. The copay for Tier 1 drugs is $75 at Level A Participating Pharmacies and $90 at Level B Participating Pharmacies.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$345 at Level A Participating Pharmacies and $435 at Level B Participating Pharmacies.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$480 at Level A Participating Pharmacies and $630 at Level B Participating Pharmacies.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$1,500 per prescription. The service applies to the plan's out-of-pocket maximum amount of $9,800, not to exceed $19,600 per family. When the plan's out-of-pocket maximum amount is satisfied, Blue Shield will reimburse the provider 100% of the allowed amount.</t>
    </r>
    <r>
      <rPr>
        <b/>
        <sz val="11"/>
        <color rgb="FF000000"/>
        <rFont val="Calibri"/>
        <family val="2"/>
      </rPr>
      <t xml:space="preserve">
Mail Order Service (90-day supply):</t>
    </r>
    <r>
      <rPr>
        <sz val="11"/>
        <color rgb="FF000000"/>
        <rFont val="Calibri"/>
        <family val="2"/>
      </rPr>
      <t xml:space="preserve">
 - Tier 1:
The plan has a deductible of $7,000 per person, not to exceed $14,000 per family. However, Tier 1 drugs are not subject to the deductible. The copay for Tier 1 drugs is $50 per prescription. The service applies to the plan's out-of-pocket maximum amount of $9,800, not to exceed $19,600 per family. When the plan's out-of-pocket maximum amount is satisfied, Blue Shield will reimburse the provider 100% of the allowed amount.
 - Tier 2:
The plan has a deductible of $7,000 per person, not to exceed $14,000 per family. After the deductible is met, your copay for Tier 2 drugs is $230 per prescription. The service applies to the plan's out-of-pocket maximum amount of $9,800, not to exceed $19,600 per family. When the plan's out-of-pocket maximum amount is satisfied, Blue Shield will reimburse the provider 100% of the allowed amount.
 - Tier 3:
The plan has a deductible of $7,000 per person, not to exceed $14,000 per family. After the deductible is met, your copay for Tier 3 drugs is $320 per prescription. The service applies to the plan's out-of-pocket maximum amount of $9,800, not to exceed $19,600 per family. When the plan's out-of-pocket maximum amount is satisfied, Blue Shield will reimburse the provider 100% of the allowed amount.
 - Tier 4:
The plan has a deductible of $7,000 per person, not to exceed $14,000 per family. After the deductible is met, the coinsurance for Tier 4 drugs is 50% with a maximum of $1,000 per prescription. The service applies to the plan's out-of-pocket maximum amount of $9,800, not to exceed $19,600 per family. When the plan's out-of-pocket maximum amount is satisfied, Blue Shield will reimburse the provider 100% of the allowed amount.</t>
    </r>
    <r>
      <rPr>
        <b/>
        <sz val="11"/>
        <color rgb="FF000000"/>
        <rFont val="Calibri"/>
        <family val="2"/>
      </rPr>
      <t xml:space="preserve">
Note:</t>
    </r>
    <r>
      <rPr>
        <sz val="11"/>
        <color rgb="FF000000"/>
        <rFont val="Calibri"/>
        <family val="2"/>
      </rPr>
      <t xml:space="preserve">
Drugs that are available without a prescription ("over-the-counter"), including drugs for which there is an over-the-counter (OTC) drug that has the same active ingredient and dosage as the prescription drug, are an exclusion of this health plan. This means that the plan does not cover over-the-counter drugs. This exclusion does not apply to OTC drugs with a United States Preventive Services Task Force (USPSTF) rating of A or B when prescribed by a physician or to OTC contraceptive drugs and devices.</t>
    </r>
  </si>
  <si>
    <t>Prescription Drug Benefit (Contraceptive Drugs/Devices)</t>
  </si>
  <si>
    <t>M0037423</t>
  </si>
  <si>
    <r>
      <t>The patient must receive services from either an in-network provider or a provider associated with their medical group to be eligible for benefits. A referral from the patient's primary care physician (PCP) is usually required when the patient wants to see a specialist or other provider.</t>
    </r>
    <r>
      <rPr>
        <b/>
        <sz val="11"/>
        <color rgb="FF000000"/>
        <rFont val="Calibri"/>
        <family val="2"/>
      </rPr>
      <t xml:space="preserve">
A. Implanted Contraceptives
1. In-network Provider:</t>
    </r>
    <r>
      <rPr>
        <sz val="11"/>
        <color rgb="FF000000"/>
        <rFont val="Calibri"/>
        <family val="2"/>
      </rPr>
      <t xml:space="preserve">
Yes, contraceptive implants are covered. For in-network providers, the plan has a $2,500 deductible per person, not to exceed $5,000 per family. However, implanted contraceptives are not subject to the deductible. The plan will reimburse 100% of the allowed amount.</t>
    </r>
    <r>
      <rPr>
        <b/>
        <sz val="11"/>
        <color rgb="FF000000"/>
        <rFont val="Calibri"/>
        <family val="2"/>
      </rPr>
      <t xml:space="preserve">
2. Out-of-network Provider:
For out-of-network providers, the patient is responsible for 100% of the provider's billed amount, as the plan only covers in-network providers.</t>
    </r>
  </si>
  <si>
    <t>Prescription Drug Benefits/ RX Exclusion</t>
  </si>
  <si>
    <t>MK002168</t>
  </si>
  <si>
    <t>Plan: IFP Platinum 90 PPO
Non-FDA approved drugs are either not a benefit or they an exclusion under the plan. This means that the patient would be responsible for 100% of the billed amount.</t>
  </si>
  <si>
    <t>New Question</t>
  </si>
  <si>
    <t>A formulary is a list of covered drugs which represents the prescription therapies believed to be a necessary part of a quality treatment program. We will generally cover the drugs listed in our formulary as long as the drug is medically necessary, the prescription is filled at a network pharmacy, and other plan rules are followed. For more information on how to fill your prescriptions, please review your Evidence of Coverage.</t>
  </si>
  <si>
    <t>M0037424</t>
  </si>
  <si>
    <t>We cover both brand name drugs and generic drugs. Generic drugs have the same active-ingredient formula as a brand name drug. Generic drugs usually cost less than brand name drugs and are rated by the Food and Drug Administration (FDA) to be as safe and effective as brand name drugs.</t>
  </si>
  <si>
    <t xml:space="preserve">Brief Answer 
Yes—licensed ambulance transportation is covered, but car/taxi/bus/gurney van/wheelchair van transportation is not covered under this plan. For a routine office visit ride by car, the Member would be responsible for the full cost.
──────────────────────────────────────────────────
Detailed Explanation
The plan’s Ambulance benefit only covers transport by a licensed ambulance or psychiatric transport van (emergency or prior-authorized non-emergency inter-facility transport). It specifically excludes transportation by car, taxi, bus, gurney van, wheelchair van, or other types of transportation. [1][2] 
Because a “car transport to an office visit” is not a licensed ambulance/psychiatric transport van, it is not covered. [2]
A. Transportation by car to an office visit (non-ambulance transport) 
In-Network Provider 
The car transport to an office visit is not a benefit of this health plan. The member would be responsible for 100% of the billed amount. [2] 
Out-of-Network Provider 
For out-of-network providers, the member is responsible for 100% of the provider's billed amount, as the plan only covers in-network providers. [2] 
B. If the question is actually about an ambulance ride to an office visit *(only if it’s a licensed ambulance/psychiatric transport van and meets the plan’s ambulance coverage criteria)* 
Emergency or Ambulance services are covered at the participating provider cost share, even if treatment is received from a non-participating provider. 
A member can access emergency services for an emergency medical condition at any hospital, even if it is a non-participating hospital. If a member is admitted to an out-of-network (OON) or non-participating hospital, the in-network benefits would apply until their condition stabilizes and they're able to be transferred to an in-network hospital. [1] 
In-Network Provider 
For in-network providers: [1] 
- Emergency transport – surface: Copay: $100 per transport [3] 
- Emergency transport – air: Copay: $100 per transport [4] 
Out-of-Network Provider 
For out-of-network providers, the member is responsible for 100% of the provider's billed amount, as the plan only covers in-network providers. [1]
</t>
  </si>
  <si>
    <t xml:space="preserve">Brief Answer 
Yes. The plan states that emergency services are covered anywhere in the world. For non-emergency care, the plan document you provided only describes coverage within the U.S., Puerto Rico, and the U.S. Virgin Islands under BlueCard, and does not clearly state how non-emergency care outside the U.S. is covered.
──────────────────────────────────────────────────
Detailed Explanation
A. Emergency care outside the U.S. 
- The plan states: “The Benefits of this plan will be provided anywhere in the world for treatment of an Emergency Medical Condition or a Psychiatric Emergency Medical Condition.” [1]
B. Non-emergency care outside the U.S. 
- The plan’s “BlueCard® Service Area” is described as within the United States, the Commonwealth of Puerto Rico, or the U.S. Virgin Islands. [2] 
- The plan does not specify how routine/non-emergency services are covered outside those areas (i.e., outside the U.S., Puerto Rico, and U.S. Virgin Islands). [2] 
- I couldn't find this information in the current plan document. 
If you need definitive guidance for a caller about routine/non-emergency care outside the U.S., please consult the Knowledgebase.
</t>
  </si>
  <si>
    <t xml:space="preserve">Brief Answer 
Yes—outpatient sleep studies for diagnosing sleep apnea appear to be covered under Other Outpatient Non-Invasive Diagnostic Testing or Laboratory and Pathology Services, depending on where the test is performed. In-network cost share is typically $10 per visit (and is subject to the medical deductible); out-of-network is generally 30% coinsurance (also subject to the deductible). 
──────────────────────────────────────────────────
Detailed Explanation
A. Other Outpatient Non-Invasive Diagnostic Testing (Office Location):
In-Network Provider 
For in-network providers: 
the plan has a $250 deductible per person, not to exceed $750 per family. [1] 
Other Outpatient Non-Invasive Diagnostic Testing (Office Location) is subject to this deductible. Once the deductible is met, [2] 
The copay for Other Outpatient Non-Invasive Diagnostic Testing (Office Location) services is $10. [2] 
The service applies to the plan's out-of-pocket maximum amount of $2,750, not to exceed $5,500 per family. When the plan's out-of-pocket maximum amount is satisfied, the health plan will reimburse 100% of the allowed amount. [2]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[1] 
Other Outpatient Non-Invasive Diagnostic Testing (Office Location) is subject to this deductible. Once the deductible is met, [3] 
The coinsurance is 30% of the allowed amount, and the plan will reimburse the remaining 70% of the allowed amount for Other Outpatient Non-Invasive Diagnostic Testing (Office Location). [3] 
The service applies to the plan's out-of-pocket maximum amount of $5,250, not to exceed $10,500 per family. When the plan's out-of-pocket maximum amount is satisfied, the health plan will reimburse 100% of the allowed amount. [3] 
B. Laboratory and Pathology Services (Laboratory Center):
In-Network Provider 
For in-network providers: 
the plan has a $250 deductible per person, not to exceed $750 per family. [1] 
Laboratory and Pathology Services (Laboratory Center) is subject to this deductible. Once the deductible is met, [4] 
The copay for Laboratory and Pathology Services (Laboratory Center) services is $10. [4] 
The service applies to the plan's out-of-pocket maximum amount of $2,750, not to exceed $5,500 per family. When the plan's out-of-pocket maximum amount is satisfied, the health plan will reimburse 100% of the allowed amount. [4] 
Out-of-Network Provider 
For out-of-network providers: 
An out-of-network provider has the right to bill for the balance. What this means is that the member may be responsible for the difference between the allowed amount and billed amount. 
the plan has a $250 deductible per person, not to exceed $750 per family. [1] 
Laboratory and Pathology Services (Laboratory Center) is subject to this deductible. Once the deductible is met, [5] 
The coinsurance is 30% of the allowed amount, and the plan will reimburse the remaining 70% of the allowed amount for Laboratory and Pathology Services (Laboratory Center). [5] 
The service applies to the plan's out-of-pocket maximum amount of $5,250, not to exceed $10,500 per family. When the plan's out-of-pocket maximum amount is satisfied, the health plan will reimburse 100% of the allowed amount. [5] 
Notes / what I couldn’t confirm from this plan data: 
- The plan document doesn’t list “sleep study” explicitly, so I mapped it to the closest diagnostic testing categories available. 
- If you need to distinguish home sleep test vs in-lab polysomnography or hospital outpatient department vs freestanding lab, tell me the place of service and I’ll align to the closest matching benefit line.
</t>
  </si>
  <si>
    <t xml:space="preserve">Brief Answer 
A breast biopsy would be covered as a medical procedure, and the member’s cost share depends on where it’s performed (office/outpatient hospital/ambulatory surgery center vs. inpatient). Based on the current plan document, the professional (doctor) portion is No Charge, and the facility portion is typically subject to the facility deductible and then coinsurance.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Breast biopsy (treated as a medical procedure/surgery) — place of service can vary:
In addition to the surgeon's and facility bill, the patient can expect related fees for services like anesthesia, and professional services related to diagnostic testing (e.g., radiological, pathology, or laboratory). A surgical package includes the surgical procedure, pre-operative care medical visits on the same day of surgery and normal uncomplicated follow-up care.
A) Professional (physician/surgeon) services:
#### In-Network Provider
For in-network providers: 
the plan has a $2,000 deductible per person, not to exceed $4,000 per family. [1] 
However, Professional Services Surgery - Outpatient is not subject to the deductible. Once the deductible is met, 
The plan will reimburse the provider 100% of the allowed amount for Professional Services Surgery - Outpatient. [2] 
The service applies to the plan's out-of-pocket maximum amount of $3,500, not to exceed $7,000 per family. When the plan's out-of-pocket maximum amount is satisfied, the health plan will reimburse 100% of the allowed amount. [3]
#### Out-of-Network Provider
For out-of-network providers, the member is responsible for 100% of the provider's billed amount, as the plan only covers in-network providers. [4]
B) Facility services (where the biopsy is performed):
#### Option 1: Outpatient hospital (common for biopsies done in a hospital outpatient setting)
##### In-Network Provider
For in-network providers: 
the plan has a $2,000 deductible per person, not to exceed $4,000 per family. [1] 
Outpatient Hospital Facility Services for Surgery is subject to this deductible. Once the deductible is met, [5] 
The coinsurance is 30% of the allowed amount, and the plan will reimburse the remaining 70% of the allowed amount for Outpatient Hospital Facility Services for Surgery. [5] 
The service applies to the plan's out-of-pocket maximum amount of $3,500, not to exceed $7,000 per family. When the plan's out-of-pocket maximum amount is satisfied, the health plan will reimburse 100% of the allowed amount. [6]
##### Out-of-Network Provider
For out-of-network providers, the member is responsible for 100% of the provider's billed amount, as the plan only covers in-network providers. [4]
#### Option 2: Ambulatory Surgery Center (ASC) (if the biopsy is done at a freestanding surgery center)
##### In-Network Provider
For in-network providers: 
the plan has a $2,000 deductible per person, not to exceed $4,000 per family. [1] 
Ambulatory Surgery Center Free Standing Facility Services is subject to this deductible. Once the deductible is met, [7] 
The coinsurance is 20% of the allowed amount, and the plan will reimburse the remaining 80% of the allowed amount for Ambulatory Surgery Center Free Standing Facility Services. [7] 
The service applies to the plan's out-of-pocket maximum amount of $3,500, not to exceed $7,000 per family. When the plan's out-of-pocket maximum amount is satisfied, the health plan will reimburse 100% of the allowed amount. [8]
##### Out-of-Network Provider
For out-of-network providers, the member is responsible for 100% of the provider's billed amount, as the plan only covers in-network providers. [4]
#### Option 3: Inpatient hospital (less common, but possible depending on clinical situation)
##### In-Network Provider
For in-network providers: 
the plan has a $2,000 deductible per person, not to exceed $4,000 per family. [1] 
Hospital Room Facility Services - Room and board and all medically necessary ancillary services and supplies is subject to this deductible. Once the deductible is met, [9] 
The coinsurance is 30% of the allowed amount, and the plan will reimburse the remaining 70% of the allowed amount for Hospital Room Facility Services - Room and board and all medically necessary ancillary services and supplies. [9] 
The service applies to the plan's out-of-pocket maximum amount of $3,500, not to exceed $7,000 per family. When the plan's out-of-pocket maximum amount is satisfied, the health plan will reimburse 100% of the allowed amount. [10]
##### Out-of-Network Provider
For out-of-network providers, the member is responsible for 100% of the provider's billed amount, as the plan only covers in-network providers. [4]
</t>
  </si>
  <si>
    <t xml:space="preserve">Brief Answer 
Yes—massage can be covered when it’s performed as part of a rehabilitative or habilitative physical therapy treatment plan by a licensed/certified provider. Massage is not covered if it’s done as the only treatment or for someone with no complications.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Physical Therapy (Rehabilitative &amp; Habilitative Services):
In-Network Provider [2] 
For in-network providers: [2] 
the plan does not have a deductible. [3] 
However, Physical Therapy is not subject to the deductible. [2] 
The copay for Physical Therapy services is $15. [2] 
The service applies to the plan's out-of-pocket maximum amount of $1,500, not to exceed $3,000 per family. When the plan's out-of-pocket maximum amount is satisfied, the health plan will reimburse 100% of the allowed amount. [2] 
Additional details: 
- Massage is covered only when performed as part of a rehabilitative/habilitative physical therapy treatment plan by a licensed or certified Health Care Provider. [2] 
- Massage is not covered when performed as the solitary treatment or when prescribed to an individual who presents with no complications. [2] 
Out-of-Network Provider 
For out-of-network providers, the member is responsible for 100% of the provider's billed amount, as the plan only covers in-network providers.
</t>
  </si>
  <si>
    <t>Brief Answer 
Yes. The plan provides benefits for outpatient allergy desensitization (immunotherapy) treatments, such as allergy serum injections and allergy injections.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Allergy desensitization / immunotherapy (outpatient):
#### 1) Allergy injections (immunotherapy injections)
In-Network Provider 
For in-network providers: [2] 
However, Allergy injections is not subject to the deductible. [2] 
The copay for Allergy injections services is $20 per visit. [2] 
The service applies to the plan's out-of-pocket maximum amount of $3,000, not to exceed $6,000 per family. When the plan's out-of-pocket maximum amount is satisfied, the health plan will reimburse 100% of the allowed amount. [3]
Out-of-Network Provider 
For out-of-network providers, the member is responsible for 100% of the provider's billed amount, as the plan only covers in-network providers.
#### 2) Preparation and provision of allergy serum (part of immunotherapy)
In-Network Provider 
For in-network providers: [4] 
However, Preparation and provision of allergy serum is not subject to the deductible. [4] 
The coinsurance is 50% of the allowed amount, and the plan will reimburse the remaining 50% of the allowed amount for Preparation and provision of allergy serum. [4] 
The service applies to the plan's out-of-pocket maximum amount of $3,000, not to exceed $6,000 per family. When the plan's out-of-pocket maximum amount is satisfied, the health plan will reimburse 100% of the allowed amount. [3]
Out-of-Network Provider 
For out-of-network providers, the member is responsible for 100% of the provider's billed amount, as the plan only covers in-network providers.
#### Additional details:
- The plan covers allergy testing and immunotherapy services, including allergy testing on/under the skin, preparation and provision of allergy serum, and allergy serum injections. [1] 
- This benefit does not include blood testing for allergies. [1]</t>
  </si>
  <si>
    <t xml:space="preserve">Brief Answer 
Yes — this Trio HMO plan covers urgent and emergency care while traveling outside of California, but it generally does not cover routine/non-urgent care out of area unless it’s authorized by Blue Shield. 
──────────────────────────────────────────────────
Detailed Explanation
Because this is a HMO plan, the member must receive services from either an in-network provider or a provider associated with their medical group to be eligible for benefits. A referral from the member's primary care physician (PCP) is usually required when the member wants to see a specialist or other provider. [1]
Traveling outside of California (out-of-area coverage) 
The Blue Shield HMO plan provides limited coverage for health care services received outside of California. Out-of-area covered health care services are restricted to emergency services, urgent services, and out-of-area follow-up care. Any other services will not be covered when processed through an Inter-Plan Arrangement unless prior authorized by Blue Shield. [2]
Emergency Services (while traveling) 
In-Network Provider 
For in-network providers: [3] 
- Copay: $150 per visit for emergency room facility services. [3] 
- The plan will reimburse the provider 100% of the allowed amount for emergency room physician/professional services. [4] 
- However, emergency room services resulting in admission is subject to this deductible. Once the deductible is met, The coinsurance is 10% of the allowed amount, and the plan will reimburse the remaining 90% of the allowed amount for emergency room services resulting in admission. [5] 
- The service applies to the plan's out-of-pocket maximum amount of $2,500, not to exceed $5,000 per family. When the plan's out-of-pocket maximum amount is satisfied, the health plan will reimburse 100% of the allowed amount. [3]
Out-of-Network Provider 
For out-of-network providers, the member is responsible for 100% of the provider's billed amount, as the plan only covers in-network providers. [1]
Urgent Services (while traveling) 
In-Network Provider 
For in-network providers: [6] 
- Copay: $15 per visit for urgent care services (freestanding urgent care). [6] 
- The service applies to the plan's out-of-pocket maximum amount of $2,500, not to exceed $5,000 per family. When the plan's out-of-pocket maximum amount is satisfied, the health plan will reimburse 100% of the allowed amount. [6] 
- When seeking urgent care services within their HMO service area, the member needs to verify with their primary care physician (PCP) and Independent Physician Association (IPA) or Medical Group (MG) which urgent care clinics are in-network. If outside the assigned Medical Group Service Area but within California the member may visit any urgent care center. [7]
Out-of-Network Provider 
For out-of-network providers, the member is responsible for 100% of the provider's billed amount, as the plan only covers in-network providers. [1]
</t>
  </si>
  <si>
    <t xml:space="preserve">Question
Can I go to an Acupuncturist? How would that be covered?
Do I have benefits for acupuncture?
Is there a limit to the number of acupuncture sessions I can have in a year?
Are benefits provided for outpatient allergy desensitization treatments?
Is coverage provided for outpatient allergy testing?
My husband had to be taken to the emergency room by Ambulance over the weekend. Can you help me understand the coverage for that?
Is a car transport to an office visit covered?
What if I need to be flown to a hospital? Does my plan cover an air ambulance? If so, how much will it cost? 
Are travel expenses for bariatric surgery covered?
Can I go to an out-of-network provider for bariatric surgery?
Am I covered while traveling? 
Do I have coverage outside of the US?
Are there annual limits on chiropractic visits?
Does my plan cover a chiropractor?
Does my plan cover insulin pumps and supplies?
How are diabetes testing supplies covered?
I was just diagnosed with Diabetes and need to take a training class, is that covered?
Are benefits provided for outpatient pulmonary function testing?
Are genetic counseling sessions covered for cancer risk?
Are genetic testing services for inherited heart conditions covered?
Are lab tests like blood work or urinalysis covered?
Are outpatient sleep studies covered for diagnosing sleep apnea?
How are outpatient cardiac stress tests covered?
I have a CT scan scheduled at an Imaging Center, I need to know how much I will need to pay? 
I have a scheduled MRI, what is the coverage for that? 
Is a thyroid TSH test covered?
Is a vitamin D level test covered?
Is coverage available for outpatient cardiac event monitoring?
My doctor referred me for a cardiac stress test. What is the coverage for that?
My doctor referred me to a lab to get a Comprehensive Metabolic Panel (CMP), do you cover that?
What do you cover for a cholesterol test (lipid panel)?
What do you cover for a hemoglobin A1c test?
What is my benefit coverage for a flu test?
What is my benefit for a pregnancy test?
What is my benefit for a PSA test?
What is my benefit for a skin biopsy?
What is my benefit for a urinalysis (urine test)?
What is my benefit for a urine culture test?
What is my benefit for an HIV test?
What is my benefits for a bone density scan (DEXA)?
What is my coverage for a mammography?
What is the coverage for a hearing test (audiometry)?
What is the coverage for a lung function test (spirometry)?
What is the coverage for an overnight sleep study?
What is the coveragefor an EEG test?
What is the coverage for an electrocardiogram (EKG)?
What's the benefit coverage for a strep throat test?
I got a referral from my doctor for blood work, the code listed is 80050. What is the coverage for that?
My husband will be starting hemodialysis, can you tell me how that's covered?
Does my plan cover durable medical equipment for respiratory support?
Does my plan cover remote glucose monitoring for diabetes?
How are intraocular lenses covered?
How is a prosthetic leg covered?
I am about to have knee surgery and need to pick up a knee brace, what's the coverage for that?
I broke my leg and need to rent a wheel chair. Is that covered?
I need a generator to ensure if the electricity goes out that my monitor works. Do you cover those?
I'm going to be having a baby soon. Do you reimburse for breast pumps?
Is a CPAP machine a covered benefit?
Is coverage available for outpatient lymphedema pumps?
Is coverage available for prosthetic limb replacements?
What are the benefits for orthotics? 
What does my plan cover for oxygen?
Is a wig covered?
If I go to the emergency room, do I just pay for emergency room copay or are there additional charges? 
If I have an emergency at an out-of-network hospital, will it be covered by my insurance?
What will my cost share be for a visit to the emergency room?
Are travel vaccines covered under my pharmacy benefit?
Do I have benefits for tattoo removal?
Do you reimburse a parent for participation in therapy?
Do you reimburse for an air conditioner?
Does my insurance provide a gym membership discount or reimbursement as part of the benefits?
I have bad allergies, do you reimburse for Benadryl?
I lost my prescription, do you cover a replacement?
Is callus treatment covered? 
What are the benefits for dental implants?
What are the coverage for the yellow fever vaccine?
What is my benefits for LASIK surgery?
Will you reimburse for exercise equipment?
I'm traveling to another county and the CDC recommends some specific vaccines. What is the coverage for that?
Are implanted contraceptives covered?
Can you tell me about the plan's coverage for infertility services?
Does my plan cover outpatient genetic counseling for family planning?
Does this plan cover vasectomies? 
I need to get a diaphragm, can you tell me what that would cost?
I need to get my tubes tied, is that covered?
What are the benefits for a vasectomy? 
What do you cover for diagnosing infertility?
Are fertility preservation services covered?
What is a deductible and what is my deductible amount?
Do I have to meet my deductible before my insurance starts paying for services?
How do I get a referral to see a specialist under my plan? 
If I hit my out-of-pocket maximum, does my plan cover 100% of my remaining healthcare costs for the year?
Is there any lifetime or annual maximum limit on what my insurance will pay for my medical care?
What is a formulary?
What is the difference between an HMO plan and a PPO plan?
What is the difference between coinsurance and copay?
If I go to a doctor who is not in my network, will my plan cover any of the cost?
Does my plan cover home health care visits? 
Is a private home health care nurse covered? 
Does my plan have an limits to home health care?
Are home-based palliative care services covered?
Can you tell me about this plan's coverage for home hospice care?
What is my benefit for a hospital admission?
Am I covered for infertility treatments?  
Is there a maximum number of procedures I can have for different infertility services?
I have TMJ, what services are covered?
Are outpatient behavioral health services for substance use disorder covered?
Does my plan cover visits to a therapist or counselor for mental health support?
How much will I have to pay for mental health therapy sessions under my insurance plan (what’s the copay or coinsurance)?
Is Dialectical Behavior Therapy (DBT) covered?
Is Group Therapy covered?
My therapist is recommending that I do Cognitive Behavioral Therapy. What is the coverage for that?
What is my benefit for a psychotherapy session?
What is my copay for outpatient mental health counseling?
Are benefits provided for outpatient infusion centers?
Are online consultations with my dermatologist covered?
Are outpatient infusion therapies for autoimmune diseases covered?
Are outpatient nutrition counseling sessions for obesity covered?
Are outpatient nutrition therapy services for chronic kidney disease covered?
Are outpatient pain injections (such as epidurals) covered?
Does my plan cover outpatient infusion of immunoglobulin therapy?
Does my plan cover outpatient infusion therapy for multiple sclerosis?
Does my plan cover outpatient IV antibiotic therapy?
For a specialist visit under my plan, do I pay a fixed copay or a coinsurance percentage of the visit cost?
I was just diagnosed with Sjogren's, an autoimmune disorder, and need to know if a vision exam will be covered?
Is Botox for chronic migranes covered?
Is Botox for excessive sweating (hyperhidrosis) covered?
Is coverage available for outpatient infusion of specialty medications?
Is coverage available for outpatient IV hydration therapy?
Is coverage available for remote consultations with medical specialists?
Is coverage available for second surgical opinions?
Is coverage provided for medical nutrition therapy for chronic diseases?
Is coverage provided for nutritional counseling for weight management?
Is coverage provided for remote consultations with medical specialists?
Is there a copay for remote telehealth visits?
My primary doctor removed mole today in her office. Do you know what I would be expected to pay for that?
What are my benefits for a new patient office visit?
What benefits do I have for wound care services?
What is my benefit for an epidural steroid injection?
What is my benefits for seeing a physician?
What is my cost share for infusion therapy at my physician's office?
What is my coverage for seeing a Gastroenterologist?
What is my coverage for seeing a Urologist?
What is the copayment for a visit to a Pediatrician for my son?
What is the coverage for telehealth consults?
What would the copayment be for visit with the Nurse Practitioners (NPs)?
What would the copayment be for visit with the Physician Assistant (PAs)?
What's my cost for seeing a Neurologist?
What's my cost for seeing an OBGYN?
I am having a cataract surgery soon. What charges should I expect for the surgery? 
I have Carpal Tunnel and may need surgery to release the wrist ligament. What does my health plan cover for surgeries?
I need a breast biopsy. What will I need to pay for that?
I need a hernia repair, how does my insurance cover that?
I probably torn my meniscus and need a knee arthroscopy, what will that cost?
It looks like I'm going to need a hip replacement and I'm trying to plan for the cost of that, can you tell me what my insurance will cover and what I will need to pay?
My daughter has been referred to have a Tonsillectomy with Adenoidectomy, can you tell me how that's covered?
My daughter needs to have a cleft palate repair. Can you tell me how much I will need to pay for that and what my insurance covers?
My husband was just admitted in the hospital. He needs to have his appendix removed. Can you help me understand what that will cost? 
What is my benefit for a bladder cystoscopy?
What is my benefit for a breast biopsy?
What is my benefit for a breast lumpectomy?
What is my benefit for a bronchoscopy?
What is my benefit for a carpal tunnel release surgery?
What is my benefit for a chemotherapy infusion?
What is my benefit for a colon polyp removal procedure?
What is my benefit for a colon resection surgery?
What is my benefit for a gallbladder removal?
What is my benefit for a heart stent procedure (angioplasty)?
What is my benefit for a hysterectomy?
What is my benefit for a kidney stone removal?
What is my benefit for a prostatectomy?
What is my benefit for a shoulder rotator cuff repair?
What is my benefit for a skin lesion removal?
What is my benefit for a spinal fusion surgery?
What is my benefit for an arthroscopic knee surgery?
What is my benefit for an inguinal hernia repair?
What is my benefit for an upper endoscopy (EGD)?
What is my benefit for heart bypass surgery?
What's the benefit coverage for a cervical colposcopy and biopsy?
What's the benefit coverage for a laceration repair (stitches)?
What's the coverage for a herniated disc surgery?
What's the coverage for a pacemaker?
What's the coverage for a total hip replacement?
What's the coverage for an ACL reconstruction surgery?
What's the coverage forr a tonsillectomy?
How is a Breast Reduction (Reduction Mammaplasty) covered?
What are the beefits for a Rhinoplasty (Nose Surgery)?
What is the coverage for Abdominoplasty (Tummy Tuck)?
Can I see a podiatrist for a foot issue?
After I have my baby, would education or training in breast or bottle feeding be covered?
Does my plan cover midwife services? 
How many days in the hosptial does my plan allow for a vaginal versus a c-section?
I may need to have a C-section, what would my costs be?
I'm having a baby, what can I expect for coverage and costs?
Is baby circumcision covered? 
Is there coverage for an abortion?
My wife is going to need a D&amp;C, can you tell me how are insurance covers that?
Are biologic drugs for autoimmune conditions covered?
Can I use any pharmacy to fill my prescription, or do I need to use a specific pharmacy for my insurance to cover it?
Do I have a copay for prescription drugs?
Do some prescription drugs need approval from the insurance (prior authorization) before they’re covered?
Does my plan allow me to get a 90-day supply of my medications?
Does my plan cover contraceptive patches and rings?
Does my plan require me to use generic drugs instead of brand-name drugs when a generic is available?
How can I check if a particular medication is covered under my plan’s formulary (and find out what it will cost)?
Is coverage available for over-the-counter smoking cessation aids?
Is that new Wegovy pill covered?
Is there a separate deductible for prescription drugs?
What is the coverage for Asthma inhalers?
What's the copay for Atorvastatin?
What's the coverage for Amlodipine?
What's the coverage for lisinopril?
What's the coverage for Semaglutide?
Are preventive screenings for cervical cancer covered at 100%?
Are preventive screenings for skin cancer covered?
Are preventive services like annual check-ups and vaccines covered at 100% by my health plan?
Are preventive vaccines for adults covered at 100%?
Does my plan cover the full cost of preventive mammograms?
Is coverage available for preventive lung cancer screenings?
What is my benefit for a chickenpox (varicella) vaccine?
What is my benefit for a DTaP vaccine?
What is my benefit for a pneumonia vaccine?
What is my benefit for a shingles vaccine?
What is my benefit for a Tdap vaccine?
What is my benefit for a well-child check-up?
What is my benefit for an annual preventive check-up?
What's included in my annal health exam?
Are outpatient rehabilitation services for stroke recovery covered?
Are there visit limits for outpatient occupational therapy?
Do I have any visit limitation for speech therapy?
Does my plan cover occupational therapy for children with developmental delays?
Does my plan cover outpatient occupational therapy for hand injuries?
Does my plan cover outpatient physical therapy for sports injuries?
Does my plan cover outpatient pulmonary rehabilitation?
Does my plan cover speech therapy for adults after a stroke?
Does my plan cover speech therapy for children with speech delays?
Does my plan include benefits for outpatient cardiac rehabilitation?
Does my plan include benefits for outpatient occupational therapy after surgery?
Does physical therapy include massage?
How many physical therapy sessions will my plan cover per year?
Is coverage available for home-based physical therapy?
Is coverage available for outpatient lymphedema therapy?
My son's pediatrician is recommending speech therapy, what will that cost?
Tell me about how my respiratory therapy benefits.
What are the benefits for occupational therapy?
What is the coinsurance for outpatient physical therapy?
Can you help me understand the insurance coverage for skilled nursing facility?
I will need a kidney transplant. I need to understand how my insurance covers that?
I’m traveling out of state – will my health insurance cover me if I need to see a doctor or go to an urgent care while away from home?
Are urgent care visits covered at out-of-network facilities?
Do I have coverage for hearing aids?
Do you cover hearing aids?
</t>
  </si>
  <si>
    <t>Data Discrepancy Examples:</t>
  </si>
  <si>
    <t>Q. 45 should be for product Id M0042915, but screen capture shows member is enrolled on M0044629</t>
  </si>
  <si>
    <t>Q. 44 should be for product Id M0041722, but screen capture shows member is enrolled on M0041772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</si>
</sst>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55">
    <font>
      <sz val="11"/>
      <color theme="1"/>
      <name val="Calibri"/>
      <family val="2"/>
      <scheme val="minor"/>
    </font>
    <font>
      <sz val="11"/>
      <color theme="1"/>
      <name val="Calibri"/>
      <family val="2"/>
      <scheme val="minor"/>
    </font>
    <font>
      <u/>
      <sz val="11"/>
      <color theme="10"/>
      <name val="Calibri"/>
      <family val="2"/>
      <scheme val="minor"/>
    </font>
    <font>
      <b/>
      <sz val="11"/>
      <color rgb="FF000000"/>
      <name val="Calibri"/>
      <family val="2"/>
      <scheme val="minor"/>
    </font>
    <font>
      <sz val="11"/>
      <color rgb="FF000000"/>
      <name val="Calibri"/>
      <family val="2"/>
      <scheme val="minor"/>
    </font>
    <font>
      <sz val="11"/>
      <name val="Aptos Narrow"/>
      <family val="2"/>
    </font>
    <font>
      <sz val="11"/>
      <color rgb="FF000000"/>
      <name val="Aptos Narrow"/>
      <family val="2"/>
    </font>
    <font>
      <b/>
      <sz val="11"/>
      <color rgb="FF000000"/>
      <name val="Aptos Narrow"/>
      <family val="2"/>
    </font>
    <font>
      <sz val="11"/>
      <color rgb="FF020817"/>
      <name val="Aptos Narrow"/>
      <family val="2"/>
    </font>
    <font>
      <sz val="11"/>
      <color rgb="FF000000"/>
      <name val="Calibri"/>
      <family val="2"/>
    </font>
    <font>
      <b/>
      <sz val="11"/>
      <color rgb="FF000000"/>
      <name val="Calibri"/>
      <family val="2"/>
    </font>
    <font>
      <sz val="11"/>
      <color rgb="FF555555"/>
      <name val="Arial"/>
      <family val="2"/>
    </font>
    <font>
      <b/>
      <sz val="10"/>
      <color rgb="FF000000"/>
      <name val="Aptos"/>
      <family val="2"/>
    </font>
    <font>
      <sz val="10"/>
      <color rgb="FF000000"/>
      <name val="Aptos"/>
      <family val="2"/>
    </font>
    <font>
      <b/>
      <sz val="11"/>
      <color theme="1"/>
      <name val="Calibri"/>
      <family val="2"/>
      <scheme val="minor"/>
    </font>
    <font>
      <sz val="11"/>
      <color theme="1"/>
      <name val="Segoe UI"/>
      <family val="2"/>
    </font>
    <font>
      <b/>
      <sz val="11"/>
      <color theme="1"/>
      <name val="Segoe UI"/>
      <family val="2"/>
    </font>
    <font>
      <sz val="11"/>
      <color rgb="FF000000"/>
      <name val="Segoe UI"/>
      <family val="2"/>
    </font>
    <font>
      <b/>
      <sz val="11"/>
      <color rgb="FF000000"/>
      <name val="Segoe UI"/>
      <family val="2"/>
    </font>
    <font>
      <sz val="11"/>
      <color indexed="8"/>
      <name val="Aptos Narrow"/>
      <family val="2"/>
    </font>
    <font>
      <b/>
      <sz val="11"/>
      <color indexed="8"/>
      <name val="Aptos Narrow"/>
      <family val="2"/>
    </font>
    <font>
      <sz val="11"/>
      <color indexed="8"/>
      <name val="Aptos Narrow (Body)"/>
    </font>
    <font>
      <sz val="11"/>
      <color theme="1"/>
      <name val="Aptos Narrow (Body)"/>
    </font>
    <font>
      <sz val="11"/>
      <color rgb="FF000000"/>
      <name val="Aptos Narrow (Body)"/>
    </font>
    <font>
      <sz val="12"/>
      <color indexed="8"/>
      <name val="Aptos Narrow (Body)"/>
    </font>
    <font>
      <sz val="11"/>
      <color rgb="FF020817"/>
      <name val="Aptos Narrow (Body)"/>
    </font>
    <font>
      <sz val="11"/>
      <name val="Aptos Narrow (Body)"/>
    </font>
    <font>
      <sz val="11"/>
      <color indexed="8"/>
      <name val="Calibri"/>
      <family val="2"/>
      <scheme val="minor"/>
    </font>
    <font>
      <sz val="12"/>
      <color indexed="8"/>
      <name val="Aptos Narrow"/>
      <family val="2"/>
    </font>
    <font>
      <b/>
      <sz val="11"/>
      <color theme="1"/>
      <name val="Aptos Narrow (Body)"/>
    </font>
    <font>
      <sz val="11"/>
      <color rgb="FFFF0000"/>
      <name val="Calibri"/>
      <family val="2"/>
      <scheme val="minor"/>
    </font>
    <font>
      <sz val="11"/>
      <color rgb="FF020817"/>
      <name val="Segoe UI"/>
      <family val="2"/>
    </font>
    <font>
      <sz val="11"/>
      <color rgb="FF020817"/>
      <name val="Calibri"/>
      <family val="2"/>
    </font>
    <font>
      <sz val="11"/>
      <color rgb="FFFF0000"/>
      <name val="Calibri"/>
      <family val="2"/>
    </font>
    <font>
      <sz val="12"/>
      <color theme="1"/>
      <name val="Aptos Narrow (Body)"/>
    </font>
    <font>
      <sz val="11"/>
      <color theme="1"/>
      <name val="Calibri"/>
      <family val="2"/>
    </font>
    <font>
      <sz val="11"/>
      <color theme="5"/>
      <name val="Calibri"/>
      <family val="2"/>
      <scheme val="minor"/>
    </font>
    <font>
      <b/>
      <sz val="12"/>
      <color theme="1"/>
      <name val="Aptos Narrow (Body)"/>
    </font>
    <font>
      <b/>
      <sz val="12"/>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b/>
      <u/>
      <sz val="10"/>
      <color theme="1"/>
      <name val="Calibri"/>
      <family val="2"/>
      <scheme val="minor"/>
    </font>
    <font>
      <b/>
      <sz val="10"/>
      <color rgb="FF000000"/>
      <name val="Calibri"/>
      <scheme val="minor"/>
    </font>
    <font>
      <sz val="10"/>
      <color rgb="FF000000"/>
      <name val="Calibri"/>
      <scheme val="minor"/>
    </font>
    <font>
      <sz val="10"/>
      <color rgb="FF000000"/>
      <name val="Calibri"/>
      <family val="2"/>
      <scheme val="minor"/>
    </font>
    <font>
      <sz val="11"/>
      <color theme="1"/>
      <name val="Calibri Light"/>
      <family val="2"/>
      <scheme val="major"/>
    </font>
    <font>
      <sz val="12"/>
      <color theme="1"/>
      <name val="Aptos Display"/>
      <family val="2"/>
    </font>
    <font>
      <b/>
      <sz val="18"/>
      <color rgb="FF020817"/>
      <name val="Segoe UI"/>
      <family val="2"/>
    </font>
    <font>
      <sz val="11"/>
      <color rgb="FF323130"/>
      <name val="Calibri Light"/>
      <family val="2"/>
      <scheme val="major"/>
    </font>
    <font>
      <strike/>
      <sz val="11"/>
      <color theme="1"/>
      <name val="Calibri Light"/>
      <family val="2"/>
      <scheme val="major"/>
    </font>
    <font>
      <strike/>
      <sz val="11"/>
      <color rgb="FF020817"/>
      <name val="Segoe UI"/>
      <family val="2"/>
    </font>
    <font>
      <strike/>
      <sz val="12"/>
      <color indexed="8"/>
      <name val="Aptos Narrow (Body)"/>
    </font>
    <font>
      <strike/>
      <sz val="12"/>
      <color theme="1"/>
      <name val="Aptos Narrow (Body)"/>
    </font>
    <font>
      <b/>
      <sz val="11"/>
      <color rgb="FFFFFFFF"/>
      <name val="Calibri"/>
      <family val="2"/>
      <scheme val="minor"/>
    </font>
  </fonts>
  <fills count="18">
    <fill>
      <patternFill patternType="none"/>
    </fill>
    <fill>
      <patternFill patternType="gray125"/>
    </fill>
    <fill>
      <patternFill patternType="solid">
        <fgColor theme="4" tint="0.79998168889431442"/>
        <bgColor indexed="64"/>
      </patternFill>
    </fill>
    <fill>
      <patternFill patternType="solid">
        <fgColor rgb="FFD9E1F2"/>
        <bgColor rgb="FF000000"/>
      </patternFill>
    </fill>
    <fill>
      <patternFill patternType="solid">
        <fgColor rgb="FFC6E0B4"/>
        <bgColor rgb="FF000000"/>
      </patternFill>
    </fill>
    <fill>
      <patternFill patternType="solid">
        <fgColor rgb="FFFFFFFF"/>
        <bgColor rgb="FF000000"/>
      </patternFill>
    </fill>
    <fill>
      <patternFill patternType="solid">
        <fgColor rgb="FFA5C9EB"/>
        <bgColor rgb="FF000000"/>
      </patternFill>
    </fill>
    <fill>
      <patternFill patternType="solid">
        <fgColor theme="0" tint="-0.14999847407452621"/>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7"/>
        <bgColor indexed="64"/>
      </patternFill>
    </fill>
    <fill>
      <patternFill patternType="solid">
        <fgColor rgb="FF1F4E78"/>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s>
  <cellStyleXfs count="3">
    <xf numFmtId="0" fontId="0" fillId="0" borderId="0"/>
    <xf numFmtId="0" fontId="2" fillId="0" borderId="0" applyNumberFormat="0" applyFill="0" applyBorder="0" applyAlignment="0" applyProtection="0"/>
    <xf numFmtId="0" fontId="19" fillId="0" borderId="0" applyNumberFormat="0" applyFill="0" applyBorder="0" applyProtection="0"/>
  </cellStyleXfs>
  <cellXfs count="283">
    <xf numFmtId="0" fontId="0" fillId="0" borderId="0" xfId="0"/>
    <xf numFmtId="0" fontId="4" fillId="0" borderId="0" xfId="0" applyFont="1"/>
    <xf numFmtId="0" fontId="4" fillId="0" borderId="0" xfId="0" applyFont="1" applyAlignment="1">
      <alignment horizontal="left"/>
    </xf>
    <xf numFmtId="0" fontId="0" fillId="0" borderId="0" xfId="0" applyAlignment="1">
      <alignment wrapText="1"/>
    </xf>
    <xf numFmtId="0" fontId="0" fillId="0" borderId="0" xfId="0" applyAlignment="1">
      <alignment horizontal="left"/>
    </xf>
    <xf numFmtId="0" fontId="10" fillId="3" borderId="1" xfId="0" applyFont="1" applyFill="1" applyBorder="1" applyAlignment="1">
      <alignment wrapText="1"/>
    </xf>
    <xf numFmtId="0" fontId="10" fillId="3" borderId="7" xfId="0" applyFont="1" applyFill="1" applyBorder="1" applyAlignment="1">
      <alignment wrapText="1"/>
    </xf>
    <xf numFmtId="0" fontId="9" fillId="0" borderId="4" xfId="0" applyFont="1" applyBorder="1" applyAlignment="1">
      <alignment wrapText="1"/>
    </xf>
    <xf numFmtId="0" fontId="9" fillId="0" borderId="12" xfId="0" applyFont="1" applyBorder="1" applyAlignment="1">
      <alignment wrapText="1"/>
    </xf>
    <xf numFmtId="0" fontId="9" fillId="0" borderId="13" xfId="0" applyFont="1" applyBorder="1" applyAlignment="1">
      <alignment wrapText="1"/>
    </xf>
    <xf numFmtId="0" fontId="10" fillId="4" borderId="7" xfId="0" applyFont="1" applyFill="1" applyBorder="1" applyAlignment="1">
      <alignment vertical="top" wrapText="1"/>
    </xf>
    <xf numFmtId="0" fontId="11" fillId="0" borderId="4" xfId="0" applyFont="1" applyBorder="1" applyAlignment="1">
      <alignment vertical="top" wrapText="1"/>
    </xf>
    <xf numFmtId="0" fontId="11" fillId="0" borderId="13" xfId="0" applyFont="1" applyBorder="1" applyAlignment="1">
      <alignment vertical="top" wrapText="1"/>
    </xf>
    <xf numFmtId="0" fontId="0" fillId="0" borderId="0" xfId="0" applyAlignment="1">
      <alignment vertical="top"/>
    </xf>
    <xf numFmtId="0" fontId="10" fillId="0" borderId="9" xfId="0" applyFont="1" applyBorder="1" applyAlignment="1">
      <alignment vertical="top" wrapText="1"/>
    </xf>
    <xf numFmtId="0" fontId="9" fillId="0" borderId="2" xfId="0" applyFont="1" applyBorder="1" applyAlignment="1">
      <alignment wrapText="1"/>
    </xf>
    <xf numFmtId="0" fontId="9" fillId="0" borderId="8" xfId="0" applyFont="1" applyBorder="1" applyAlignment="1">
      <alignment wrapText="1"/>
    </xf>
    <xf numFmtId="0" fontId="9" fillId="0" borderId="9" xfId="0" applyFont="1" applyBorder="1" applyAlignment="1">
      <alignment wrapText="1"/>
    </xf>
    <xf numFmtId="0" fontId="9" fillId="5" borderId="9" xfId="0" applyFont="1" applyFill="1" applyBorder="1"/>
    <xf numFmtId="0" fontId="9" fillId="0" borderId="9" xfId="0" applyFont="1" applyBorder="1" applyAlignment="1">
      <alignment vertical="top"/>
    </xf>
    <xf numFmtId="0" fontId="9" fillId="0" borderId="9" xfId="0" applyFont="1" applyBorder="1"/>
    <xf numFmtId="0" fontId="9" fillId="0" borderId="9" xfId="0" applyFont="1" applyBorder="1" applyAlignment="1">
      <alignment vertical="top" wrapText="1"/>
    </xf>
    <xf numFmtId="0" fontId="9" fillId="0" borderId="10" xfId="0" applyFont="1" applyBorder="1" applyAlignment="1">
      <alignment wrapText="1"/>
    </xf>
    <xf numFmtId="0" fontId="9" fillId="0" borderId="11" xfId="0" applyFont="1" applyBorder="1" applyAlignment="1">
      <alignment wrapText="1"/>
    </xf>
    <xf numFmtId="0" fontId="9" fillId="0" borderId="11" xfId="0" applyFont="1" applyBorder="1"/>
    <xf numFmtId="0" fontId="9" fillId="0" borderId="11" xfId="0" applyFont="1" applyBorder="1" applyAlignment="1">
      <alignment vertical="top"/>
    </xf>
    <xf numFmtId="0" fontId="9" fillId="0" borderId="4" xfId="0" applyFont="1" applyBorder="1"/>
    <xf numFmtId="0" fontId="9" fillId="0" borderId="13" xfId="0" applyFont="1" applyBorder="1"/>
    <xf numFmtId="0" fontId="6" fillId="0" borderId="2" xfId="0" applyFont="1" applyBorder="1" applyAlignment="1">
      <alignment vertical="top"/>
    </xf>
    <xf numFmtId="1" fontId="6" fillId="0" borderId="2" xfId="0" applyNumberFormat="1" applyFont="1" applyBorder="1" applyAlignment="1">
      <alignment vertical="top"/>
    </xf>
    <xf numFmtId="0" fontId="6" fillId="0" borderId="2" xfId="0" applyFont="1" applyBorder="1" applyAlignment="1">
      <alignment vertical="top" wrapText="1"/>
    </xf>
    <xf numFmtId="0" fontId="6" fillId="0" borderId="3" xfId="0" applyFont="1" applyBorder="1" applyAlignment="1">
      <alignment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2" fillId="0" borderId="0" xfId="1" applyFill="1" applyAlignment="1">
      <alignment wrapText="1"/>
    </xf>
    <xf numFmtId="0" fontId="12" fillId="6" borderId="2" xfId="0" applyFont="1" applyFill="1" applyBorder="1" applyAlignment="1">
      <alignment wrapText="1"/>
    </xf>
    <xf numFmtId="0" fontId="12" fillId="6" borderId="4" xfId="0" applyFont="1" applyFill="1" applyBorder="1" applyAlignment="1">
      <alignment wrapText="1"/>
    </xf>
    <xf numFmtId="0" fontId="13" fillId="0" borderId="12" xfId="0" applyFont="1" applyBorder="1" applyAlignment="1">
      <alignment wrapText="1"/>
    </xf>
    <xf numFmtId="0" fontId="13" fillId="0" borderId="13" xfId="0" applyFont="1" applyBorder="1" applyAlignment="1">
      <alignment wrapText="1"/>
    </xf>
    <xf numFmtId="0" fontId="6" fillId="0" borderId="13" xfId="0" applyFont="1" applyBorder="1"/>
    <xf numFmtId="0" fontId="6" fillId="0" borderId="13" xfId="0" applyFont="1" applyBorder="1" applyAlignment="1">
      <alignment wrapText="1"/>
    </xf>
    <xf numFmtId="0" fontId="0" fillId="7" borderId="0" xfId="0" applyFill="1"/>
    <xf numFmtId="0" fontId="0" fillId="7" borderId="0" xfId="0" applyFill="1" applyAlignment="1">
      <alignment horizontal="left"/>
    </xf>
    <xf numFmtId="0" fontId="0" fillId="7" borderId="0" xfId="0" applyFill="1" applyAlignment="1">
      <alignment wrapText="1"/>
    </xf>
    <xf numFmtId="0" fontId="5" fillId="0" borderId="1" xfId="0" applyFont="1" applyBorder="1" applyAlignment="1">
      <alignment vertical="top" wrapText="1"/>
    </xf>
    <xf numFmtId="0" fontId="6" fillId="0" borderId="1" xfId="0" applyFont="1" applyBorder="1" applyAlignment="1">
      <alignment vertical="top"/>
    </xf>
    <xf numFmtId="1" fontId="6" fillId="0" borderId="1" xfId="0" applyNumberFormat="1" applyFont="1" applyBorder="1" applyAlignment="1">
      <alignment vertical="top"/>
    </xf>
    <xf numFmtId="0" fontId="6" fillId="0" borderId="1" xfId="0" applyFont="1" applyBorder="1" applyAlignment="1">
      <alignment vertical="top" wrapText="1"/>
    </xf>
    <xf numFmtId="0" fontId="9" fillId="0" borderId="1" xfId="0" applyFont="1" applyBorder="1" applyAlignment="1">
      <alignment vertical="top"/>
    </xf>
    <xf numFmtId="0" fontId="3" fillId="2" borderId="14" xfId="0" applyFont="1" applyFill="1" applyBorder="1" applyAlignment="1">
      <alignment horizontal="left" vertical="top" wrapText="1"/>
    </xf>
    <xf numFmtId="0" fontId="3" fillId="2" borderId="14" xfId="0" applyFont="1" applyFill="1" applyBorder="1" applyAlignment="1">
      <alignment vertical="top" wrapText="1"/>
    </xf>
    <xf numFmtId="0" fontId="3" fillId="2" borderId="15" xfId="0" applyFont="1" applyFill="1" applyBorder="1" applyAlignment="1">
      <alignment horizontal="left" vertical="top" wrapText="1"/>
    </xf>
    <xf numFmtId="0" fontId="0" fillId="0" borderId="1" xfId="0" applyBorder="1" applyAlignment="1">
      <alignment vertical="top"/>
    </xf>
    <xf numFmtId="0" fontId="6" fillId="7" borderId="0" xfId="0" applyFont="1" applyFill="1" applyAlignment="1">
      <alignment vertical="top"/>
    </xf>
    <xf numFmtId="1" fontId="6" fillId="7" borderId="0" xfId="0" applyNumberFormat="1" applyFont="1" applyFill="1" applyAlignment="1">
      <alignment vertical="top"/>
    </xf>
    <xf numFmtId="0" fontId="8" fillId="0" borderId="3" xfId="0" applyFont="1" applyBorder="1" applyAlignment="1">
      <alignment vertical="top"/>
    </xf>
    <xf numFmtId="0" fontId="6" fillId="0" borderId="14" xfId="0" applyFont="1" applyBorder="1" applyAlignment="1">
      <alignment vertical="top" wrapText="1"/>
    </xf>
    <xf numFmtId="0" fontId="6" fillId="8" borderId="2" xfId="0" applyFont="1" applyFill="1" applyBorder="1" applyAlignment="1">
      <alignment vertical="top" wrapText="1"/>
    </xf>
    <xf numFmtId="0" fontId="9" fillId="8" borderId="2" xfId="0" applyFont="1" applyFill="1" applyBorder="1" applyAlignment="1">
      <alignment vertical="top" wrapText="1"/>
    </xf>
    <xf numFmtId="0" fontId="0" fillId="8" borderId="0" xfId="0" applyFill="1"/>
    <xf numFmtId="0" fontId="0" fillId="0" borderId="1" xfId="0" applyBorder="1" applyAlignment="1">
      <alignment vertical="top" wrapText="1"/>
    </xf>
    <xf numFmtId="0" fontId="0" fillId="0" borderId="14" xfId="0" applyBorder="1"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8" borderId="0" xfId="0" applyFill="1" applyAlignment="1">
      <alignment wrapText="1"/>
    </xf>
    <xf numFmtId="0" fontId="3" fillId="9" borderId="15" xfId="0" applyFont="1" applyFill="1" applyBorder="1" applyAlignment="1">
      <alignment horizontal="left" vertical="top" wrapText="1"/>
    </xf>
    <xf numFmtId="0" fontId="13" fillId="9" borderId="12" xfId="0" applyFont="1" applyFill="1" applyBorder="1" applyAlignment="1">
      <alignment wrapText="1"/>
    </xf>
    <xf numFmtId="0" fontId="6" fillId="0" borderId="5" xfId="0" applyFont="1" applyBorder="1" applyAlignment="1">
      <alignment vertical="top"/>
    </xf>
    <xf numFmtId="1" fontId="6" fillId="0" borderId="5" xfId="0" applyNumberFormat="1" applyFont="1" applyBorder="1" applyAlignment="1">
      <alignment vertical="top"/>
    </xf>
    <xf numFmtId="0" fontId="13" fillId="0" borderId="2" xfId="0" applyFont="1" applyBorder="1" applyAlignment="1">
      <alignment wrapText="1"/>
    </xf>
    <xf numFmtId="0" fontId="14" fillId="0" borderId="0" xfId="0" applyFont="1"/>
    <xf numFmtId="0" fontId="15" fillId="0" borderId="0" xfId="0" applyFont="1" applyAlignment="1">
      <alignment wrapText="1"/>
    </xf>
    <xf numFmtId="0" fontId="17" fillId="0" borderId="0" xfId="0" applyFont="1" applyAlignment="1">
      <alignment wrapText="1"/>
    </xf>
    <xf numFmtId="0" fontId="14" fillId="0" borderId="0" xfId="0" applyFont="1" applyAlignment="1">
      <alignment wrapText="1"/>
    </xf>
    <xf numFmtId="0" fontId="6" fillId="10" borderId="1" xfId="0" applyFont="1" applyFill="1" applyBorder="1" applyAlignment="1">
      <alignment vertical="top"/>
    </xf>
    <xf numFmtId="1" fontId="6" fillId="10" borderId="1" xfId="0" applyNumberFormat="1" applyFont="1" applyFill="1" applyBorder="1" applyAlignment="1">
      <alignment vertical="top"/>
    </xf>
    <xf numFmtId="49" fontId="22" fillId="0" borderId="1" xfId="2" applyNumberFormat="1" applyFont="1" applyFill="1" applyBorder="1" applyAlignment="1">
      <alignment horizontal="left" vertical="top" wrapText="1"/>
    </xf>
    <xf numFmtId="0" fontId="21" fillId="0" borderId="1" xfId="2" applyFont="1" applyBorder="1" applyAlignment="1">
      <alignment horizontal="left" vertical="top" wrapText="1"/>
    </xf>
    <xf numFmtId="0" fontId="21" fillId="0" borderId="1" xfId="2" applyNumberFormat="1" applyFont="1" applyBorder="1" applyAlignment="1">
      <alignment horizontal="left" vertical="top" wrapText="1"/>
    </xf>
    <xf numFmtId="49" fontId="24" fillId="0" borderId="1" xfId="2" applyNumberFormat="1" applyFont="1" applyBorder="1" applyAlignment="1">
      <alignment horizontal="left" vertical="top" wrapText="1"/>
    </xf>
    <xf numFmtId="49" fontId="21" fillId="0" borderId="1" xfId="2" applyNumberFormat="1" applyFont="1" applyBorder="1" applyAlignment="1">
      <alignment horizontal="left" vertical="top" wrapText="1"/>
    </xf>
    <xf numFmtId="49" fontId="22" fillId="0" borderId="0" xfId="2" applyNumberFormat="1" applyFont="1" applyFill="1" applyBorder="1" applyAlignment="1">
      <alignment horizontal="left" vertical="top" wrapText="1"/>
    </xf>
    <xf numFmtId="0" fontId="21" fillId="0" borderId="0" xfId="2" applyFont="1" applyBorder="1" applyAlignment="1">
      <alignment horizontal="left" vertical="top" wrapText="1"/>
    </xf>
    <xf numFmtId="0" fontId="21" fillId="0" borderId="0" xfId="2" applyNumberFormat="1" applyFont="1" applyBorder="1" applyAlignment="1">
      <alignment horizontal="left" vertical="top" wrapText="1"/>
    </xf>
    <xf numFmtId="49" fontId="24" fillId="0" borderId="0" xfId="2" applyNumberFormat="1" applyFont="1" applyBorder="1" applyAlignment="1">
      <alignment horizontal="left" vertical="top" wrapText="1"/>
    </xf>
    <xf numFmtId="49" fontId="21" fillId="0" borderId="0" xfId="2" applyNumberFormat="1" applyFont="1" applyBorder="1" applyAlignment="1">
      <alignment horizontal="left" vertical="top" wrapText="1"/>
    </xf>
    <xf numFmtId="49" fontId="22" fillId="0" borderId="0" xfId="2" applyNumberFormat="1" applyFont="1" applyBorder="1" applyAlignment="1">
      <alignment horizontal="left" vertical="top" wrapText="1"/>
    </xf>
    <xf numFmtId="164" fontId="22" fillId="0" borderId="1" xfId="2" applyNumberFormat="1" applyFont="1" applyFill="1" applyBorder="1" applyAlignment="1">
      <alignment horizontal="left" vertical="top" wrapText="1"/>
    </xf>
    <xf numFmtId="49" fontId="29" fillId="10" borderId="1" xfId="2" applyNumberFormat="1" applyFont="1" applyFill="1" applyBorder="1" applyAlignment="1">
      <alignment horizontal="left" vertical="top" wrapText="1"/>
    </xf>
    <xf numFmtId="164" fontId="29" fillId="11" borderId="1" xfId="2" applyNumberFormat="1" applyFont="1" applyFill="1" applyBorder="1" applyAlignment="1">
      <alignment horizontal="left" vertical="top" wrapText="1"/>
    </xf>
    <xf numFmtId="49" fontId="29" fillId="11" borderId="1" xfId="2" applyNumberFormat="1" applyFont="1" applyFill="1" applyBorder="1" applyAlignment="1">
      <alignment horizontal="left" vertical="top" wrapText="1"/>
    </xf>
    <xf numFmtId="49" fontId="21" fillId="0" borderId="14" xfId="2" applyNumberFormat="1" applyFont="1" applyBorder="1" applyAlignment="1">
      <alignment horizontal="left" vertical="top" wrapText="1"/>
    </xf>
    <xf numFmtId="0" fontId="21" fillId="0" borderId="14" xfId="2" applyNumberFormat="1" applyFont="1" applyBorder="1" applyAlignment="1">
      <alignment horizontal="left" vertical="top" wrapText="1"/>
    </xf>
    <xf numFmtId="49" fontId="22" fillId="0" borderId="8" xfId="2" applyNumberFormat="1" applyFont="1" applyFill="1" applyBorder="1" applyAlignment="1">
      <alignment horizontal="left" vertical="top" wrapText="1"/>
    </xf>
    <xf numFmtId="164" fontId="22" fillId="0" borderId="8" xfId="2" applyNumberFormat="1" applyFont="1" applyFill="1" applyBorder="1" applyAlignment="1">
      <alignment horizontal="left" vertical="top" wrapText="1"/>
    </xf>
    <xf numFmtId="49" fontId="22" fillId="0" borderId="1" xfId="2" applyNumberFormat="1" applyFont="1" applyBorder="1" applyAlignment="1">
      <alignment horizontal="left" vertical="top" wrapText="1"/>
    </xf>
    <xf numFmtId="164" fontId="22" fillId="0" borderId="1" xfId="2" applyNumberFormat="1" applyFont="1" applyBorder="1" applyAlignment="1">
      <alignment horizontal="left" vertical="top" wrapText="1"/>
    </xf>
    <xf numFmtId="164" fontId="22" fillId="0" borderId="0" xfId="2" applyNumberFormat="1" applyFont="1" applyFill="1" applyBorder="1" applyAlignment="1">
      <alignment horizontal="left" vertical="top" wrapText="1"/>
    </xf>
    <xf numFmtId="49" fontId="22" fillId="0" borderId="7" xfId="2" applyNumberFormat="1" applyFont="1" applyFill="1" applyBorder="1" applyAlignment="1">
      <alignment horizontal="left" vertical="top" wrapText="1"/>
    </xf>
    <xf numFmtId="49" fontId="22" fillId="0" borderId="16" xfId="2" applyNumberFormat="1" applyFont="1" applyFill="1" applyBorder="1" applyAlignment="1">
      <alignment horizontal="left" vertical="top" wrapText="1"/>
    </xf>
    <xf numFmtId="0" fontId="4" fillId="0" borderId="0" xfId="0" applyFont="1" applyAlignment="1">
      <alignment wrapText="1"/>
    </xf>
    <xf numFmtId="0" fontId="14" fillId="10" borderId="1" xfId="2" applyNumberFormat="1" applyFont="1" applyFill="1" applyBorder="1" applyAlignment="1">
      <alignment horizontal="left" vertical="top" wrapText="1"/>
    </xf>
    <xf numFmtId="49" fontId="21" fillId="0" borderId="1" xfId="2" applyNumberFormat="1" applyFont="1" applyFill="1" applyBorder="1" applyAlignment="1">
      <alignment horizontal="left" vertical="top" wrapText="1"/>
    </xf>
    <xf numFmtId="0" fontId="23" fillId="0" borderId="1" xfId="0" applyFont="1" applyBorder="1" applyAlignment="1">
      <alignment horizontal="left" vertical="top" wrapText="1"/>
    </xf>
    <xf numFmtId="0" fontId="26" fillId="0" borderId="1" xfId="0" applyFont="1" applyBorder="1" applyAlignment="1">
      <alignment horizontal="left" vertical="top" wrapText="1"/>
    </xf>
    <xf numFmtId="0" fontId="25" fillId="0" borderId="1" xfId="0" applyFont="1" applyBorder="1" applyAlignment="1">
      <alignment horizontal="left" vertical="top" wrapText="1"/>
    </xf>
    <xf numFmtId="0" fontId="21" fillId="0" borderId="1" xfId="2" applyNumberFormat="1" applyFont="1" applyFill="1" applyBorder="1" applyAlignment="1">
      <alignment horizontal="left" vertical="top" wrapText="1"/>
    </xf>
    <xf numFmtId="49" fontId="22" fillId="0" borderId="1" xfId="2" applyNumberFormat="1" applyFont="1" applyBorder="1" applyAlignment="1">
      <alignment horizontal="left" vertical="top"/>
    </xf>
    <xf numFmtId="49" fontId="21" fillId="0" borderId="0" xfId="2" applyNumberFormat="1" applyFont="1" applyFill="1" applyBorder="1" applyAlignment="1">
      <alignment horizontal="left" vertical="top" wrapText="1"/>
    </xf>
    <xf numFmtId="0" fontId="27" fillId="0" borderId="0" xfId="2" applyFont="1" applyFill="1" applyBorder="1" applyAlignment="1">
      <alignment horizontal="left" vertical="top" wrapText="1"/>
    </xf>
    <xf numFmtId="0" fontId="27" fillId="0" borderId="0" xfId="2" applyNumberFormat="1" applyFont="1" applyFill="1" applyBorder="1" applyAlignment="1">
      <alignment horizontal="left" vertical="top" wrapText="1"/>
    </xf>
    <xf numFmtId="0" fontId="20" fillId="2" borderId="1" xfId="2" applyNumberFormat="1" applyFont="1" applyFill="1" applyBorder="1" applyAlignment="1">
      <alignment horizontal="left" vertical="top"/>
    </xf>
    <xf numFmtId="0" fontId="14" fillId="2" borderId="1" xfId="2" applyNumberFormat="1" applyFont="1" applyFill="1" applyBorder="1" applyAlignment="1">
      <alignment horizontal="left" vertical="top" wrapText="1"/>
    </xf>
    <xf numFmtId="0" fontId="20" fillId="10" borderId="1" xfId="2" applyNumberFormat="1" applyFont="1" applyFill="1" applyBorder="1" applyAlignment="1">
      <alignment horizontal="left" vertical="top"/>
    </xf>
    <xf numFmtId="0" fontId="14" fillId="2" borderId="0" xfId="0" applyFont="1" applyFill="1" applyAlignment="1">
      <alignment horizontal="left" vertical="top"/>
    </xf>
    <xf numFmtId="0" fontId="14" fillId="0" borderId="0" xfId="0" applyFont="1" applyAlignment="1">
      <alignment horizontal="left" vertical="top"/>
    </xf>
    <xf numFmtId="0" fontId="21" fillId="0" borderId="1" xfId="2" applyNumberFormat="1" applyFont="1" applyBorder="1" applyAlignment="1">
      <alignment horizontal="left" vertical="top"/>
    </xf>
    <xf numFmtId="0" fontId="25" fillId="0" borderId="7" xfId="0" applyFont="1" applyBorder="1" applyAlignment="1">
      <alignment horizontal="left" vertical="top" wrapText="1"/>
    </xf>
    <xf numFmtId="0" fontId="23" fillId="0" borderId="1" xfId="0" applyFont="1" applyBorder="1" applyAlignment="1">
      <alignment horizontal="left" vertical="top"/>
    </xf>
    <xf numFmtId="0" fontId="25" fillId="0" borderId="1" xfId="0" applyFont="1" applyBorder="1" applyAlignment="1">
      <alignment horizontal="left" vertical="top"/>
    </xf>
    <xf numFmtId="0" fontId="23" fillId="0" borderId="7" xfId="0" applyFont="1" applyBorder="1" applyAlignment="1">
      <alignment horizontal="left" vertical="top"/>
    </xf>
    <xf numFmtId="0" fontId="9" fillId="0" borderId="1" xfId="0" applyFont="1" applyBorder="1" applyAlignment="1">
      <alignment horizontal="left" vertical="top" wrapText="1"/>
    </xf>
    <xf numFmtId="0" fontId="21" fillId="0" borderId="8" xfId="2" applyNumberFormat="1" applyFont="1" applyBorder="1" applyAlignment="1">
      <alignment horizontal="left" vertical="top"/>
    </xf>
    <xf numFmtId="0" fontId="0" fillId="0" borderId="1" xfId="0" applyBorder="1" applyAlignment="1">
      <alignment horizontal="left" vertical="top"/>
    </xf>
    <xf numFmtId="0" fontId="21" fillId="0" borderId="0" xfId="2" applyNumberFormat="1" applyFont="1" applyBorder="1" applyAlignment="1">
      <alignment horizontal="left" vertical="top"/>
    </xf>
    <xf numFmtId="0" fontId="19" fillId="0" borderId="0" xfId="2" applyFill="1" applyBorder="1" applyAlignment="1">
      <alignment horizontal="left" vertical="top"/>
    </xf>
    <xf numFmtId="0" fontId="19" fillId="0" borderId="0" xfId="2" applyFill="1" applyBorder="1" applyAlignment="1">
      <alignment horizontal="left" vertical="top" wrapText="1"/>
    </xf>
    <xf numFmtId="0" fontId="28" fillId="0" borderId="0" xfId="2" applyFont="1" applyFill="1" applyBorder="1" applyAlignment="1">
      <alignment horizontal="left" vertical="top" wrapText="1"/>
    </xf>
    <xf numFmtId="0" fontId="19" fillId="0" borderId="0" xfId="2" applyNumberFormat="1" applyFill="1" applyBorder="1" applyAlignment="1">
      <alignment horizontal="left" vertical="top"/>
    </xf>
    <xf numFmtId="164" fontId="0" fillId="0" borderId="0" xfId="0" applyNumberFormat="1" applyAlignment="1">
      <alignment horizontal="left" vertical="top"/>
    </xf>
    <xf numFmtId="49" fontId="22" fillId="0" borderId="7" xfId="2" applyNumberFormat="1" applyFont="1" applyBorder="1" applyAlignment="1">
      <alignment horizontal="left" vertical="top" wrapText="1"/>
    </xf>
    <xf numFmtId="0" fontId="14" fillId="2" borderId="0" xfId="0" applyFont="1" applyFill="1" applyAlignment="1">
      <alignment horizontal="left" vertical="top" wrapText="1"/>
    </xf>
    <xf numFmtId="0" fontId="30" fillId="0" borderId="0" xfId="0" applyFont="1" applyAlignment="1">
      <alignment horizontal="left" vertical="top"/>
    </xf>
    <xf numFmtId="0" fontId="30" fillId="0" borderId="0" xfId="0" applyFont="1" applyAlignment="1">
      <alignment horizontal="left" vertical="top" wrapText="1"/>
    </xf>
    <xf numFmtId="0" fontId="23" fillId="0" borderId="1" xfId="0" applyFont="1" applyBorder="1" applyAlignment="1">
      <alignment vertical="top" wrapText="1"/>
    </xf>
    <xf numFmtId="49" fontId="24" fillId="0" borderId="1" xfId="2" applyNumberFormat="1" applyFont="1" applyFill="1" applyBorder="1" applyAlignment="1">
      <alignment horizontal="left" vertical="top" wrapText="1"/>
    </xf>
    <xf numFmtId="0" fontId="33" fillId="0" borderId="0" xfId="0" applyFont="1" applyAlignment="1">
      <alignment wrapText="1"/>
    </xf>
    <xf numFmtId="0" fontId="22" fillId="0" borderId="1" xfId="2" applyNumberFormat="1" applyFont="1" applyFill="1" applyBorder="1" applyAlignment="1">
      <alignment horizontal="left" vertical="top" wrapText="1"/>
    </xf>
    <xf numFmtId="49" fontId="34" fillId="0" borderId="1" xfId="2" applyNumberFormat="1" applyFont="1" applyBorder="1" applyAlignment="1">
      <alignment horizontal="left" vertical="top" wrapText="1"/>
    </xf>
    <xf numFmtId="0" fontId="22" fillId="0" borderId="1" xfId="0" applyFont="1" applyBorder="1" applyAlignment="1">
      <alignment horizontal="left" vertical="top"/>
    </xf>
    <xf numFmtId="0" fontId="22" fillId="0" borderId="1" xfId="0" applyFont="1" applyBorder="1" applyAlignment="1">
      <alignment horizontal="left" vertical="top" wrapText="1"/>
    </xf>
    <xf numFmtId="0" fontId="21" fillId="0" borderId="1" xfId="2" applyNumberFormat="1" applyFont="1" applyFill="1" applyBorder="1" applyAlignment="1">
      <alignment horizontal="left" vertical="top"/>
    </xf>
    <xf numFmtId="0" fontId="0" fillId="10" borderId="0" xfId="0" applyFill="1" applyAlignment="1">
      <alignment horizontal="left" vertical="top"/>
    </xf>
    <xf numFmtId="0" fontId="0" fillId="13" borderId="0" xfId="0" applyFill="1" applyAlignment="1">
      <alignment horizontal="left" vertical="top"/>
    </xf>
    <xf numFmtId="49" fontId="34" fillId="0" borderId="1" xfId="2" applyNumberFormat="1" applyFont="1" applyFill="1" applyBorder="1" applyAlignment="1">
      <alignment horizontal="left" vertical="top" wrapText="1"/>
    </xf>
    <xf numFmtId="0" fontId="22" fillId="0" borderId="7" xfId="0" applyFont="1" applyBorder="1" applyAlignment="1">
      <alignment horizontal="left" vertical="top"/>
    </xf>
    <xf numFmtId="0" fontId="35" fillId="0" borderId="1" xfId="0" applyFont="1" applyBorder="1" applyAlignment="1">
      <alignment horizontal="left" vertical="top" wrapText="1"/>
    </xf>
    <xf numFmtId="0" fontId="4" fillId="0" borderId="0" xfId="0" applyFont="1" applyAlignment="1">
      <alignment horizontal="left" vertical="top"/>
    </xf>
    <xf numFmtId="0" fontId="4" fillId="13" borderId="0" xfId="0" applyFont="1" applyFill="1" applyAlignment="1">
      <alignment horizontal="left" vertical="top"/>
    </xf>
    <xf numFmtId="0" fontId="4" fillId="13" borderId="0" xfId="0" applyFont="1" applyFill="1" applyAlignment="1">
      <alignment horizontal="left" vertical="top" wrapText="1"/>
    </xf>
    <xf numFmtId="0" fontId="0" fillId="10" borderId="0" xfId="0" applyFill="1" applyAlignment="1">
      <alignment horizontal="left" vertical="top" wrapText="1"/>
    </xf>
    <xf numFmtId="0" fontId="36" fillId="0" borderId="0" xfId="0" applyFont="1" applyAlignment="1">
      <alignment horizontal="left" vertical="top" wrapText="1"/>
    </xf>
    <xf numFmtId="0" fontId="1" fillId="10" borderId="0" xfId="0" applyFont="1" applyFill="1" applyAlignment="1">
      <alignment horizontal="left"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2" applyFont="1" applyFill="1" applyBorder="1" applyAlignment="1">
      <alignment horizontal="left" vertical="top" wrapText="1"/>
    </xf>
    <xf numFmtId="0" fontId="1" fillId="0" borderId="0" xfId="2" applyNumberFormat="1" applyFont="1" applyFill="1" applyBorder="1" applyAlignment="1">
      <alignment horizontal="left" vertical="top" wrapText="1"/>
    </xf>
    <xf numFmtId="0" fontId="1" fillId="0" borderId="0" xfId="0" applyFont="1" applyAlignment="1">
      <alignment horizontal="left" wrapText="1"/>
    </xf>
    <xf numFmtId="0" fontId="1" fillId="0" borderId="0" xfId="0" applyFont="1"/>
    <xf numFmtId="0" fontId="1" fillId="0" borderId="0" xfId="0" applyFont="1" applyAlignment="1">
      <alignment vertical="top"/>
    </xf>
    <xf numFmtId="0" fontId="1" fillId="0" borderId="0" xfId="0" applyFont="1" applyAlignment="1">
      <alignment horizontal="left"/>
    </xf>
    <xf numFmtId="0" fontId="38" fillId="0" borderId="18" xfId="0" applyFont="1" applyBorder="1" applyAlignment="1">
      <alignment wrapText="1"/>
    </xf>
    <xf numFmtId="0" fontId="39" fillId="10" borderId="0" xfId="0" applyFont="1" applyFill="1" applyAlignment="1">
      <alignment horizontal="left" vertical="top"/>
    </xf>
    <xf numFmtId="0" fontId="30" fillId="16" borderId="0" xfId="0" applyFont="1" applyFill="1" applyAlignment="1">
      <alignment horizontal="left" vertical="top" wrapText="1"/>
    </xf>
    <xf numFmtId="0" fontId="31" fillId="0" borderId="0" xfId="0" applyFont="1"/>
    <xf numFmtId="0" fontId="23" fillId="0" borderId="14" xfId="0" applyFont="1" applyBorder="1" applyAlignment="1">
      <alignment horizontal="left" vertical="top" wrapText="1"/>
    </xf>
    <xf numFmtId="49" fontId="24" fillId="0" borderId="14" xfId="2" applyNumberFormat="1" applyFont="1" applyBorder="1" applyAlignment="1">
      <alignment horizontal="left" vertical="top" wrapText="1"/>
    </xf>
    <xf numFmtId="0" fontId="20" fillId="2" borderId="1" xfId="2" applyNumberFormat="1" applyFont="1" applyFill="1" applyBorder="1" applyAlignment="1">
      <alignment horizontal="left" vertical="top" wrapText="1"/>
    </xf>
    <xf numFmtId="0" fontId="21" fillId="0" borderId="1" xfId="2" applyFont="1" applyBorder="1" applyAlignment="1">
      <alignment horizontal="left" vertical="top"/>
    </xf>
    <xf numFmtId="0" fontId="40" fillId="14" borderId="17" xfId="0" applyFont="1" applyFill="1" applyBorder="1" applyAlignment="1">
      <alignment vertical="center" wrapText="1"/>
    </xf>
    <xf numFmtId="0" fontId="41" fillId="14" borderId="12" xfId="0" applyFont="1" applyFill="1" applyBorder="1" applyAlignment="1">
      <alignment vertical="center" wrapText="1"/>
    </xf>
    <xf numFmtId="0" fontId="41" fillId="14" borderId="2" xfId="0" applyFont="1" applyFill="1" applyBorder="1" applyAlignment="1">
      <alignment vertical="center" wrapText="1"/>
    </xf>
    <xf numFmtId="0" fontId="41" fillId="14" borderId="2" xfId="0" applyFont="1" applyFill="1" applyBorder="1" applyAlignment="1">
      <alignment horizontal="left" wrapText="1"/>
    </xf>
    <xf numFmtId="0" fontId="41" fillId="14" borderId="2" xfId="0" applyFont="1" applyFill="1" applyBorder="1" applyAlignment="1">
      <alignment wrapText="1"/>
    </xf>
    <xf numFmtId="0" fontId="41" fillId="14" borderId="0" xfId="0" applyFont="1" applyFill="1" applyAlignment="1">
      <alignment wrapText="1"/>
    </xf>
    <xf numFmtId="0" fontId="40" fillId="14" borderId="18" xfId="0" applyFont="1" applyFill="1" applyBorder="1" applyAlignment="1">
      <alignment vertical="center" wrapText="1"/>
    </xf>
    <xf numFmtId="0" fontId="40" fillId="13" borderId="18" xfId="0" applyFont="1" applyFill="1" applyBorder="1" applyAlignment="1">
      <alignment vertical="center" wrapText="1"/>
    </xf>
    <xf numFmtId="0" fontId="40" fillId="0" borderId="18" xfId="0" applyFont="1" applyBorder="1" applyAlignment="1">
      <alignment wrapText="1"/>
    </xf>
    <xf numFmtId="0" fontId="40" fillId="14" borderId="18" xfId="0" applyFont="1" applyFill="1" applyBorder="1" applyAlignment="1">
      <alignment wrapText="1"/>
    </xf>
    <xf numFmtId="0" fontId="40" fillId="15" borderId="18" xfId="0" applyFont="1" applyFill="1" applyBorder="1" applyAlignment="1">
      <alignment wrapText="1"/>
    </xf>
    <xf numFmtId="0" fontId="40" fillId="0" borderId="18" xfId="0" applyFont="1" applyBorder="1" applyAlignment="1">
      <alignment vertical="center" wrapText="1"/>
    </xf>
    <xf numFmtId="0" fontId="40" fillId="15" borderId="18" xfId="0" applyFont="1" applyFill="1" applyBorder="1" applyAlignment="1">
      <alignment vertical="center" wrapText="1"/>
    </xf>
    <xf numFmtId="0" fontId="41" fillId="14" borderId="12" xfId="0" applyFont="1" applyFill="1" applyBorder="1" applyAlignment="1">
      <alignment horizontal="left" vertical="center" wrapText="1"/>
    </xf>
    <xf numFmtId="0" fontId="41" fillId="13" borderId="12" xfId="0" applyFont="1" applyFill="1" applyBorder="1" applyAlignment="1">
      <alignment horizontal="left" vertical="center" wrapText="1"/>
    </xf>
    <xf numFmtId="0" fontId="41" fillId="0" borderId="12" xfId="0" applyFont="1" applyBorder="1" applyAlignment="1">
      <alignment vertical="center" wrapText="1"/>
    </xf>
    <xf numFmtId="0" fontId="41" fillId="14" borderId="2" xfId="0" applyFont="1" applyFill="1" applyBorder="1" applyAlignment="1">
      <alignment horizontal="left" vertical="center" wrapText="1"/>
    </xf>
    <xf numFmtId="0" fontId="41" fillId="15" borderId="12" xfId="0" applyFont="1" applyFill="1" applyBorder="1" applyAlignment="1">
      <alignment horizontal="left" vertical="center" wrapText="1"/>
    </xf>
    <xf numFmtId="0" fontId="41" fillId="0" borderId="12" xfId="0" applyFont="1" applyBorder="1" applyAlignment="1">
      <alignment wrapText="1"/>
    </xf>
    <xf numFmtId="0" fontId="41" fillId="15" borderId="12" xfId="0" applyFont="1" applyFill="1" applyBorder="1" applyAlignment="1">
      <alignment wrapText="1"/>
    </xf>
    <xf numFmtId="0" fontId="41" fillId="15" borderId="12" xfId="0" applyFont="1" applyFill="1" applyBorder="1" applyAlignment="1">
      <alignment vertical="center" wrapText="1"/>
    </xf>
    <xf numFmtId="0" fontId="41" fillId="0" borderId="0" xfId="0" applyFont="1" applyAlignment="1">
      <alignment wrapText="1"/>
    </xf>
    <xf numFmtId="0" fontId="41" fillId="13" borderId="2" xfId="0" applyFont="1" applyFill="1" applyBorder="1" applyAlignment="1">
      <alignment horizontal="left" vertical="center" wrapText="1"/>
    </xf>
    <xf numFmtId="0" fontId="41" fillId="0" borderId="2" xfId="0" applyFont="1" applyBorder="1" applyAlignment="1">
      <alignment vertical="center" wrapText="1"/>
    </xf>
    <xf numFmtId="0" fontId="41" fillId="15" borderId="2" xfId="0" applyFont="1" applyFill="1" applyBorder="1" applyAlignment="1">
      <alignment horizontal="left" vertical="center" wrapText="1"/>
    </xf>
    <xf numFmtId="0" fontId="41" fillId="15" borderId="2" xfId="0" applyFont="1" applyFill="1" applyBorder="1" applyAlignment="1">
      <alignment wrapText="1"/>
    </xf>
    <xf numFmtId="0" fontId="41" fillId="15" borderId="2" xfId="0" applyFont="1" applyFill="1" applyBorder="1" applyAlignment="1">
      <alignment vertical="center" wrapText="1"/>
    </xf>
    <xf numFmtId="0" fontId="41" fillId="0" borderId="2" xfId="0" applyFont="1" applyBorder="1" applyAlignment="1">
      <alignment wrapText="1"/>
    </xf>
    <xf numFmtId="0" fontId="41" fillId="13" borderId="2" xfId="0" applyFont="1" applyFill="1" applyBorder="1" applyAlignment="1">
      <alignment wrapText="1"/>
    </xf>
    <xf numFmtId="0" fontId="41" fillId="13" borderId="0" xfId="0" applyFont="1" applyFill="1" applyAlignment="1">
      <alignment wrapText="1"/>
    </xf>
    <xf numFmtId="0" fontId="41" fillId="15" borderId="0" xfId="0" applyFont="1" applyFill="1" applyAlignment="1">
      <alignment wrapText="1"/>
    </xf>
    <xf numFmtId="0" fontId="45" fillId="0" borderId="2" xfId="0" applyFont="1" applyBorder="1" applyAlignment="1">
      <alignment wrapText="1"/>
    </xf>
    <xf numFmtId="49" fontId="46" fillId="0" borderId="1" xfId="2" applyNumberFormat="1" applyFont="1" applyFill="1" applyBorder="1" applyAlignment="1">
      <alignment horizontal="left" vertical="top" wrapText="1"/>
    </xf>
    <xf numFmtId="0" fontId="20" fillId="10" borderId="1" xfId="2" applyNumberFormat="1" applyFont="1" applyFill="1" applyBorder="1" applyAlignment="1">
      <alignment horizontal="left" vertical="top" wrapText="1"/>
    </xf>
    <xf numFmtId="0" fontId="21" fillId="10" borderId="1" xfId="2" applyNumberFormat="1" applyFont="1" applyFill="1" applyBorder="1" applyAlignment="1">
      <alignment horizontal="left" vertical="top"/>
    </xf>
    <xf numFmtId="49" fontId="21" fillId="10" borderId="1" xfId="2" applyNumberFormat="1" applyFont="1" applyFill="1" applyBorder="1" applyAlignment="1">
      <alignment horizontal="left" vertical="top" wrapText="1"/>
    </xf>
    <xf numFmtId="49" fontId="22" fillId="10" borderId="1" xfId="2" applyNumberFormat="1" applyFont="1" applyFill="1" applyBorder="1" applyAlignment="1">
      <alignment horizontal="left" vertical="top" wrapText="1"/>
    </xf>
    <xf numFmtId="164" fontId="22" fillId="10" borderId="1" xfId="2" applyNumberFormat="1" applyFont="1" applyFill="1" applyBorder="1" applyAlignment="1">
      <alignment horizontal="left" vertical="top" wrapText="1"/>
    </xf>
    <xf numFmtId="0" fontId="22" fillId="10" borderId="1" xfId="0" applyFont="1" applyFill="1" applyBorder="1" applyAlignment="1">
      <alignment horizontal="left" vertical="top" wrapText="1"/>
    </xf>
    <xf numFmtId="49" fontId="34" fillId="10" borderId="1" xfId="2" applyNumberFormat="1" applyFont="1" applyFill="1" applyBorder="1" applyAlignment="1">
      <alignment horizontal="left" vertical="top" wrapText="1"/>
    </xf>
    <xf numFmtId="49" fontId="52" fillId="0" borderId="1" xfId="2" applyNumberFormat="1" applyFont="1" applyBorder="1" applyAlignment="1">
      <alignment horizontal="left" vertical="top" wrapText="1"/>
    </xf>
    <xf numFmtId="49" fontId="52" fillId="10" borderId="1" xfId="2" applyNumberFormat="1" applyFont="1" applyFill="1" applyBorder="1" applyAlignment="1">
      <alignment horizontal="left" vertical="top" wrapText="1"/>
    </xf>
    <xf numFmtId="0" fontId="23" fillId="10" borderId="1" xfId="0" applyFont="1" applyFill="1" applyBorder="1" applyAlignment="1">
      <alignment horizontal="left" vertical="top" wrapText="1"/>
    </xf>
    <xf numFmtId="49" fontId="24" fillId="10" borderId="1" xfId="2" applyNumberFormat="1" applyFont="1" applyFill="1" applyBorder="1" applyAlignment="1">
      <alignment horizontal="left" vertical="top" wrapText="1"/>
    </xf>
    <xf numFmtId="49" fontId="53" fillId="0" borderId="1" xfId="2" applyNumberFormat="1" applyFont="1" applyFill="1" applyBorder="1" applyAlignment="1">
      <alignment horizontal="left" vertical="top" wrapText="1"/>
    </xf>
    <xf numFmtId="0" fontId="46" fillId="0" borderId="1" xfId="0" applyFont="1" applyBorder="1"/>
    <xf numFmtId="0" fontId="50" fillId="10" borderId="1" xfId="0" applyFont="1" applyFill="1" applyBorder="1"/>
    <xf numFmtId="0" fontId="32" fillId="12" borderId="1" xfId="0" applyFont="1" applyFill="1" applyBorder="1" applyAlignment="1">
      <alignment wrapText="1"/>
    </xf>
    <xf numFmtId="0" fontId="9" fillId="0" borderId="1" xfId="0" applyFont="1" applyBorder="1" applyAlignment="1">
      <alignment wrapText="1"/>
    </xf>
    <xf numFmtId="0" fontId="51" fillId="10" borderId="1" xfId="0" applyFont="1" applyFill="1" applyBorder="1" applyAlignment="1">
      <alignment wrapText="1"/>
    </xf>
    <xf numFmtId="0" fontId="15" fillId="0" borderId="1" xfId="0" applyFont="1" applyBorder="1"/>
    <xf numFmtId="0" fontId="48" fillId="0" borderId="1" xfId="0" applyFont="1" applyBorder="1" applyAlignment="1">
      <alignment vertical="center" wrapText="1"/>
    </xf>
    <xf numFmtId="0" fontId="31" fillId="0" borderId="1" xfId="0" applyFont="1" applyBorder="1"/>
    <xf numFmtId="0" fontId="15" fillId="0" borderId="1" xfId="0" applyFont="1" applyBorder="1" applyAlignment="1">
      <alignment wrapText="1"/>
    </xf>
    <xf numFmtId="0" fontId="47" fillId="0" borderId="1" xfId="0" applyFont="1" applyBorder="1" applyAlignment="1">
      <alignment vertical="center" wrapText="1"/>
    </xf>
    <xf numFmtId="0" fontId="47" fillId="0" borderId="1" xfId="0" applyFont="1" applyBorder="1" applyAlignment="1">
      <alignment vertical="center"/>
    </xf>
    <xf numFmtId="0" fontId="6" fillId="0" borderId="1" xfId="0" applyFont="1" applyBorder="1"/>
    <xf numFmtId="0" fontId="49" fillId="0" borderId="1" xfId="0" applyFont="1" applyBorder="1"/>
    <xf numFmtId="49" fontId="29" fillId="11" borderId="19" xfId="2" applyNumberFormat="1" applyFont="1" applyFill="1" applyBorder="1" applyAlignment="1">
      <alignment horizontal="left" vertical="top" wrapText="1"/>
    </xf>
    <xf numFmtId="49" fontId="22" fillId="0" borderId="19" xfId="2" applyNumberFormat="1" applyFont="1" applyFill="1" applyBorder="1" applyAlignment="1">
      <alignment horizontal="left" vertical="top" wrapText="1"/>
    </xf>
    <xf numFmtId="0" fontId="20" fillId="2" borderId="19" xfId="2" applyNumberFormat="1" applyFont="1" applyFill="1" applyBorder="1" applyAlignment="1">
      <alignment horizontal="left" vertical="top"/>
    </xf>
    <xf numFmtId="0" fontId="21" fillId="0" borderId="19" xfId="2" applyNumberFormat="1" applyFont="1" applyFill="1" applyBorder="1" applyAlignment="1">
      <alignment horizontal="left" vertical="top" wrapText="1"/>
    </xf>
    <xf numFmtId="0" fontId="21" fillId="0" borderId="19" xfId="2" applyNumberFormat="1" applyFont="1" applyBorder="1" applyAlignment="1">
      <alignment horizontal="left" vertical="top" wrapText="1"/>
    </xf>
    <xf numFmtId="49" fontId="21" fillId="0" borderId="19" xfId="2" applyNumberFormat="1" applyFont="1" applyBorder="1" applyAlignment="1">
      <alignment horizontal="left" vertical="top" wrapText="1"/>
    </xf>
    <xf numFmtId="49" fontId="22" fillId="0" borderId="20" xfId="2" applyNumberFormat="1" applyFont="1" applyFill="1" applyBorder="1" applyAlignment="1">
      <alignment horizontal="left" vertical="top" wrapText="1"/>
    </xf>
    <xf numFmtId="0" fontId="21" fillId="0" borderId="15" xfId="2" applyNumberFormat="1" applyFont="1" applyBorder="1" applyAlignment="1">
      <alignment horizontal="left" vertical="top" wrapText="1"/>
    </xf>
    <xf numFmtId="49" fontId="29" fillId="11" borderId="7" xfId="2" applyNumberFormat="1" applyFont="1" applyFill="1" applyBorder="1" applyAlignment="1">
      <alignment horizontal="left" vertical="top" wrapText="1"/>
    </xf>
    <xf numFmtId="0" fontId="20" fillId="2" borderId="7" xfId="2" applyNumberFormat="1" applyFont="1" applyFill="1" applyBorder="1" applyAlignment="1">
      <alignment horizontal="left" vertical="top"/>
    </xf>
    <xf numFmtId="0" fontId="21" fillId="0" borderId="7" xfId="2" applyFont="1" applyFill="1" applyBorder="1" applyAlignment="1">
      <alignment horizontal="left" vertical="top" wrapText="1"/>
    </xf>
    <xf numFmtId="0" fontId="21" fillId="0" borderId="7" xfId="2" applyFont="1" applyBorder="1" applyAlignment="1">
      <alignment horizontal="left" vertical="top" wrapText="1"/>
    </xf>
    <xf numFmtId="49" fontId="21" fillId="0" borderId="7" xfId="2" applyNumberFormat="1" applyFont="1" applyBorder="1" applyAlignment="1">
      <alignment horizontal="left" vertical="top" wrapText="1"/>
    </xf>
    <xf numFmtId="49" fontId="22" fillId="0" borderId="9" xfId="2" applyNumberFormat="1" applyFont="1" applyFill="1" applyBorder="1" applyAlignment="1">
      <alignment horizontal="left" vertical="top" wrapText="1"/>
    </xf>
    <xf numFmtId="0" fontId="21" fillId="0" borderId="16" xfId="2" applyFont="1" applyBorder="1" applyAlignment="1">
      <alignment horizontal="left" vertical="top" wrapText="1"/>
    </xf>
    <xf numFmtId="0" fontId="21" fillId="0" borderId="14" xfId="2" applyNumberFormat="1" applyFont="1" applyBorder="1" applyAlignment="1">
      <alignment horizontal="left" vertical="top"/>
    </xf>
    <xf numFmtId="49" fontId="22" fillId="0" borderId="14" xfId="2" applyNumberFormat="1" applyFont="1" applyFill="1" applyBorder="1" applyAlignment="1">
      <alignment horizontal="left" vertical="top" wrapText="1"/>
    </xf>
    <xf numFmtId="164" fontId="22" fillId="0" borderId="14" xfId="2" applyNumberFormat="1" applyFont="1" applyFill="1" applyBorder="1" applyAlignment="1">
      <alignment horizontal="left" vertical="top" wrapText="1"/>
    </xf>
    <xf numFmtId="0" fontId="25" fillId="0" borderId="14" xfId="0" applyFont="1" applyBorder="1" applyAlignment="1">
      <alignment horizontal="left" vertical="top" wrapText="1"/>
    </xf>
    <xf numFmtId="0" fontId="22" fillId="0" borderId="14" xfId="0" applyFont="1" applyBorder="1" applyAlignment="1">
      <alignment horizontal="left" vertical="top" wrapText="1"/>
    </xf>
    <xf numFmtId="49" fontId="34" fillId="0" borderId="14" xfId="2" applyNumberFormat="1" applyFont="1" applyFill="1" applyBorder="1" applyAlignment="1">
      <alignment horizontal="left" vertical="top" wrapText="1"/>
    </xf>
    <xf numFmtId="0" fontId="26" fillId="0" borderId="14" xfId="0" applyFont="1" applyBorder="1" applyAlignment="1">
      <alignment horizontal="left" vertical="top" wrapText="1"/>
    </xf>
    <xf numFmtId="0" fontId="25" fillId="0" borderId="14" xfId="0" applyFont="1" applyBorder="1" applyAlignment="1">
      <alignment horizontal="left" vertical="top"/>
    </xf>
    <xf numFmtId="0" fontId="23" fillId="0" borderId="14" xfId="0" applyFont="1" applyBorder="1" applyAlignment="1">
      <alignment horizontal="left" vertical="top"/>
    </xf>
    <xf numFmtId="0" fontId="23" fillId="0" borderId="16" xfId="0" applyFont="1" applyBorder="1" applyAlignment="1">
      <alignment horizontal="left" vertical="top"/>
    </xf>
    <xf numFmtId="0" fontId="21" fillId="0" borderId="10" xfId="2" applyNumberFormat="1" applyFont="1" applyBorder="1" applyAlignment="1">
      <alignment horizontal="left" vertical="top"/>
    </xf>
    <xf numFmtId="49" fontId="21" fillId="0" borderId="10" xfId="2" applyNumberFormat="1" applyFont="1" applyBorder="1" applyAlignment="1">
      <alignment horizontal="left" vertical="top" wrapText="1"/>
    </xf>
    <xf numFmtId="49" fontId="22" fillId="0" borderId="10" xfId="2" applyNumberFormat="1" applyFont="1" applyFill="1" applyBorder="1" applyAlignment="1">
      <alignment horizontal="left" vertical="top" wrapText="1"/>
    </xf>
    <xf numFmtId="164" fontId="22" fillId="0" borderId="10" xfId="2" applyNumberFormat="1" applyFont="1" applyFill="1" applyBorder="1" applyAlignment="1">
      <alignment horizontal="left" vertical="top" wrapText="1"/>
    </xf>
    <xf numFmtId="0" fontId="23" fillId="0" borderId="10" xfId="0" applyFont="1" applyBorder="1" applyAlignment="1">
      <alignment horizontal="left" vertical="top" wrapText="1"/>
    </xf>
    <xf numFmtId="49" fontId="22" fillId="0" borderId="11" xfId="2" applyNumberFormat="1" applyFont="1" applyFill="1" applyBorder="1" applyAlignment="1">
      <alignment horizontal="left" vertical="top" wrapText="1"/>
    </xf>
    <xf numFmtId="49" fontId="24" fillId="0" borderId="10" xfId="2" applyNumberFormat="1" applyFont="1" applyBorder="1" applyAlignment="1">
      <alignment horizontal="left" vertical="top" wrapText="1"/>
    </xf>
    <xf numFmtId="0" fontId="25" fillId="0" borderId="10" xfId="0" applyFont="1" applyBorder="1" applyAlignment="1">
      <alignment horizontal="left" vertical="top" wrapText="1"/>
    </xf>
    <xf numFmtId="0" fontId="25" fillId="0" borderId="11" xfId="0" applyFont="1" applyBorder="1" applyAlignment="1">
      <alignment horizontal="left" vertical="top" wrapText="1"/>
    </xf>
    <xf numFmtId="49" fontId="21" fillId="0" borderId="10" xfId="2" applyNumberFormat="1" applyFont="1" applyFill="1" applyBorder="1" applyAlignment="1">
      <alignment horizontal="left" vertical="top" wrapText="1"/>
    </xf>
    <xf numFmtId="49" fontId="21" fillId="0" borderId="8" xfId="2" applyNumberFormat="1" applyFont="1" applyBorder="1" applyAlignment="1">
      <alignment horizontal="left" vertical="top" wrapText="1"/>
    </xf>
    <xf numFmtId="0" fontId="23" fillId="0" borderId="8" xfId="0" applyFont="1" applyBorder="1" applyAlignment="1">
      <alignment horizontal="left" vertical="top" wrapText="1"/>
    </xf>
    <xf numFmtId="49" fontId="24" fillId="0" borderId="8" xfId="2" applyNumberFormat="1" applyFont="1" applyBorder="1" applyAlignment="1">
      <alignment horizontal="left" vertical="top" wrapText="1"/>
    </xf>
    <xf numFmtId="0" fontId="22" fillId="0" borderId="10" xfId="0" applyFont="1" applyBorder="1" applyAlignment="1">
      <alignment horizontal="left" vertical="top" wrapText="1"/>
    </xf>
    <xf numFmtId="0" fontId="22" fillId="0" borderId="11" xfId="0" applyFont="1" applyBorder="1" applyAlignment="1">
      <alignment horizontal="left" vertical="top" wrapText="1"/>
    </xf>
    <xf numFmtId="49" fontId="34" fillId="0" borderId="10" xfId="2" applyNumberFormat="1" applyFont="1" applyFill="1" applyBorder="1" applyAlignment="1">
      <alignment horizontal="left" vertical="top" wrapText="1"/>
    </xf>
    <xf numFmtId="0" fontId="22" fillId="0" borderId="8" xfId="2" applyNumberFormat="1" applyFont="1" applyFill="1" applyBorder="1" applyAlignment="1">
      <alignment horizontal="left" vertical="top" wrapText="1"/>
    </xf>
    <xf numFmtId="49" fontId="34" fillId="0" borderId="8" xfId="2" applyNumberFormat="1" applyFont="1" applyFill="1" applyBorder="1" applyAlignment="1">
      <alignment horizontal="left" vertical="top" wrapText="1"/>
    </xf>
    <xf numFmtId="0" fontId="25" fillId="0" borderId="8" xfId="0" applyFont="1" applyBorder="1" applyAlignment="1">
      <alignment horizontal="left" vertical="top" wrapText="1"/>
    </xf>
    <xf numFmtId="49" fontId="21" fillId="0" borderId="8" xfId="2" applyNumberFormat="1" applyFont="1" applyFill="1" applyBorder="1" applyAlignment="1">
      <alignment horizontal="left" vertical="top" wrapText="1"/>
    </xf>
    <xf numFmtId="0" fontId="26" fillId="0" borderId="10" xfId="0" applyFont="1" applyBorder="1" applyAlignment="1">
      <alignment horizontal="left" vertical="top" wrapText="1"/>
    </xf>
    <xf numFmtId="0" fontId="25" fillId="0" borderId="8" xfId="0" applyFont="1" applyBorder="1" applyAlignment="1">
      <alignment horizontal="left" vertical="top"/>
    </xf>
    <xf numFmtId="0" fontId="23" fillId="0" borderId="8" xfId="0" applyFont="1" applyBorder="1" applyAlignment="1">
      <alignment horizontal="left" vertical="top"/>
    </xf>
    <xf numFmtId="0" fontId="23" fillId="0" borderId="9" xfId="0" applyFont="1" applyBorder="1" applyAlignment="1">
      <alignment horizontal="left" vertical="top"/>
    </xf>
    <xf numFmtId="0" fontId="22" fillId="0" borderId="8" xfId="0" applyFont="1" applyBorder="1" applyAlignment="1">
      <alignment horizontal="left" vertical="top" wrapText="1"/>
    </xf>
    <xf numFmtId="0" fontId="0" fillId="0" borderId="8" xfId="0" applyBorder="1" applyAlignment="1">
      <alignment horizontal="left" vertical="top"/>
    </xf>
    <xf numFmtId="49" fontId="22" fillId="0" borderId="8" xfId="2" applyNumberFormat="1" applyFont="1" applyBorder="1" applyAlignment="1">
      <alignment horizontal="left" vertical="top" wrapText="1"/>
    </xf>
    <xf numFmtId="164" fontId="22" fillId="0" borderId="8" xfId="2" applyNumberFormat="1" applyFont="1" applyBorder="1" applyAlignment="1">
      <alignment horizontal="left" vertical="top" wrapText="1"/>
    </xf>
    <xf numFmtId="0" fontId="0" fillId="0" borderId="8" xfId="0" applyBorder="1" applyAlignment="1">
      <alignment horizontal="left" vertical="top" wrapText="1"/>
    </xf>
    <xf numFmtId="0" fontId="54" fillId="17" borderId="1" xfId="2" applyNumberFormat="1" applyFont="1" applyFill="1" applyBorder="1" applyAlignment="1">
      <alignment horizontal="left" vertical="top" wrapText="1"/>
    </xf>
    <xf numFmtId="0" fontId="54" fillId="17" borderId="0" xfId="0" applyFont="1" applyFill="1" applyAlignment="1">
      <alignment wrapText="1"/>
    </xf>
  </cellXfs>
  <cellStyles count="3">
    <cellStyle name="Hyperlink" xfId="1" builtinId="8"/>
    <cellStyle name="Normal" xfId="0" builtinId="0"/>
    <cellStyle name="Normal 2" xfId="2" xr:uid="{81523F38-D547-4D1C-938E-41A0A2B7D7FC}"/>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EC22-DA81-4464-BEB1-F4C6C32898E6}">
  <sheetPr>
    <tabColor theme="4"/>
  </sheetPr>
  <dimension ref="A1:Y1956"/>
  <sheetViews>
    <sheetView tabSelected="1" workbookViewId="0">
      <selection activeCell="N1" sqref="N1:N1048576"/>
    </sheetView>
  </sheetViews>
  <sheetFormatPr defaultColWidth="8.81640625" defaultRowHeight="15" customHeight="1"/>
  <cols>
    <col min="1" max="1" width="5.1796875" style="62" customWidth="1"/>
    <col min="2" max="2" width="6.26953125" style="62" customWidth="1"/>
    <col min="3" max="3" width="4.7265625" style="62" customWidth="1"/>
    <col min="4" max="5" width="14" style="62" customWidth="1"/>
    <col min="6" max="6" width="9.7265625" style="129" customWidth="1"/>
    <col min="7" max="7" width="15" style="62" customWidth="1"/>
    <col min="8" max="8" width="7" style="62" customWidth="1"/>
    <col min="9" max="9" width="26.1796875" style="62" customWidth="1"/>
    <col min="10" max="10" width="25.453125" style="62" customWidth="1"/>
    <col min="11" max="11" width="29.1796875" style="62" customWidth="1"/>
    <col min="12" max="12" width="8.81640625" style="62" customWidth="1"/>
    <col min="13" max="13" width="7.1796875" style="62" hidden="1" customWidth="1"/>
    <col min="14" max="14" width="41" style="63" customWidth="1"/>
    <col min="15" max="15" width="16.7265625" style="62" hidden="1" customWidth="1"/>
    <col min="16" max="16" width="19.1796875" style="62" hidden="1" customWidth="1"/>
    <col min="17" max="17" width="20.453125" style="62" hidden="1" customWidth="1"/>
    <col min="18" max="18" width="38.81640625" style="62" customWidth="1"/>
    <col min="19" max="19" width="38.81640625" style="153" customWidth="1"/>
    <col min="20" max="20" width="27.54296875" style="62" customWidth="1"/>
    <col min="21" max="21" width="14" style="62" customWidth="1"/>
    <col min="22" max="22" width="47" style="63" customWidth="1"/>
    <col min="23" max="23" width="32.54296875" style="63" customWidth="1"/>
    <col min="24" max="24" width="38.1796875" style="62" customWidth="1"/>
    <col min="25" max="25" width="36.1796875" style="62" customWidth="1"/>
    <col min="26" max="16384" width="8.81640625" style="62"/>
  </cols>
  <sheetData>
    <row r="1" spans="1:25" s="115" customFormat="1" ht="15" customHeight="1">
      <c r="A1" s="111" t="s">
        <v>0</v>
      </c>
      <c r="B1" s="167" t="s">
        <v>1</v>
      </c>
      <c r="C1" s="111" t="s">
        <v>2</v>
      </c>
      <c r="D1" s="88" t="s">
        <v>3</v>
      </c>
      <c r="E1" s="88" t="s">
        <v>4</v>
      </c>
      <c r="F1" s="89" t="s">
        <v>5</v>
      </c>
      <c r="G1" s="235" t="s">
        <v>6</v>
      </c>
      <c r="H1" s="90" t="s">
        <v>7</v>
      </c>
      <c r="I1" s="90" t="s">
        <v>8</v>
      </c>
      <c r="J1" s="90" t="s">
        <v>9</v>
      </c>
      <c r="K1" s="227" t="s">
        <v>10</v>
      </c>
      <c r="L1" s="112" t="s">
        <v>11</v>
      </c>
      <c r="M1" s="112" t="s">
        <v>12</v>
      </c>
      <c r="N1" s="101" t="s">
        <v>13</v>
      </c>
      <c r="O1" s="236" t="s">
        <v>14</v>
      </c>
      <c r="P1" s="111" t="s">
        <v>15</v>
      </c>
      <c r="Q1" s="229" t="s">
        <v>16</v>
      </c>
      <c r="R1" s="113" t="s">
        <v>17</v>
      </c>
      <c r="S1" s="113" t="s">
        <v>18</v>
      </c>
      <c r="T1" s="113" t="s">
        <v>19</v>
      </c>
      <c r="U1" s="202" t="s">
        <v>20</v>
      </c>
      <c r="V1" s="131" t="s">
        <v>21</v>
      </c>
      <c r="W1" s="131" t="s">
        <v>22</v>
      </c>
      <c r="X1" s="114" t="s">
        <v>23</v>
      </c>
      <c r="Y1" s="115" t="s">
        <v>24</v>
      </c>
    </row>
    <row r="2" spans="1:25" ht="15" customHeight="1">
      <c r="A2" s="116">
        <v>1</v>
      </c>
      <c r="B2" s="116">
        <f>IF(TRIM(C2)="Test",COUNTIF($C$2:C2,"Test"),"")</f>
        <v>1</v>
      </c>
      <c r="C2" s="80" t="s">
        <v>25</v>
      </c>
      <c r="D2" s="76" t="s">
        <v>26</v>
      </c>
      <c r="E2" s="76" t="s">
        <v>27</v>
      </c>
      <c r="F2" s="87">
        <v>20260101</v>
      </c>
      <c r="G2" s="98" t="s">
        <v>28</v>
      </c>
      <c r="H2" s="76" t="s">
        <v>29</v>
      </c>
      <c r="I2" s="76" t="s">
        <v>30</v>
      </c>
      <c r="J2" s="76" t="s">
        <v>31</v>
      </c>
      <c r="K2" s="228" t="s">
        <v>32</v>
      </c>
      <c r="L2" s="76" t="s">
        <v>33</v>
      </c>
      <c r="M2" s="76" t="s">
        <v>34</v>
      </c>
      <c r="N2" s="134" t="s">
        <v>35</v>
      </c>
      <c r="O2" s="237"/>
      <c r="P2" s="106"/>
      <c r="Q2" s="230" t="s">
        <v>36</v>
      </c>
      <c r="R2" s="135" t="s">
        <v>37</v>
      </c>
      <c r="S2" s="135"/>
      <c r="T2" s="135"/>
      <c r="U2" s="135"/>
      <c r="V2" s="62" t="s">
        <v>38</v>
      </c>
    </row>
    <row r="3" spans="1:25" ht="15" customHeight="1">
      <c r="A3" s="116">
        <v>2</v>
      </c>
      <c r="B3" s="116">
        <f>IF(TRIM(C3)="Test",COUNTIF($C$2:C3,"Test"),"")</f>
        <v>2</v>
      </c>
      <c r="C3" s="80" t="s">
        <v>25</v>
      </c>
      <c r="D3" s="76" t="s">
        <v>39</v>
      </c>
      <c r="E3" s="214" t="s">
        <v>40</v>
      </c>
      <c r="F3" s="87">
        <v>20260101</v>
      </c>
      <c r="G3" s="98" t="s">
        <v>28</v>
      </c>
      <c r="H3" s="76" t="s">
        <v>29</v>
      </c>
      <c r="I3" s="76" t="s">
        <v>30</v>
      </c>
      <c r="J3" s="76" t="s">
        <v>31</v>
      </c>
      <c r="K3" s="228" t="s">
        <v>41</v>
      </c>
      <c r="L3" s="103" t="s">
        <v>33</v>
      </c>
      <c r="M3" s="76" t="s">
        <v>34</v>
      </c>
      <c r="N3" s="103" t="s">
        <v>42</v>
      </c>
      <c r="O3" s="238"/>
      <c r="P3" s="78"/>
      <c r="Q3" s="231">
        <v>26.111000000000001</v>
      </c>
      <c r="R3" s="209" t="s">
        <v>43</v>
      </c>
      <c r="S3" s="79" t="s">
        <v>44</v>
      </c>
      <c r="T3" s="79" t="s">
        <v>45</v>
      </c>
      <c r="U3" s="79" t="s">
        <v>38</v>
      </c>
      <c r="V3" s="62" t="s">
        <v>38</v>
      </c>
    </row>
    <row r="4" spans="1:25" ht="15" customHeight="1">
      <c r="A4" s="116">
        <v>3</v>
      </c>
      <c r="B4" s="116">
        <f>IF(TRIM(C4)="Test",COUNTIF($C$2:C4,"Test"),"")</f>
        <v>3</v>
      </c>
      <c r="C4" s="80" t="s">
        <v>25</v>
      </c>
      <c r="D4" s="76" t="s">
        <v>46</v>
      </c>
      <c r="E4" s="214" t="s">
        <v>39</v>
      </c>
      <c r="F4" s="87">
        <v>20260101</v>
      </c>
      <c r="G4" s="98" t="s">
        <v>47</v>
      </c>
      <c r="H4" s="76" t="s">
        <v>48</v>
      </c>
      <c r="I4" s="76" t="s">
        <v>49</v>
      </c>
      <c r="J4" s="76" t="s">
        <v>50</v>
      </c>
      <c r="K4" s="228" t="s">
        <v>32</v>
      </c>
      <c r="L4" s="103" t="s">
        <v>33</v>
      </c>
      <c r="M4" s="76" t="s">
        <v>34</v>
      </c>
      <c r="N4" s="103" t="s">
        <v>51</v>
      </c>
      <c r="O4" s="238"/>
      <c r="P4" s="78"/>
      <c r="Q4" s="231">
        <v>9.7010000000000005</v>
      </c>
      <c r="R4" s="209" t="s">
        <v>52</v>
      </c>
      <c r="S4" s="79" t="s">
        <v>53</v>
      </c>
      <c r="T4" s="79" t="s">
        <v>54</v>
      </c>
      <c r="U4" s="79" t="s">
        <v>38</v>
      </c>
      <c r="V4" s="62" t="s">
        <v>38</v>
      </c>
    </row>
    <row r="5" spans="1:25" ht="15" customHeight="1">
      <c r="A5" s="252">
        <v>4</v>
      </c>
      <c r="B5" s="252" t="str">
        <f>IF(TRIM(C5)="Test",COUNTIF($C$2:C5,"Test"),"")</f>
        <v/>
      </c>
      <c r="C5" s="253" t="s">
        <v>55</v>
      </c>
      <c r="D5" s="254" t="s">
        <v>56</v>
      </c>
      <c r="E5" s="254"/>
      <c r="F5" s="255">
        <v>20260101</v>
      </c>
      <c r="G5" s="76" t="s">
        <v>57</v>
      </c>
      <c r="H5" s="76" t="s">
        <v>29</v>
      </c>
      <c r="I5" s="76" t="s">
        <v>58</v>
      </c>
      <c r="J5" s="76" t="s">
        <v>59</v>
      </c>
      <c r="K5" s="76" t="s">
        <v>41</v>
      </c>
      <c r="L5" s="256" t="s">
        <v>33</v>
      </c>
      <c r="M5" s="257" t="s">
        <v>34</v>
      </c>
      <c r="N5" s="256" t="s">
        <v>60</v>
      </c>
      <c r="O5" s="77"/>
      <c r="P5" s="78"/>
      <c r="Q5" s="78">
        <v>27.978000000000002</v>
      </c>
      <c r="R5" s="258" t="s">
        <v>61</v>
      </c>
      <c r="S5" s="258"/>
      <c r="T5" s="258"/>
      <c r="U5" s="258"/>
      <c r="V5" s="63" t="s">
        <v>38</v>
      </c>
    </row>
    <row r="6" spans="1:25" ht="15" customHeight="1">
      <c r="A6" s="116">
        <v>5</v>
      </c>
      <c r="B6" s="168">
        <f>IF(TRIM(C6)="Test",COUNTIF($C$2:C6,"Test"),"")</f>
        <v>4</v>
      </c>
      <c r="C6" s="80" t="s">
        <v>25</v>
      </c>
      <c r="D6" s="76" t="s">
        <v>40</v>
      </c>
      <c r="E6" s="76" t="s">
        <v>27</v>
      </c>
      <c r="F6" s="87">
        <v>20260101</v>
      </c>
      <c r="G6" s="98" t="s">
        <v>62</v>
      </c>
      <c r="H6" s="76" t="s">
        <v>48</v>
      </c>
      <c r="I6" s="76" t="s">
        <v>49</v>
      </c>
      <c r="J6" s="76" t="s">
        <v>63</v>
      </c>
      <c r="K6" s="228" t="s">
        <v>32</v>
      </c>
      <c r="L6" s="140" t="s">
        <v>64</v>
      </c>
      <c r="M6" s="140" t="s">
        <v>65</v>
      </c>
      <c r="N6" s="140" t="s">
        <v>66</v>
      </c>
      <c r="O6" s="238"/>
      <c r="P6" s="78"/>
      <c r="Q6" s="231">
        <v>20.452000000000002</v>
      </c>
      <c r="R6" s="144" t="s">
        <v>67</v>
      </c>
      <c r="S6" s="144"/>
      <c r="T6" s="144"/>
      <c r="U6" s="144"/>
      <c r="V6" s="132" t="s">
        <v>68</v>
      </c>
      <c r="W6" s="63" t="s">
        <v>69</v>
      </c>
    </row>
    <row r="7" spans="1:25" ht="15" customHeight="1">
      <c r="A7" s="116">
        <v>6</v>
      </c>
      <c r="B7" s="116">
        <f>IF(TRIM(C7)="Test",COUNTIF($C$2:C7,"Test"),"")</f>
        <v>5</v>
      </c>
      <c r="C7" s="80" t="s">
        <v>25</v>
      </c>
      <c r="D7" s="76" t="s">
        <v>70</v>
      </c>
      <c r="E7" s="76" t="s">
        <v>27</v>
      </c>
      <c r="F7" s="87">
        <v>20260101</v>
      </c>
      <c r="G7" s="98" t="s">
        <v>62</v>
      </c>
      <c r="H7" s="76" t="s">
        <v>48</v>
      </c>
      <c r="I7" s="76" t="s">
        <v>49</v>
      </c>
      <c r="J7" s="76" t="s">
        <v>63</v>
      </c>
      <c r="K7" s="228" t="s">
        <v>41</v>
      </c>
      <c r="L7" s="105" t="s">
        <v>64</v>
      </c>
      <c r="M7" s="105" t="s">
        <v>71</v>
      </c>
      <c r="N7" s="103" t="s">
        <v>72</v>
      </c>
      <c r="O7" s="238"/>
      <c r="P7" s="78"/>
      <c r="Q7" s="231">
        <v>28.27</v>
      </c>
      <c r="R7" s="79" t="s">
        <v>73</v>
      </c>
      <c r="S7" s="79"/>
      <c r="T7" s="79"/>
      <c r="U7" s="79"/>
      <c r="V7" s="62" t="s">
        <v>38</v>
      </c>
    </row>
    <row r="8" spans="1:25" ht="15" customHeight="1">
      <c r="A8" s="252">
        <v>7</v>
      </c>
      <c r="B8" s="252" t="str">
        <f>IF(TRIM(C8)="Test",COUNTIF($C$2:C8,"Test"),"")</f>
        <v/>
      </c>
      <c r="C8" s="253" t="s">
        <v>55</v>
      </c>
      <c r="D8" s="254" t="s">
        <v>74</v>
      </c>
      <c r="E8" s="254"/>
      <c r="F8" s="255">
        <v>20260101</v>
      </c>
      <c r="G8" s="76" t="s">
        <v>75</v>
      </c>
      <c r="H8" s="76" t="s">
        <v>29</v>
      </c>
      <c r="I8" s="76" t="s">
        <v>30</v>
      </c>
      <c r="J8" s="76" t="s">
        <v>31</v>
      </c>
      <c r="K8" s="76" t="s">
        <v>32</v>
      </c>
      <c r="L8" s="259" t="s">
        <v>64</v>
      </c>
      <c r="M8" s="260" t="s">
        <v>65</v>
      </c>
      <c r="N8" s="256" t="s">
        <v>76</v>
      </c>
      <c r="O8" s="77"/>
      <c r="P8" s="78"/>
      <c r="Q8" s="78">
        <v>26.199000000000002</v>
      </c>
      <c r="R8" s="258" t="s">
        <v>77</v>
      </c>
      <c r="S8" s="258"/>
      <c r="T8" s="258"/>
      <c r="U8" s="258"/>
      <c r="V8" s="62" t="s">
        <v>38</v>
      </c>
    </row>
    <row r="9" spans="1:25" ht="15" customHeight="1">
      <c r="A9" s="116">
        <v>8</v>
      </c>
      <c r="B9" s="116">
        <f>IF(TRIM(C9)="Test",COUNTIF($C$2:C9,"Test"),"")</f>
        <v>6</v>
      </c>
      <c r="C9" s="80" t="s">
        <v>25</v>
      </c>
      <c r="D9" s="76" t="s">
        <v>78</v>
      </c>
      <c r="E9" s="76" t="s">
        <v>27</v>
      </c>
      <c r="F9" s="87">
        <v>20260101</v>
      </c>
      <c r="G9" s="98" t="s">
        <v>79</v>
      </c>
      <c r="H9" s="76" t="s">
        <v>80</v>
      </c>
      <c r="I9" s="76" t="s">
        <v>81</v>
      </c>
      <c r="J9" s="76" t="s">
        <v>31</v>
      </c>
      <c r="K9" s="228" t="s">
        <v>41</v>
      </c>
      <c r="L9" s="76" t="s">
        <v>82</v>
      </c>
      <c r="M9" s="76" t="s">
        <v>83</v>
      </c>
      <c r="N9" s="103" t="s">
        <v>84</v>
      </c>
      <c r="O9" s="238"/>
      <c r="P9" s="78"/>
      <c r="Q9" s="231">
        <v>46.506</v>
      </c>
      <c r="R9" s="79" t="s">
        <v>85</v>
      </c>
      <c r="S9" s="79"/>
      <c r="T9" s="79"/>
      <c r="U9" s="79"/>
      <c r="V9" s="62" t="s">
        <v>38</v>
      </c>
    </row>
    <row r="10" spans="1:25" ht="15" customHeight="1">
      <c r="A10" s="116">
        <v>9</v>
      </c>
      <c r="B10" s="116">
        <f>IF(TRIM(C10)="Test",COUNTIF($C$2:C10,"Test"),"")</f>
        <v>7</v>
      </c>
      <c r="C10" s="80" t="s">
        <v>25</v>
      </c>
      <c r="D10" s="76" t="s">
        <v>86</v>
      </c>
      <c r="E10" s="76" t="s">
        <v>27</v>
      </c>
      <c r="F10" s="87">
        <v>20260101</v>
      </c>
      <c r="G10" s="98" t="s">
        <v>87</v>
      </c>
      <c r="H10" s="76" t="s">
        <v>48</v>
      </c>
      <c r="I10" s="76" t="s">
        <v>81</v>
      </c>
      <c r="J10" s="76" t="s">
        <v>50</v>
      </c>
      <c r="K10" s="228" t="s">
        <v>32</v>
      </c>
      <c r="L10" s="76" t="s">
        <v>82</v>
      </c>
      <c r="M10" s="76" t="s">
        <v>83</v>
      </c>
      <c r="N10" s="103" t="s">
        <v>88</v>
      </c>
      <c r="O10" s="238"/>
      <c r="P10" s="78"/>
      <c r="Q10" s="231">
        <v>23.119</v>
      </c>
      <c r="R10" s="79" t="s">
        <v>89</v>
      </c>
      <c r="S10" s="79"/>
      <c r="T10" s="79"/>
      <c r="U10" s="79"/>
      <c r="V10" s="62" t="s">
        <v>38</v>
      </c>
    </row>
    <row r="11" spans="1:25" ht="15" customHeight="1">
      <c r="A11" s="116">
        <v>10</v>
      </c>
      <c r="B11" s="116">
        <f>IF(TRIM(C11)="Test",COUNTIF($C$2:C11,"Test"),"")</f>
        <v>8</v>
      </c>
      <c r="C11" s="80" t="s">
        <v>25</v>
      </c>
      <c r="D11" s="76" t="s">
        <v>90</v>
      </c>
      <c r="E11" s="76" t="s">
        <v>27</v>
      </c>
      <c r="F11" s="87">
        <v>20260101</v>
      </c>
      <c r="G11" s="98" t="s">
        <v>91</v>
      </c>
      <c r="H11" s="76" t="s">
        <v>29</v>
      </c>
      <c r="I11" s="76" t="s">
        <v>92</v>
      </c>
      <c r="J11" s="76" t="s">
        <v>59</v>
      </c>
      <c r="K11" s="228" t="s">
        <v>32</v>
      </c>
      <c r="L11" s="76" t="s">
        <v>82</v>
      </c>
      <c r="M11" s="76" t="s">
        <v>83</v>
      </c>
      <c r="N11" s="102" t="s">
        <v>93</v>
      </c>
      <c r="O11" s="238"/>
      <c r="P11" s="78"/>
      <c r="Q11" s="231">
        <v>25.277999999999999</v>
      </c>
      <c r="R11" s="79" t="s">
        <v>94</v>
      </c>
      <c r="S11" s="79"/>
      <c r="T11" s="79"/>
      <c r="U11" s="79"/>
      <c r="V11" s="62" t="s">
        <v>38</v>
      </c>
    </row>
    <row r="12" spans="1:25" ht="15" customHeight="1">
      <c r="A12" s="252">
        <v>11</v>
      </c>
      <c r="B12" s="252" t="str">
        <f>IF(TRIM(C12)="Test",COUNTIF($C$2:C12,"Test"),"")</f>
        <v/>
      </c>
      <c r="C12" s="253" t="s">
        <v>55</v>
      </c>
      <c r="D12" s="254" t="s">
        <v>95</v>
      </c>
      <c r="E12" s="254"/>
      <c r="F12" s="255">
        <v>20260101</v>
      </c>
      <c r="G12" s="76" t="s">
        <v>96</v>
      </c>
      <c r="H12" s="76" t="s">
        <v>48</v>
      </c>
      <c r="I12" s="76" t="s">
        <v>97</v>
      </c>
      <c r="J12" s="76" t="s">
        <v>98</v>
      </c>
      <c r="K12" s="76" t="s">
        <v>32</v>
      </c>
      <c r="L12" s="254" t="s">
        <v>82</v>
      </c>
      <c r="M12" s="257" t="s">
        <v>83</v>
      </c>
      <c r="N12" s="261" t="s">
        <v>99</v>
      </c>
      <c r="O12" s="77"/>
      <c r="P12" s="78"/>
      <c r="Q12" s="78">
        <v>41.703000000000003</v>
      </c>
      <c r="R12" s="258" t="s">
        <v>100</v>
      </c>
      <c r="S12" s="258"/>
      <c r="T12" s="258"/>
      <c r="U12" s="258"/>
      <c r="V12" s="62" t="s">
        <v>38</v>
      </c>
    </row>
    <row r="13" spans="1:25" ht="15" customHeight="1">
      <c r="A13" s="116">
        <v>12</v>
      </c>
      <c r="B13" s="116">
        <f>IF(TRIM(C13)="Test",COUNTIF($C$2:C13,"Test"),"")</f>
        <v>9</v>
      </c>
      <c r="C13" s="80" t="s">
        <v>25</v>
      </c>
      <c r="D13" s="76" t="s">
        <v>101</v>
      </c>
      <c r="E13" s="76" t="s">
        <v>27</v>
      </c>
      <c r="F13" s="87">
        <v>20260101</v>
      </c>
      <c r="G13" s="98" t="s">
        <v>102</v>
      </c>
      <c r="H13" s="76" t="s">
        <v>29</v>
      </c>
      <c r="I13" s="76" t="s">
        <v>103</v>
      </c>
      <c r="J13" s="76" t="s">
        <v>31</v>
      </c>
      <c r="K13" s="228" t="s">
        <v>32</v>
      </c>
      <c r="L13" s="76" t="s">
        <v>104</v>
      </c>
      <c r="M13" s="76" t="s">
        <v>105</v>
      </c>
      <c r="N13" s="103" t="s">
        <v>106</v>
      </c>
      <c r="O13" s="238"/>
      <c r="P13" s="78"/>
      <c r="Q13" s="231">
        <v>24.149000000000001</v>
      </c>
      <c r="R13" s="79" t="s">
        <v>107</v>
      </c>
      <c r="S13" s="79"/>
      <c r="T13" s="79"/>
      <c r="U13" s="79"/>
      <c r="V13" s="62" t="s">
        <v>38</v>
      </c>
    </row>
    <row r="14" spans="1:25" ht="15" customHeight="1">
      <c r="A14" s="116">
        <v>13</v>
      </c>
      <c r="B14" s="116">
        <f>IF(TRIM(C14)="Test",COUNTIF($C$2:C14,"Test"),"")</f>
        <v>10</v>
      </c>
      <c r="C14" s="80" t="s">
        <v>25</v>
      </c>
      <c r="D14" s="76" t="s">
        <v>108</v>
      </c>
      <c r="E14" s="76" t="s">
        <v>27</v>
      </c>
      <c r="F14" s="87">
        <v>20260101</v>
      </c>
      <c r="G14" s="98" t="s">
        <v>109</v>
      </c>
      <c r="H14" s="76" t="s">
        <v>48</v>
      </c>
      <c r="I14" s="76" t="s">
        <v>81</v>
      </c>
      <c r="J14" s="76" t="s">
        <v>98</v>
      </c>
      <c r="K14" s="228" t="s">
        <v>32</v>
      </c>
      <c r="L14" s="76" t="s">
        <v>104</v>
      </c>
      <c r="M14" s="76" t="s">
        <v>105</v>
      </c>
      <c r="N14" s="103" t="s">
        <v>110</v>
      </c>
      <c r="O14" s="238"/>
      <c r="P14" s="78"/>
      <c r="Q14" s="231">
        <v>31.576000000000001</v>
      </c>
      <c r="R14" s="79" t="s">
        <v>111</v>
      </c>
      <c r="S14" s="79"/>
      <c r="T14" s="79"/>
      <c r="U14" s="79"/>
      <c r="V14" s="62" t="s">
        <v>38</v>
      </c>
    </row>
    <row r="15" spans="1:25" ht="15" customHeight="1">
      <c r="A15" s="116">
        <v>14</v>
      </c>
      <c r="B15" s="116">
        <f>IF(TRIM(C15)="Test",COUNTIF($C$2:C15,"Test"),"")</f>
        <v>11</v>
      </c>
      <c r="C15" s="80" t="s">
        <v>25</v>
      </c>
      <c r="D15" s="76" t="s">
        <v>112</v>
      </c>
      <c r="E15" s="76" t="s">
        <v>27</v>
      </c>
      <c r="F15" s="87">
        <v>20260101</v>
      </c>
      <c r="G15" s="98" t="s">
        <v>113</v>
      </c>
      <c r="H15" s="76" t="s">
        <v>48</v>
      </c>
      <c r="I15" s="76" t="s">
        <v>49</v>
      </c>
      <c r="J15" s="76" t="s">
        <v>98</v>
      </c>
      <c r="K15" s="228" t="s">
        <v>32</v>
      </c>
      <c r="L15" s="76" t="s">
        <v>114</v>
      </c>
      <c r="M15" s="76" t="s">
        <v>115</v>
      </c>
      <c r="N15" s="104" t="s">
        <v>116</v>
      </c>
      <c r="O15" s="238"/>
      <c r="P15" s="78"/>
      <c r="Q15" s="231">
        <v>39.572000000000003</v>
      </c>
      <c r="R15" s="79" t="s">
        <v>117</v>
      </c>
      <c r="S15" s="79"/>
      <c r="T15" s="79"/>
      <c r="U15" s="79"/>
      <c r="V15" s="63" t="s">
        <v>38</v>
      </c>
    </row>
    <row r="16" spans="1:25" ht="15" customHeight="1">
      <c r="A16" s="116">
        <v>15</v>
      </c>
      <c r="B16" s="116">
        <f>IF(TRIM(C16)="Test",COUNTIF($C$2:C16,"Test"),"")</f>
        <v>12</v>
      </c>
      <c r="C16" s="80" t="s">
        <v>25</v>
      </c>
      <c r="D16" s="76" t="s">
        <v>118</v>
      </c>
      <c r="E16" s="214" t="s">
        <v>112</v>
      </c>
      <c r="F16" s="87">
        <v>20260101</v>
      </c>
      <c r="G16" s="98" t="s">
        <v>119</v>
      </c>
      <c r="H16" s="76" t="s">
        <v>29</v>
      </c>
      <c r="I16" s="76" t="s">
        <v>92</v>
      </c>
      <c r="J16" s="76" t="s">
        <v>31</v>
      </c>
      <c r="K16" s="228" t="s">
        <v>41</v>
      </c>
      <c r="L16" s="76" t="s">
        <v>114</v>
      </c>
      <c r="M16" s="76"/>
      <c r="N16" s="103" t="s">
        <v>120</v>
      </c>
      <c r="O16" s="238"/>
      <c r="P16" s="78"/>
      <c r="Q16" s="231">
        <v>17.965</v>
      </c>
      <c r="R16" s="209" t="s">
        <v>121</v>
      </c>
      <c r="S16" s="79" t="s">
        <v>122</v>
      </c>
      <c r="T16" s="79" t="s">
        <v>123</v>
      </c>
      <c r="U16" s="79" t="s">
        <v>38</v>
      </c>
      <c r="V16" s="62" t="s">
        <v>38</v>
      </c>
    </row>
    <row r="17" spans="1:25" ht="15" customHeight="1">
      <c r="A17" s="122">
        <v>16</v>
      </c>
      <c r="B17" s="122" t="str">
        <f>IF(TRIM(C17)="Test",COUNTIF($C$2:C17,"Test"),"")</f>
        <v/>
      </c>
      <c r="C17" s="262" t="s">
        <v>55</v>
      </c>
      <c r="D17" s="93" t="s">
        <v>124</v>
      </c>
      <c r="E17" s="93"/>
      <c r="F17" s="94">
        <v>20260101</v>
      </c>
      <c r="G17" s="76" t="s">
        <v>125</v>
      </c>
      <c r="H17" s="76" t="s">
        <v>48</v>
      </c>
      <c r="I17" s="76" t="s">
        <v>49</v>
      </c>
      <c r="J17" s="76" t="s">
        <v>50</v>
      </c>
      <c r="K17" s="76" t="s">
        <v>41</v>
      </c>
      <c r="L17" s="93" t="s">
        <v>114</v>
      </c>
      <c r="M17" s="240"/>
      <c r="N17" s="263" t="s">
        <v>126</v>
      </c>
      <c r="O17" s="77"/>
      <c r="P17" s="78"/>
      <c r="Q17" s="78">
        <v>42.908000000000001</v>
      </c>
      <c r="R17" s="264" t="s">
        <v>127</v>
      </c>
      <c r="S17" s="264"/>
      <c r="T17" s="264"/>
      <c r="U17" s="264"/>
      <c r="V17" s="62" t="s">
        <v>38</v>
      </c>
    </row>
    <row r="18" spans="1:25" ht="15" customHeight="1">
      <c r="A18" s="242">
        <v>17</v>
      </c>
      <c r="B18" s="242" t="str">
        <f>IF(TRIM(C18)="Test",COUNTIF($C$2:C18,"Test"),"")</f>
        <v/>
      </c>
      <c r="C18" s="91" t="s">
        <v>55</v>
      </c>
      <c r="D18" s="243" t="s">
        <v>128</v>
      </c>
      <c r="E18" s="243"/>
      <c r="F18" s="244">
        <v>20260101</v>
      </c>
      <c r="G18" s="76" t="s">
        <v>129</v>
      </c>
      <c r="H18" s="76" t="s">
        <v>48</v>
      </c>
      <c r="I18" s="76" t="s">
        <v>49</v>
      </c>
      <c r="J18" s="76" t="s">
        <v>63</v>
      </c>
      <c r="K18" s="76" t="s">
        <v>32</v>
      </c>
      <c r="L18" s="243" t="s">
        <v>114</v>
      </c>
      <c r="M18" s="99"/>
      <c r="N18" s="246" t="s">
        <v>130</v>
      </c>
      <c r="O18" s="77"/>
      <c r="P18" s="78"/>
      <c r="Q18" s="78">
        <v>28.187000000000001</v>
      </c>
      <c r="R18" s="247" t="s">
        <v>131</v>
      </c>
      <c r="S18" s="247"/>
      <c r="T18" s="247"/>
      <c r="U18" s="247"/>
      <c r="V18" s="132" t="s">
        <v>132</v>
      </c>
      <c r="W18" s="63" t="s">
        <v>133</v>
      </c>
    </row>
    <row r="19" spans="1:25" ht="15" customHeight="1">
      <c r="A19" s="116">
        <v>18</v>
      </c>
      <c r="B19" s="116">
        <f>IF(TRIM(C19)="Test",COUNTIF($C$2:C19,"Test"),"")</f>
        <v>13</v>
      </c>
      <c r="C19" s="80" t="s">
        <v>25</v>
      </c>
      <c r="D19" s="76" t="s">
        <v>134</v>
      </c>
      <c r="E19" s="76" t="s">
        <v>27</v>
      </c>
      <c r="F19" s="87">
        <v>20260101</v>
      </c>
      <c r="G19" s="98" t="s">
        <v>135</v>
      </c>
      <c r="H19" s="76" t="s">
        <v>29</v>
      </c>
      <c r="I19" s="76" t="s">
        <v>30</v>
      </c>
      <c r="J19" s="76" t="s">
        <v>31</v>
      </c>
      <c r="K19" s="228" t="s">
        <v>32</v>
      </c>
      <c r="L19" s="105" t="s">
        <v>136</v>
      </c>
      <c r="M19" s="105" t="s">
        <v>137</v>
      </c>
      <c r="N19" s="103" t="s">
        <v>138</v>
      </c>
      <c r="O19" s="238"/>
      <c r="P19" s="78"/>
      <c r="Q19" s="231">
        <v>32.146999999999998</v>
      </c>
      <c r="R19" s="79" t="s">
        <v>139</v>
      </c>
      <c r="S19" s="79"/>
      <c r="T19" s="79"/>
      <c r="U19" s="79"/>
      <c r="V19" s="62" t="s">
        <v>38</v>
      </c>
    </row>
    <row r="20" spans="1:25" ht="15" customHeight="1">
      <c r="A20" s="116">
        <v>19</v>
      </c>
      <c r="B20" s="116">
        <f>IF(TRIM(C20)="Test",COUNTIF($C$2:C20,"Test"),"")</f>
        <v>14</v>
      </c>
      <c r="C20" s="80" t="s">
        <v>25</v>
      </c>
      <c r="D20" s="76" t="s">
        <v>140</v>
      </c>
      <c r="E20" s="76" t="s">
        <v>27</v>
      </c>
      <c r="F20" s="87">
        <v>20260101</v>
      </c>
      <c r="G20" s="98" t="s">
        <v>141</v>
      </c>
      <c r="H20" s="76" t="s">
        <v>142</v>
      </c>
      <c r="I20" s="76" t="s">
        <v>58</v>
      </c>
      <c r="J20" s="76" t="s">
        <v>59</v>
      </c>
      <c r="K20" s="228"/>
      <c r="L20" s="105" t="s">
        <v>136</v>
      </c>
      <c r="M20" s="105" t="s">
        <v>137</v>
      </c>
      <c r="N20" s="105" t="s">
        <v>143</v>
      </c>
      <c r="O20" s="238"/>
      <c r="P20" s="78"/>
      <c r="Q20" s="231">
        <v>29.488</v>
      </c>
      <c r="R20" s="79" t="s">
        <v>144</v>
      </c>
      <c r="S20" s="79"/>
      <c r="T20" s="79"/>
      <c r="U20" s="79"/>
      <c r="V20" s="62" t="s">
        <v>38</v>
      </c>
    </row>
    <row r="21" spans="1:25" ht="15" customHeight="1">
      <c r="A21" s="252">
        <v>20</v>
      </c>
      <c r="B21" s="252" t="str">
        <f>IF(TRIM(C21)="Test",COUNTIF($C$2:C21,"Test"),"")</f>
        <v/>
      </c>
      <c r="C21" s="253" t="s">
        <v>55</v>
      </c>
      <c r="D21" s="254" t="s">
        <v>145</v>
      </c>
      <c r="E21" s="254"/>
      <c r="F21" s="255">
        <v>20260101</v>
      </c>
      <c r="G21" s="76" t="s">
        <v>146</v>
      </c>
      <c r="H21" s="76" t="s">
        <v>147</v>
      </c>
      <c r="I21" s="76" t="s">
        <v>148</v>
      </c>
      <c r="J21" s="76" t="s">
        <v>31</v>
      </c>
      <c r="K21" s="76"/>
      <c r="L21" s="265" t="s">
        <v>136</v>
      </c>
      <c r="M21" s="266" t="s">
        <v>137</v>
      </c>
      <c r="N21" s="265" t="s">
        <v>149</v>
      </c>
      <c r="O21" s="77"/>
      <c r="P21" s="78"/>
      <c r="Q21" s="78">
        <v>36.558</v>
      </c>
      <c r="R21" s="267" t="s">
        <v>150</v>
      </c>
      <c r="S21" s="267"/>
      <c r="T21" s="267"/>
      <c r="U21" s="267"/>
      <c r="V21" s="152" t="s">
        <v>151</v>
      </c>
      <c r="W21" s="133" t="s">
        <v>152</v>
      </c>
    </row>
    <row r="22" spans="1:25" ht="15" customHeight="1">
      <c r="A22" s="116">
        <v>21</v>
      </c>
      <c r="B22" s="116">
        <f>IF(TRIM(C22)="Test",COUNTIF($C$2:C22,"Test"),"")</f>
        <v>15</v>
      </c>
      <c r="C22" s="80" t="s">
        <v>25</v>
      </c>
      <c r="D22" s="76" t="s">
        <v>153</v>
      </c>
      <c r="E22" s="201" t="s">
        <v>154</v>
      </c>
      <c r="F22" s="87">
        <v>20260101</v>
      </c>
      <c r="G22" s="98" t="s">
        <v>155</v>
      </c>
      <c r="H22" s="76" t="s">
        <v>29</v>
      </c>
      <c r="I22" s="76" t="s">
        <v>30</v>
      </c>
      <c r="J22" s="76" t="s">
        <v>31</v>
      </c>
      <c r="K22" s="228" t="s">
        <v>32</v>
      </c>
      <c r="L22" s="76" t="s">
        <v>156</v>
      </c>
      <c r="M22" s="76" t="s">
        <v>157</v>
      </c>
      <c r="N22" s="103" t="s">
        <v>158</v>
      </c>
      <c r="O22" s="238"/>
      <c r="P22" s="78"/>
      <c r="Q22" s="231">
        <v>37.343000000000004</v>
      </c>
      <c r="R22" s="209" t="s">
        <v>159</v>
      </c>
      <c r="S22" s="79" t="s">
        <v>160</v>
      </c>
      <c r="T22" s="79" t="s">
        <v>161</v>
      </c>
      <c r="U22" s="79" t="s">
        <v>38</v>
      </c>
      <c r="V22" s="62" t="s">
        <v>38</v>
      </c>
    </row>
    <row r="23" spans="1:25" ht="15" customHeight="1">
      <c r="A23" s="116">
        <v>22</v>
      </c>
      <c r="B23" s="116">
        <f>IF(TRIM(C23)="Test",COUNTIF($C$2:C23,"Test"),"")</f>
        <v>16</v>
      </c>
      <c r="C23" s="80" t="s">
        <v>25</v>
      </c>
      <c r="D23" s="76" t="s">
        <v>162</v>
      </c>
      <c r="E23" s="76" t="s">
        <v>27</v>
      </c>
      <c r="F23" s="87">
        <v>20260101</v>
      </c>
      <c r="G23" s="98" t="s">
        <v>163</v>
      </c>
      <c r="H23" s="76" t="s">
        <v>29</v>
      </c>
      <c r="I23" s="76" t="s">
        <v>164</v>
      </c>
      <c r="J23" s="76" t="s">
        <v>31</v>
      </c>
      <c r="K23" s="228" t="s">
        <v>32</v>
      </c>
      <c r="L23" s="76" t="s">
        <v>156</v>
      </c>
      <c r="M23" s="76" t="s">
        <v>165</v>
      </c>
      <c r="N23" s="137" t="s">
        <v>166</v>
      </c>
      <c r="O23" s="238"/>
      <c r="P23" s="78"/>
      <c r="Q23" s="231">
        <v>35.018000000000001</v>
      </c>
      <c r="R23" s="144" t="s">
        <v>167</v>
      </c>
      <c r="S23" s="144"/>
      <c r="T23" s="144"/>
      <c r="U23" s="144"/>
      <c r="V23" s="150" t="s">
        <v>168</v>
      </c>
      <c r="W23" s="63" t="s">
        <v>169</v>
      </c>
      <c r="X23" s="63"/>
      <c r="Y23" s="63" t="s">
        <v>170</v>
      </c>
    </row>
    <row r="24" spans="1:25" ht="15" customHeight="1">
      <c r="A24" s="116">
        <v>23</v>
      </c>
      <c r="B24" s="116">
        <f>IF(TRIM(C24)="Test",COUNTIF($C$2:C24,"Test"),"")</f>
        <v>17</v>
      </c>
      <c r="C24" s="80" t="s">
        <v>25</v>
      </c>
      <c r="D24" s="76" t="s">
        <v>171</v>
      </c>
      <c r="E24" s="76" t="s">
        <v>27</v>
      </c>
      <c r="F24" s="87">
        <v>20260101</v>
      </c>
      <c r="G24" s="98" t="s">
        <v>172</v>
      </c>
      <c r="H24" s="76" t="s">
        <v>48</v>
      </c>
      <c r="I24" s="76" t="s">
        <v>81</v>
      </c>
      <c r="J24" s="76" t="s">
        <v>98</v>
      </c>
      <c r="K24" s="228" t="s">
        <v>32</v>
      </c>
      <c r="L24" s="76" t="s">
        <v>156</v>
      </c>
      <c r="M24" s="76" t="s">
        <v>165</v>
      </c>
      <c r="N24" s="137" t="s">
        <v>173</v>
      </c>
      <c r="O24" s="238"/>
      <c r="P24" s="78"/>
      <c r="Q24" s="231">
        <v>36.011000000000003</v>
      </c>
      <c r="R24" s="144" t="s">
        <v>174</v>
      </c>
      <c r="S24" s="144"/>
      <c r="T24" s="144"/>
      <c r="U24" s="144"/>
      <c r="V24" s="143" t="s">
        <v>175</v>
      </c>
      <c r="W24" s="63" t="s">
        <v>176</v>
      </c>
    </row>
    <row r="25" spans="1:25" ht="15" customHeight="1">
      <c r="A25" s="122">
        <v>24</v>
      </c>
      <c r="B25" s="122" t="str">
        <f>IF(TRIM(C25)="Test",COUNTIF($C$2:C25,"Test"),"")</f>
        <v/>
      </c>
      <c r="C25" s="262" t="s">
        <v>55</v>
      </c>
      <c r="D25" s="93" t="s">
        <v>177</v>
      </c>
      <c r="E25" s="93"/>
      <c r="F25" s="94">
        <v>20260101</v>
      </c>
      <c r="G25" s="76" t="s">
        <v>178</v>
      </c>
      <c r="H25" s="76" t="s">
        <v>29</v>
      </c>
      <c r="I25" s="76" t="s">
        <v>30</v>
      </c>
      <c r="J25" s="76" t="s">
        <v>31</v>
      </c>
      <c r="K25" s="76" t="s">
        <v>32</v>
      </c>
      <c r="L25" s="93" t="s">
        <v>179</v>
      </c>
      <c r="M25" s="240" t="s">
        <v>165</v>
      </c>
      <c r="N25" s="268" t="s">
        <v>180</v>
      </c>
      <c r="O25" s="77"/>
      <c r="P25" s="78"/>
      <c r="Q25" s="78">
        <v>30.471</v>
      </c>
      <c r="R25" s="269" t="s">
        <v>181</v>
      </c>
      <c r="S25" s="269"/>
      <c r="T25" s="269"/>
      <c r="U25" s="269"/>
      <c r="V25" s="132" t="s">
        <v>182</v>
      </c>
      <c r="W25" s="63" t="s">
        <v>183</v>
      </c>
    </row>
    <row r="26" spans="1:25" ht="15" customHeight="1">
      <c r="A26" s="242">
        <v>25</v>
      </c>
      <c r="B26" s="242" t="str">
        <f>IF(TRIM(C26)="Test",COUNTIF($C$2:C26,"Test"),"")</f>
        <v/>
      </c>
      <c r="C26" s="91" t="s">
        <v>55</v>
      </c>
      <c r="D26" s="243" t="s">
        <v>184</v>
      </c>
      <c r="E26" s="243"/>
      <c r="F26" s="244">
        <v>20260101</v>
      </c>
      <c r="G26" s="76" t="s">
        <v>185</v>
      </c>
      <c r="H26" s="76" t="s">
        <v>29</v>
      </c>
      <c r="I26" s="76" t="s">
        <v>92</v>
      </c>
      <c r="J26" s="76" t="s">
        <v>31</v>
      </c>
      <c r="K26" s="76" t="s">
        <v>32</v>
      </c>
      <c r="L26" s="245" t="s">
        <v>186</v>
      </c>
      <c r="M26" s="99" t="s">
        <v>187</v>
      </c>
      <c r="N26" s="248" t="s">
        <v>188</v>
      </c>
      <c r="O26" s="77"/>
      <c r="P26" s="78"/>
      <c r="Q26" s="78">
        <v>48.439</v>
      </c>
      <c r="R26" s="166" t="s">
        <v>189</v>
      </c>
      <c r="S26" s="166"/>
      <c r="T26" s="166"/>
      <c r="U26" s="166"/>
      <c r="V26" s="62" t="s">
        <v>38</v>
      </c>
    </row>
    <row r="27" spans="1:25" ht="15" customHeight="1">
      <c r="A27" s="116">
        <v>26</v>
      </c>
      <c r="B27" s="116">
        <f>IF(TRIM(C27)="Test",COUNTIF($C$2:C27,"Test"),"")</f>
        <v>18</v>
      </c>
      <c r="C27" s="80" t="s">
        <v>25</v>
      </c>
      <c r="D27" s="76" t="s">
        <v>154</v>
      </c>
      <c r="E27" s="76" t="s">
        <v>27</v>
      </c>
      <c r="F27" s="87">
        <v>20260101</v>
      </c>
      <c r="G27" s="98" t="s">
        <v>190</v>
      </c>
      <c r="H27" s="76" t="s">
        <v>48</v>
      </c>
      <c r="I27" s="76" t="s">
        <v>49</v>
      </c>
      <c r="J27" s="76" t="s">
        <v>98</v>
      </c>
      <c r="K27" s="228" t="s">
        <v>41</v>
      </c>
      <c r="L27" s="105" t="s">
        <v>186</v>
      </c>
      <c r="M27" s="76" t="s">
        <v>191</v>
      </c>
      <c r="N27" s="103" t="s">
        <v>192</v>
      </c>
      <c r="O27" s="238"/>
      <c r="P27" s="78"/>
      <c r="Q27" s="231">
        <v>22.36</v>
      </c>
      <c r="R27" s="79" t="s">
        <v>193</v>
      </c>
      <c r="S27" s="79"/>
      <c r="T27" s="79"/>
      <c r="U27" s="79"/>
      <c r="V27" s="62" t="s">
        <v>38</v>
      </c>
    </row>
    <row r="28" spans="1:25" ht="15" customHeight="1">
      <c r="A28" s="116">
        <v>27</v>
      </c>
      <c r="B28" s="116">
        <f>IF(TRIM(C28)="Test",COUNTIF($C$2:C28,"Test"),"")</f>
        <v>19</v>
      </c>
      <c r="C28" s="80" t="s">
        <v>25</v>
      </c>
      <c r="D28" s="76" t="s">
        <v>194</v>
      </c>
      <c r="E28" s="76" t="s">
        <v>27</v>
      </c>
      <c r="F28" s="87">
        <v>20260101</v>
      </c>
      <c r="G28" s="98" t="s">
        <v>195</v>
      </c>
      <c r="H28" s="76" t="s">
        <v>48</v>
      </c>
      <c r="I28" s="76" t="s">
        <v>81</v>
      </c>
      <c r="J28" s="76" t="s">
        <v>63</v>
      </c>
      <c r="K28" s="228" t="s">
        <v>32</v>
      </c>
      <c r="L28" s="105" t="s">
        <v>186</v>
      </c>
      <c r="M28" s="76" t="s">
        <v>187</v>
      </c>
      <c r="N28" s="103" t="s">
        <v>196</v>
      </c>
      <c r="O28" s="238"/>
      <c r="P28" s="78"/>
      <c r="Q28" s="231">
        <v>29.515999999999998</v>
      </c>
      <c r="R28" s="79" t="s">
        <v>197</v>
      </c>
      <c r="S28" s="79"/>
      <c r="T28" s="79"/>
      <c r="U28" s="79"/>
      <c r="V28" s="62" t="s">
        <v>198</v>
      </c>
      <c r="W28" s="63" t="s">
        <v>199</v>
      </c>
    </row>
    <row r="29" spans="1:25" ht="15" customHeight="1">
      <c r="A29" s="116">
        <v>28</v>
      </c>
      <c r="B29" s="116">
        <f>IF(TRIM(C29)="Test",COUNTIF($C$2:C29,"Test"),"")</f>
        <v>20</v>
      </c>
      <c r="C29" s="80" t="s">
        <v>25</v>
      </c>
      <c r="D29" s="76" t="s">
        <v>200</v>
      </c>
      <c r="E29" s="76" t="s">
        <v>27</v>
      </c>
      <c r="F29" s="87">
        <v>20260101</v>
      </c>
      <c r="G29" s="98" t="s">
        <v>201</v>
      </c>
      <c r="H29" s="76" t="s">
        <v>48</v>
      </c>
      <c r="I29" s="76" t="s">
        <v>81</v>
      </c>
      <c r="J29" s="76" t="s">
        <v>98</v>
      </c>
      <c r="K29" s="228" t="s">
        <v>32</v>
      </c>
      <c r="L29" s="140" t="s">
        <v>186</v>
      </c>
      <c r="M29" s="76" t="s">
        <v>187</v>
      </c>
      <c r="N29" s="140" t="s">
        <v>202</v>
      </c>
      <c r="O29" s="238"/>
      <c r="P29" s="78"/>
      <c r="Q29" s="231">
        <v>24.451000000000001</v>
      </c>
      <c r="R29" s="144" t="s">
        <v>203</v>
      </c>
      <c r="S29" s="144"/>
      <c r="T29" s="144"/>
      <c r="U29" s="144"/>
      <c r="V29" s="143" t="s">
        <v>175</v>
      </c>
      <c r="W29" s="63" t="s">
        <v>204</v>
      </c>
    </row>
    <row r="30" spans="1:25" ht="15" customHeight="1">
      <c r="A30" s="116">
        <v>29</v>
      </c>
      <c r="B30" s="116">
        <f>IF(TRIM(C30)="Test",COUNTIF($C$2:C30,"Test"),"")</f>
        <v>21</v>
      </c>
      <c r="C30" s="80" t="s">
        <v>25</v>
      </c>
      <c r="D30" s="76" t="s">
        <v>205</v>
      </c>
      <c r="E30" s="76" t="s">
        <v>27</v>
      </c>
      <c r="F30" s="87">
        <v>20260101</v>
      </c>
      <c r="G30" s="98" t="s">
        <v>206</v>
      </c>
      <c r="H30" s="76" t="s">
        <v>207</v>
      </c>
      <c r="I30" s="76"/>
      <c r="J30" s="76" t="s">
        <v>208</v>
      </c>
      <c r="K30" s="228" t="s">
        <v>32</v>
      </c>
      <c r="L30" s="140" t="s">
        <v>186</v>
      </c>
      <c r="M30" s="76" t="s">
        <v>187</v>
      </c>
      <c r="N30" s="140" t="s">
        <v>209</v>
      </c>
      <c r="O30" s="238"/>
      <c r="P30" s="78"/>
      <c r="Q30" s="231">
        <v>47.280999999999999</v>
      </c>
      <c r="R30" s="144" t="s">
        <v>210</v>
      </c>
      <c r="S30" s="144"/>
      <c r="T30" s="144"/>
      <c r="U30" s="144"/>
      <c r="V30" s="142" t="s">
        <v>211</v>
      </c>
      <c r="W30" s="63" t="s">
        <v>212</v>
      </c>
    </row>
    <row r="31" spans="1:25" ht="15" customHeight="1">
      <c r="A31" s="116">
        <v>30</v>
      </c>
      <c r="B31" s="116">
        <f>IF(TRIM(C31)="Test",COUNTIF($C$2:C31,"Test"),"")</f>
        <v>22</v>
      </c>
      <c r="C31" s="80" t="s">
        <v>25</v>
      </c>
      <c r="D31" s="76" t="s">
        <v>213</v>
      </c>
      <c r="E31" s="76" t="s">
        <v>27</v>
      </c>
      <c r="F31" s="87">
        <v>20260101</v>
      </c>
      <c r="G31" s="98" t="s">
        <v>214</v>
      </c>
      <c r="H31" s="76" t="s">
        <v>29</v>
      </c>
      <c r="I31" s="76" t="s">
        <v>30</v>
      </c>
      <c r="J31" s="76" t="s">
        <v>31</v>
      </c>
      <c r="K31" s="228" t="s">
        <v>32</v>
      </c>
      <c r="L31" s="140" t="s">
        <v>186</v>
      </c>
      <c r="M31" s="76" t="s">
        <v>191</v>
      </c>
      <c r="N31" s="140" t="s">
        <v>215</v>
      </c>
      <c r="O31" s="238"/>
      <c r="P31" s="78"/>
      <c r="Q31" s="231">
        <v>35.902999999999999</v>
      </c>
      <c r="R31" s="144" t="s">
        <v>216</v>
      </c>
      <c r="S31" s="144"/>
      <c r="T31" s="144"/>
      <c r="U31" s="144"/>
      <c r="V31" s="132" t="s">
        <v>182</v>
      </c>
      <c r="W31" s="63" t="s">
        <v>217</v>
      </c>
    </row>
    <row r="32" spans="1:25" ht="15" customHeight="1">
      <c r="A32" s="116">
        <v>31</v>
      </c>
      <c r="B32" s="116">
        <f>IF(TRIM(C32)="Test",COUNTIF($C$2:C32,"Test"),"")</f>
        <v>23</v>
      </c>
      <c r="C32" s="80" t="s">
        <v>25</v>
      </c>
      <c r="D32" s="76" t="s">
        <v>218</v>
      </c>
      <c r="E32" s="76" t="s">
        <v>27</v>
      </c>
      <c r="F32" s="87">
        <v>20260101</v>
      </c>
      <c r="G32" s="98" t="s">
        <v>219</v>
      </c>
      <c r="H32" s="76" t="s">
        <v>29</v>
      </c>
      <c r="I32" s="76" t="s">
        <v>30</v>
      </c>
      <c r="J32" s="76" t="s">
        <v>31</v>
      </c>
      <c r="K32" s="228" t="s">
        <v>32</v>
      </c>
      <c r="L32" s="105" t="s">
        <v>186</v>
      </c>
      <c r="M32" s="76" t="s">
        <v>191</v>
      </c>
      <c r="N32" s="103" t="s">
        <v>220</v>
      </c>
      <c r="O32" s="238"/>
      <c r="P32" s="78"/>
      <c r="Q32" s="231">
        <v>38.704000000000001</v>
      </c>
      <c r="R32" s="79" t="s">
        <v>221</v>
      </c>
      <c r="S32" s="79"/>
      <c r="T32" s="79"/>
      <c r="U32" s="79"/>
      <c r="V32" s="62" t="s">
        <v>38</v>
      </c>
    </row>
    <row r="33" spans="1:25" ht="15" customHeight="1">
      <c r="A33" s="116">
        <v>32</v>
      </c>
      <c r="B33" s="116">
        <f>IF(TRIM(C33)="Test",COUNTIF($C$2:C33,"Test"),"")</f>
        <v>24</v>
      </c>
      <c r="C33" s="80" t="s">
        <v>25</v>
      </c>
      <c r="D33" s="76" t="s">
        <v>222</v>
      </c>
      <c r="E33" s="76" t="s">
        <v>27</v>
      </c>
      <c r="F33" s="87">
        <v>20260101</v>
      </c>
      <c r="G33" s="98" t="s">
        <v>223</v>
      </c>
      <c r="H33" s="76" t="s">
        <v>80</v>
      </c>
      <c r="I33" s="76" t="s">
        <v>81</v>
      </c>
      <c r="J33" s="76" t="s">
        <v>59</v>
      </c>
      <c r="K33" s="228" t="s">
        <v>32</v>
      </c>
      <c r="L33" s="140" t="s">
        <v>186</v>
      </c>
      <c r="M33" s="76" t="s">
        <v>224</v>
      </c>
      <c r="N33" s="76" t="s">
        <v>225</v>
      </c>
      <c r="O33" s="238"/>
      <c r="P33" s="78"/>
      <c r="Q33" s="231">
        <v>28.143000000000001</v>
      </c>
      <c r="R33" s="144" t="s">
        <v>226</v>
      </c>
      <c r="S33" s="144"/>
      <c r="T33" s="144"/>
      <c r="U33" s="144"/>
      <c r="V33" s="142" t="s">
        <v>227</v>
      </c>
    </row>
    <row r="34" spans="1:25" ht="15" customHeight="1">
      <c r="A34" s="116">
        <v>33</v>
      </c>
      <c r="B34" s="116">
        <f>IF(TRIM(C34)="Test",COUNTIF($C$2:C34,"Test"),"")</f>
        <v>25</v>
      </c>
      <c r="C34" s="80" t="s">
        <v>25</v>
      </c>
      <c r="D34" s="76" t="s">
        <v>26</v>
      </c>
      <c r="E34" s="76" t="s">
        <v>27</v>
      </c>
      <c r="F34" s="87">
        <v>20260101</v>
      </c>
      <c r="G34" s="98" t="s">
        <v>28</v>
      </c>
      <c r="H34" s="76" t="s">
        <v>29</v>
      </c>
      <c r="I34" s="76" t="s">
        <v>30</v>
      </c>
      <c r="J34" s="76" t="s">
        <v>31</v>
      </c>
      <c r="K34" s="228" t="s">
        <v>32</v>
      </c>
      <c r="L34" s="103" t="s">
        <v>186</v>
      </c>
      <c r="M34" s="76" t="s">
        <v>228</v>
      </c>
      <c r="N34" s="104" t="s">
        <v>229</v>
      </c>
      <c r="O34" s="238"/>
      <c r="P34" s="78"/>
      <c r="Q34" s="231">
        <v>32.054000000000002</v>
      </c>
      <c r="R34" s="79" t="s">
        <v>230</v>
      </c>
      <c r="S34" s="79"/>
      <c r="T34" s="79"/>
      <c r="U34" s="79"/>
      <c r="V34" s="62" t="s">
        <v>38</v>
      </c>
    </row>
    <row r="35" spans="1:25" ht="15" customHeight="1">
      <c r="A35" s="116">
        <v>34</v>
      </c>
      <c r="B35" s="116">
        <f>IF(TRIM(C35)="Test",COUNTIF($C$2:C35,"Test"),"")</f>
        <v>26</v>
      </c>
      <c r="C35" s="80" t="s">
        <v>25</v>
      </c>
      <c r="D35" s="76" t="s">
        <v>39</v>
      </c>
      <c r="E35" s="214" t="s">
        <v>40</v>
      </c>
      <c r="F35" s="87">
        <v>20260101</v>
      </c>
      <c r="G35" s="98" t="s">
        <v>28</v>
      </c>
      <c r="H35" s="76" t="s">
        <v>29</v>
      </c>
      <c r="I35" s="76" t="s">
        <v>30</v>
      </c>
      <c r="J35" s="76" t="s">
        <v>31</v>
      </c>
      <c r="K35" s="228" t="s">
        <v>41</v>
      </c>
      <c r="L35" s="105" t="s">
        <v>186</v>
      </c>
      <c r="M35" s="105" t="s">
        <v>231</v>
      </c>
      <c r="N35" s="103" t="s">
        <v>232</v>
      </c>
      <c r="O35" s="238"/>
      <c r="P35" s="78"/>
      <c r="Q35" s="231">
        <v>36.817</v>
      </c>
      <c r="R35" s="209" t="s">
        <v>233</v>
      </c>
      <c r="S35" s="79" t="s">
        <v>234</v>
      </c>
      <c r="T35" s="217" t="s">
        <v>235</v>
      </c>
      <c r="U35" s="79" t="s">
        <v>38</v>
      </c>
      <c r="V35" s="62" t="s">
        <v>38</v>
      </c>
    </row>
    <row r="36" spans="1:25" ht="15" customHeight="1">
      <c r="A36" s="116">
        <v>35</v>
      </c>
      <c r="B36" s="116">
        <f>IF(TRIM(C36)="Test",COUNTIF($C$2:C36,"Test"),"")</f>
        <v>27</v>
      </c>
      <c r="C36" s="80" t="s">
        <v>25</v>
      </c>
      <c r="D36" s="76" t="s">
        <v>46</v>
      </c>
      <c r="E36" s="214" t="s">
        <v>39</v>
      </c>
      <c r="F36" s="87">
        <v>20260101</v>
      </c>
      <c r="G36" s="98" t="s">
        <v>47</v>
      </c>
      <c r="H36" s="76" t="s">
        <v>48</v>
      </c>
      <c r="I36" s="76" t="s">
        <v>49</v>
      </c>
      <c r="J36" s="76" t="s">
        <v>50</v>
      </c>
      <c r="K36" s="228" t="s">
        <v>32</v>
      </c>
      <c r="L36" s="105" t="s">
        <v>186</v>
      </c>
      <c r="M36" s="105" t="s">
        <v>236</v>
      </c>
      <c r="N36" s="103" t="s">
        <v>237</v>
      </c>
      <c r="O36" s="238"/>
      <c r="P36" s="78"/>
      <c r="Q36" s="231">
        <v>31.702999999999999</v>
      </c>
      <c r="R36" s="209" t="s">
        <v>238</v>
      </c>
      <c r="S36" s="79" t="s">
        <v>239</v>
      </c>
      <c r="T36" s="79" t="s">
        <v>240</v>
      </c>
      <c r="U36" s="79" t="s">
        <v>38</v>
      </c>
      <c r="V36" s="62" t="s">
        <v>38</v>
      </c>
    </row>
    <row r="37" spans="1:25" ht="15" customHeight="1">
      <c r="A37" s="116">
        <v>36</v>
      </c>
      <c r="B37" s="116">
        <f>IF(TRIM(C37)="Test",COUNTIF($C$2:C37,"Test"),"")</f>
        <v>28</v>
      </c>
      <c r="C37" s="80" t="s">
        <v>25</v>
      </c>
      <c r="D37" s="76" t="s">
        <v>56</v>
      </c>
      <c r="E37" s="76" t="s">
        <v>27</v>
      </c>
      <c r="F37" s="87">
        <v>20260101</v>
      </c>
      <c r="G37" s="98" t="s">
        <v>57</v>
      </c>
      <c r="H37" s="76" t="s">
        <v>29</v>
      </c>
      <c r="I37" s="76" t="s">
        <v>58</v>
      </c>
      <c r="J37" s="76" t="s">
        <v>59</v>
      </c>
      <c r="K37" s="228" t="s">
        <v>41</v>
      </c>
      <c r="L37" s="105" t="s">
        <v>186</v>
      </c>
      <c r="M37" s="76" t="s">
        <v>191</v>
      </c>
      <c r="N37" s="103" t="s">
        <v>241</v>
      </c>
      <c r="O37" s="238"/>
      <c r="P37" s="78"/>
      <c r="Q37" s="231">
        <v>34.524000000000001</v>
      </c>
      <c r="R37" s="79" t="s">
        <v>242</v>
      </c>
      <c r="S37" s="79"/>
      <c r="T37" s="79"/>
      <c r="U37" s="79"/>
      <c r="V37" s="63" t="s">
        <v>38</v>
      </c>
    </row>
    <row r="38" spans="1:25" ht="15" customHeight="1">
      <c r="A38" s="116">
        <v>37</v>
      </c>
      <c r="B38" s="116">
        <f>IF(TRIM(C38)="Test",COUNTIF($C$2:C38,"Test"),"")</f>
        <v>29</v>
      </c>
      <c r="C38" s="80" t="s">
        <v>25</v>
      </c>
      <c r="D38" s="76" t="s">
        <v>40</v>
      </c>
      <c r="E38" s="76" t="s">
        <v>27</v>
      </c>
      <c r="F38" s="87">
        <v>20260101</v>
      </c>
      <c r="G38" s="98" t="s">
        <v>62</v>
      </c>
      <c r="H38" s="76" t="s">
        <v>48</v>
      </c>
      <c r="I38" s="76" t="s">
        <v>49</v>
      </c>
      <c r="J38" s="76" t="s">
        <v>63</v>
      </c>
      <c r="K38" s="228" t="s">
        <v>32</v>
      </c>
      <c r="L38" s="105" t="s">
        <v>186</v>
      </c>
      <c r="M38" s="76" t="s">
        <v>191</v>
      </c>
      <c r="N38" s="103" t="s">
        <v>243</v>
      </c>
      <c r="O38" s="238"/>
      <c r="P38" s="78"/>
      <c r="Q38" s="231">
        <v>32.326999999999998</v>
      </c>
      <c r="R38" s="79" t="s">
        <v>244</v>
      </c>
      <c r="S38" s="79"/>
      <c r="T38" s="79"/>
      <c r="U38" s="79"/>
      <c r="V38" s="62" t="s">
        <v>38</v>
      </c>
    </row>
    <row r="39" spans="1:25" ht="15" customHeight="1">
      <c r="A39" s="116">
        <v>38</v>
      </c>
      <c r="B39" s="116">
        <f>IF(TRIM(C39)="Test",COUNTIF($C$2:C39,"Test"),"")</f>
        <v>30</v>
      </c>
      <c r="C39" s="80" t="s">
        <v>25</v>
      </c>
      <c r="D39" s="76" t="s">
        <v>70</v>
      </c>
      <c r="E39" s="76" t="s">
        <v>27</v>
      </c>
      <c r="F39" s="87">
        <v>20260101</v>
      </c>
      <c r="G39" s="98" t="s">
        <v>62</v>
      </c>
      <c r="H39" s="76" t="s">
        <v>48</v>
      </c>
      <c r="I39" s="76" t="s">
        <v>49</v>
      </c>
      <c r="J39" s="76" t="s">
        <v>63</v>
      </c>
      <c r="K39" s="228" t="s">
        <v>41</v>
      </c>
      <c r="L39" s="105" t="s">
        <v>186</v>
      </c>
      <c r="M39" s="216" t="s">
        <v>231</v>
      </c>
      <c r="N39" s="103" t="s">
        <v>245</v>
      </c>
      <c r="O39" s="238"/>
      <c r="P39" s="78"/>
      <c r="Q39" s="231">
        <v>29.617999999999999</v>
      </c>
      <c r="R39" s="79" t="s">
        <v>246</v>
      </c>
      <c r="S39" s="79"/>
      <c r="T39" s="79"/>
      <c r="U39" s="79"/>
      <c r="V39" s="62" t="s">
        <v>38</v>
      </c>
    </row>
    <row r="40" spans="1:25" ht="15" customHeight="1">
      <c r="A40" s="116">
        <v>39</v>
      </c>
      <c r="B40" s="116">
        <f>IF(TRIM(C40)="Test",COUNTIF($C$2:C40,"Test"),"")</f>
        <v>31</v>
      </c>
      <c r="C40" s="80" t="s">
        <v>25</v>
      </c>
      <c r="D40" s="76" t="s">
        <v>74</v>
      </c>
      <c r="E40" s="76" t="s">
        <v>27</v>
      </c>
      <c r="F40" s="87">
        <v>20260101</v>
      </c>
      <c r="G40" s="98" t="s">
        <v>75</v>
      </c>
      <c r="H40" s="76" t="s">
        <v>29</v>
      </c>
      <c r="I40" s="76" t="s">
        <v>30</v>
      </c>
      <c r="J40" s="76" t="s">
        <v>31</v>
      </c>
      <c r="K40" s="228" t="s">
        <v>32</v>
      </c>
      <c r="L40" s="105" t="s">
        <v>186</v>
      </c>
      <c r="M40" s="216" t="s">
        <v>247</v>
      </c>
      <c r="N40" s="103" t="s">
        <v>248</v>
      </c>
      <c r="O40" s="238"/>
      <c r="P40" s="78"/>
      <c r="Q40" s="231">
        <v>35.652000000000001</v>
      </c>
      <c r="R40" s="79" t="s">
        <v>249</v>
      </c>
      <c r="S40" s="79"/>
      <c r="T40" s="79"/>
      <c r="U40" s="79"/>
      <c r="V40" s="62" t="s">
        <v>38</v>
      </c>
    </row>
    <row r="41" spans="1:25" ht="15" customHeight="1">
      <c r="A41" s="116">
        <v>40</v>
      </c>
      <c r="B41" s="116">
        <f>IF(TRIM(C41)="Test",COUNTIF($C$2:C41,"Test"),"")</f>
        <v>32</v>
      </c>
      <c r="C41" s="80" t="s">
        <v>25</v>
      </c>
      <c r="D41" s="76" t="s">
        <v>78</v>
      </c>
      <c r="E41" s="76" t="s">
        <v>27</v>
      </c>
      <c r="F41" s="87">
        <v>20260101</v>
      </c>
      <c r="G41" s="98" t="s">
        <v>79</v>
      </c>
      <c r="H41" s="76" t="s">
        <v>80</v>
      </c>
      <c r="I41" s="76" t="s">
        <v>81</v>
      </c>
      <c r="J41" s="76" t="s">
        <v>31</v>
      </c>
      <c r="K41" s="228" t="s">
        <v>41</v>
      </c>
      <c r="L41" s="140" t="s">
        <v>186</v>
      </c>
      <c r="M41" s="140" t="s">
        <v>250</v>
      </c>
      <c r="N41" s="140" t="s">
        <v>251</v>
      </c>
      <c r="O41" s="238"/>
      <c r="P41" s="78"/>
      <c r="Q41" s="231">
        <v>33.468000000000004</v>
      </c>
      <c r="R41" s="144" t="s">
        <v>252</v>
      </c>
      <c r="S41" s="144"/>
      <c r="T41" s="144"/>
      <c r="U41" s="144"/>
      <c r="V41" s="142" t="s">
        <v>227</v>
      </c>
    </row>
    <row r="42" spans="1:25" ht="15" customHeight="1">
      <c r="A42" s="116">
        <v>41</v>
      </c>
      <c r="B42" s="116">
        <f>IF(TRIM(C42)="Test",COUNTIF($C$2:C42,"Test"),"")</f>
        <v>33</v>
      </c>
      <c r="C42" s="80" t="s">
        <v>25</v>
      </c>
      <c r="D42" s="76" t="s">
        <v>86</v>
      </c>
      <c r="E42" s="76" t="s">
        <v>27</v>
      </c>
      <c r="F42" s="87">
        <v>20260101</v>
      </c>
      <c r="G42" s="98" t="s">
        <v>87</v>
      </c>
      <c r="H42" s="76" t="s">
        <v>48</v>
      </c>
      <c r="I42" s="76" t="s">
        <v>81</v>
      </c>
      <c r="J42" s="76" t="s">
        <v>50</v>
      </c>
      <c r="K42" s="228" t="s">
        <v>32</v>
      </c>
      <c r="L42" s="105" t="s">
        <v>186</v>
      </c>
      <c r="M42" s="105" t="s">
        <v>191</v>
      </c>
      <c r="N42" s="103" t="s">
        <v>253</v>
      </c>
      <c r="O42" s="238"/>
      <c r="P42" s="78"/>
      <c r="Q42" s="231">
        <v>25.102</v>
      </c>
      <c r="R42" s="79" t="s">
        <v>254</v>
      </c>
      <c r="S42" s="79"/>
      <c r="T42" s="79"/>
      <c r="U42" s="79"/>
      <c r="V42" s="62" t="s">
        <v>38</v>
      </c>
    </row>
    <row r="43" spans="1:25" ht="15" customHeight="1">
      <c r="A43" s="116">
        <v>42</v>
      </c>
      <c r="B43" s="116">
        <f>IF(TRIM(C43)="Test",COUNTIF($C$2:C43,"Test"),"")</f>
        <v>34</v>
      </c>
      <c r="C43" s="80" t="s">
        <v>25</v>
      </c>
      <c r="D43" s="76" t="s">
        <v>90</v>
      </c>
      <c r="E43" s="76" t="s">
        <v>27</v>
      </c>
      <c r="F43" s="87">
        <v>20260101</v>
      </c>
      <c r="G43" s="98" t="s">
        <v>91</v>
      </c>
      <c r="H43" s="76" t="s">
        <v>29</v>
      </c>
      <c r="I43" s="76" t="s">
        <v>92</v>
      </c>
      <c r="J43" s="76" t="s">
        <v>59</v>
      </c>
      <c r="K43" s="228" t="s">
        <v>32</v>
      </c>
      <c r="L43" s="105" t="s">
        <v>186</v>
      </c>
      <c r="M43" s="105" t="s">
        <v>236</v>
      </c>
      <c r="N43" s="103" t="s">
        <v>255</v>
      </c>
      <c r="O43" s="238"/>
      <c r="P43" s="78"/>
      <c r="Q43" s="231">
        <v>42.668999999999997</v>
      </c>
      <c r="R43" s="79" t="s">
        <v>256</v>
      </c>
      <c r="S43" s="79"/>
      <c r="T43" s="79"/>
      <c r="U43" s="79"/>
      <c r="V43" s="62" t="s">
        <v>38</v>
      </c>
    </row>
    <row r="44" spans="1:25" ht="15" customHeight="1">
      <c r="A44" s="116">
        <v>43</v>
      </c>
      <c r="B44" s="116">
        <f>IF(TRIM(C44)="Test",COUNTIF($C$2:C44,"Test"),"")</f>
        <v>35</v>
      </c>
      <c r="C44" s="80" t="s">
        <v>25</v>
      </c>
      <c r="D44" s="76" t="s">
        <v>95</v>
      </c>
      <c r="E44" s="76" t="s">
        <v>27</v>
      </c>
      <c r="F44" s="87">
        <v>20260101</v>
      </c>
      <c r="G44" s="98" t="s">
        <v>96</v>
      </c>
      <c r="H44" s="76" t="s">
        <v>48</v>
      </c>
      <c r="I44" s="76" t="s">
        <v>97</v>
      </c>
      <c r="J44" s="76" t="s">
        <v>98</v>
      </c>
      <c r="K44" s="228" t="s">
        <v>32</v>
      </c>
      <c r="L44" s="140" t="s">
        <v>186</v>
      </c>
      <c r="M44" s="140" t="s">
        <v>236</v>
      </c>
      <c r="N44" s="140" t="s">
        <v>257</v>
      </c>
      <c r="O44" s="238"/>
      <c r="P44" s="78"/>
      <c r="Q44" s="231">
        <v>21.018999999999998</v>
      </c>
      <c r="R44" s="144" t="s">
        <v>258</v>
      </c>
      <c r="S44" s="144"/>
      <c r="T44" s="144"/>
      <c r="U44" s="144"/>
      <c r="V44" s="148" t="s">
        <v>259</v>
      </c>
      <c r="W44" s="63" t="s">
        <v>260</v>
      </c>
    </row>
    <row r="45" spans="1:25" ht="17.25" customHeight="1">
      <c r="A45" s="116">
        <v>44</v>
      </c>
      <c r="B45" s="116">
        <f>IF(TRIM(C45)="Test",COUNTIF($C$2:C45,"Test"),"")</f>
        <v>36</v>
      </c>
      <c r="C45" s="80" t="s">
        <v>25</v>
      </c>
      <c r="D45" s="76" t="s">
        <v>101</v>
      </c>
      <c r="E45" s="76" t="s">
        <v>27</v>
      </c>
      <c r="F45" s="87">
        <v>20260101</v>
      </c>
      <c r="G45" s="98" t="s">
        <v>102</v>
      </c>
      <c r="H45" s="76" t="s">
        <v>29</v>
      </c>
      <c r="I45" s="76" t="s">
        <v>103</v>
      </c>
      <c r="J45" s="76" t="s">
        <v>31</v>
      </c>
      <c r="K45" s="228" t="s">
        <v>32</v>
      </c>
      <c r="L45" s="140" t="s">
        <v>186</v>
      </c>
      <c r="M45" s="76" t="s">
        <v>261</v>
      </c>
      <c r="N45" s="140" t="s">
        <v>262</v>
      </c>
      <c r="O45" s="238"/>
      <c r="P45" s="78"/>
      <c r="Q45" s="231">
        <v>47.926000000000002</v>
      </c>
      <c r="R45" s="144" t="s">
        <v>263</v>
      </c>
      <c r="S45" s="144"/>
      <c r="T45" s="144"/>
      <c r="U45" s="144"/>
      <c r="V45" s="150" t="s">
        <v>264</v>
      </c>
      <c r="W45" s="63" t="s">
        <v>265</v>
      </c>
      <c r="Y45" s="62" t="s">
        <v>266</v>
      </c>
    </row>
    <row r="46" spans="1:25" ht="15" customHeight="1">
      <c r="A46" s="116">
        <v>45</v>
      </c>
      <c r="B46" s="116">
        <f>IF(TRIM(C46)="Test",COUNTIF($C$2:C46,"Test"),"")</f>
        <v>37</v>
      </c>
      <c r="C46" s="80" t="s">
        <v>25</v>
      </c>
      <c r="D46" s="76" t="s">
        <v>108</v>
      </c>
      <c r="E46" s="76" t="s">
        <v>27</v>
      </c>
      <c r="F46" s="87">
        <v>20260101</v>
      </c>
      <c r="G46" s="98" t="s">
        <v>109</v>
      </c>
      <c r="H46" s="76" t="s">
        <v>48</v>
      </c>
      <c r="I46" s="76" t="s">
        <v>81</v>
      </c>
      <c r="J46" s="76" t="s">
        <v>98</v>
      </c>
      <c r="K46" s="228" t="s">
        <v>32</v>
      </c>
      <c r="L46" s="140" t="s">
        <v>186</v>
      </c>
      <c r="M46" s="140" t="s">
        <v>236</v>
      </c>
      <c r="N46" s="140" t="s">
        <v>267</v>
      </c>
      <c r="O46" s="238"/>
      <c r="P46" s="78"/>
      <c r="Q46" s="231">
        <v>16.027000000000001</v>
      </c>
      <c r="R46" s="144" t="s">
        <v>268</v>
      </c>
      <c r="S46" s="144"/>
      <c r="T46" s="144"/>
      <c r="U46" s="144"/>
      <c r="V46" s="148" t="s">
        <v>269</v>
      </c>
      <c r="W46" s="63" t="s">
        <v>260</v>
      </c>
    </row>
    <row r="47" spans="1:25" ht="15" customHeight="1">
      <c r="A47" s="116">
        <v>46</v>
      </c>
      <c r="B47" s="116">
        <f>IF(TRIM(C47)="Test",COUNTIF($C$2:C47,"Test"),"")</f>
        <v>38</v>
      </c>
      <c r="C47" s="80" t="s">
        <v>25</v>
      </c>
      <c r="D47" s="76" t="s">
        <v>112</v>
      </c>
      <c r="E47" s="76" t="s">
        <v>27</v>
      </c>
      <c r="F47" s="87">
        <v>20260101</v>
      </c>
      <c r="G47" s="98" t="s">
        <v>113</v>
      </c>
      <c r="H47" s="76" t="s">
        <v>48</v>
      </c>
      <c r="I47" s="76" t="s">
        <v>49</v>
      </c>
      <c r="J47" s="76" t="s">
        <v>98</v>
      </c>
      <c r="K47" s="228" t="s">
        <v>32</v>
      </c>
      <c r="L47" s="140" t="s">
        <v>186</v>
      </c>
      <c r="M47" s="140" t="s">
        <v>236</v>
      </c>
      <c r="N47" s="140" t="s">
        <v>270</v>
      </c>
      <c r="O47" s="238"/>
      <c r="P47" s="78"/>
      <c r="Q47" s="231">
        <v>30.742999999999999</v>
      </c>
      <c r="R47" s="144" t="s">
        <v>271</v>
      </c>
      <c r="S47" s="144"/>
      <c r="T47" s="144"/>
      <c r="U47" s="144"/>
      <c r="V47" s="148" t="s">
        <v>175</v>
      </c>
      <c r="W47" s="63" t="s">
        <v>272</v>
      </c>
    </row>
    <row r="48" spans="1:25" s="142" customFormat="1" ht="15" customHeight="1">
      <c r="A48" s="203">
        <v>47</v>
      </c>
      <c r="B48" s="203">
        <f>IF(TRIM(C48)="Test",COUNTIF($C$2:C48,"Test"),"")</f>
        <v>39</v>
      </c>
      <c r="C48" s="204" t="s">
        <v>25</v>
      </c>
      <c r="D48" s="205" t="s">
        <v>118</v>
      </c>
      <c r="E48" s="215" t="s">
        <v>112</v>
      </c>
      <c r="F48" s="206">
        <v>20260101</v>
      </c>
      <c r="G48" s="98" t="s">
        <v>119</v>
      </c>
      <c r="H48" s="76" t="s">
        <v>29</v>
      </c>
      <c r="I48" s="76" t="s">
        <v>92</v>
      </c>
      <c r="J48" s="76" t="s">
        <v>31</v>
      </c>
      <c r="K48" s="228" t="s">
        <v>41</v>
      </c>
      <c r="L48" s="207" t="s">
        <v>186</v>
      </c>
      <c r="M48" s="207" t="s">
        <v>236</v>
      </c>
      <c r="N48" s="207" t="s">
        <v>273</v>
      </c>
      <c r="O48" s="238"/>
      <c r="P48" s="78"/>
      <c r="Q48" s="231">
        <v>47.052</v>
      </c>
      <c r="R48" s="208" t="s">
        <v>274</v>
      </c>
      <c r="S48" s="208"/>
      <c r="T48" s="218" t="s">
        <v>275</v>
      </c>
      <c r="U48" s="210" t="s">
        <v>276</v>
      </c>
      <c r="V48" s="148" t="s">
        <v>277</v>
      </c>
      <c r="W48" s="63" t="s">
        <v>278</v>
      </c>
      <c r="X48" s="62"/>
      <c r="Y48" s="62"/>
    </row>
    <row r="49" spans="1:25" ht="15" customHeight="1">
      <c r="A49" s="116">
        <v>48</v>
      </c>
      <c r="B49" s="116">
        <f>IF(TRIM(C49)="Test",COUNTIF($C$2:C49,"Test"),"")</f>
        <v>40</v>
      </c>
      <c r="C49" s="80" t="s">
        <v>25</v>
      </c>
      <c r="D49" s="76" t="s">
        <v>124</v>
      </c>
      <c r="E49" s="76" t="s">
        <v>27</v>
      </c>
      <c r="F49" s="87">
        <v>20260101</v>
      </c>
      <c r="G49" s="98" t="s">
        <v>125</v>
      </c>
      <c r="H49" s="76" t="s">
        <v>48</v>
      </c>
      <c r="I49" s="76" t="s">
        <v>49</v>
      </c>
      <c r="J49" s="76" t="s">
        <v>50</v>
      </c>
      <c r="K49" s="228" t="s">
        <v>41</v>
      </c>
      <c r="L49" s="105" t="s">
        <v>186</v>
      </c>
      <c r="M49" s="105" t="s">
        <v>279</v>
      </c>
      <c r="N49" s="103" t="s">
        <v>280</v>
      </c>
      <c r="O49" s="238"/>
      <c r="P49" s="78"/>
      <c r="Q49" s="231">
        <v>16.744</v>
      </c>
      <c r="R49" s="79" t="s">
        <v>281</v>
      </c>
      <c r="S49" s="79"/>
      <c r="T49" s="79"/>
      <c r="U49" s="79"/>
      <c r="V49" s="62" t="s">
        <v>38</v>
      </c>
    </row>
    <row r="50" spans="1:25" ht="15" customHeight="1">
      <c r="A50" s="116">
        <v>49</v>
      </c>
      <c r="B50" s="116">
        <f>IF(TRIM(C50)="Test",COUNTIF($C$2:C50,"Test"),"")</f>
        <v>41</v>
      </c>
      <c r="C50" s="80" t="s">
        <v>25</v>
      </c>
      <c r="D50" s="76" t="s">
        <v>128</v>
      </c>
      <c r="E50" s="76" t="s">
        <v>27</v>
      </c>
      <c r="F50" s="87">
        <v>20260101</v>
      </c>
      <c r="G50" s="98" t="s">
        <v>129</v>
      </c>
      <c r="H50" s="76" t="s">
        <v>48</v>
      </c>
      <c r="I50" s="76" t="s">
        <v>49</v>
      </c>
      <c r="J50" s="76" t="s">
        <v>63</v>
      </c>
      <c r="K50" s="228" t="s">
        <v>32</v>
      </c>
      <c r="L50" s="105" t="s">
        <v>186</v>
      </c>
      <c r="M50" s="105" t="s">
        <v>279</v>
      </c>
      <c r="N50" s="103" t="s">
        <v>282</v>
      </c>
      <c r="O50" s="238"/>
      <c r="P50" s="78"/>
      <c r="Q50" s="231">
        <v>30.562000000000001</v>
      </c>
      <c r="R50" s="79" t="s">
        <v>283</v>
      </c>
      <c r="S50" s="79"/>
      <c r="T50" s="79"/>
      <c r="U50" s="79"/>
      <c r="V50" s="62" t="s">
        <v>38</v>
      </c>
    </row>
    <row r="51" spans="1:25" ht="15" customHeight="1">
      <c r="A51" s="116">
        <v>50</v>
      </c>
      <c r="B51" s="116">
        <f>IF(TRIM(C51)="Test",COUNTIF($C$2:C51,"Test"),"")</f>
        <v>42</v>
      </c>
      <c r="C51" s="80" t="s">
        <v>25</v>
      </c>
      <c r="D51" s="76" t="s">
        <v>134</v>
      </c>
      <c r="E51" s="76" t="s">
        <v>27</v>
      </c>
      <c r="F51" s="87">
        <v>20260101</v>
      </c>
      <c r="G51" s="98" t="s">
        <v>135</v>
      </c>
      <c r="H51" s="76" t="s">
        <v>29</v>
      </c>
      <c r="I51" s="76" t="s">
        <v>30</v>
      </c>
      <c r="J51" s="76" t="s">
        <v>31</v>
      </c>
      <c r="K51" s="228" t="s">
        <v>32</v>
      </c>
      <c r="L51" s="105" t="s">
        <v>186</v>
      </c>
      <c r="M51" s="76" t="s">
        <v>191</v>
      </c>
      <c r="N51" s="103" t="s">
        <v>284</v>
      </c>
      <c r="O51" s="238"/>
      <c r="P51" s="78"/>
      <c r="Q51" s="231">
        <v>31.808</v>
      </c>
      <c r="R51" s="79" t="s">
        <v>285</v>
      </c>
      <c r="S51" s="79"/>
      <c r="T51" s="79"/>
      <c r="U51" s="79"/>
      <c r="V51" s="62" t="s">
        <v>38</v>
      </c>
    </row>
    <row r="52" spans="1:25" ht="15" customHeight="1">
      <c r="A52" s="116">
        <v>51</v>
      </c>
      <c r="B52" s="116">
        <f>IF(TRIM(C52)="Test",COUNTIF($C$2:C52,"Test"),"")</f>
        <v>43</v>
      </c>
      <c r="C52" s="80" t="s">
        <v>25</v>
      </c>
      <c r="D52" s="76" t="s">
        <v>140</v>
      </c>
      <c r="E52" s="76" t="s">
        <v>27</v>
      </c>
      <c r="F52" s="87">
        <v>20260101</v>
      </c>
      <c r="G52" s="98" t="s">
        <v>141</v>
      </c>
      <c r="H52" s="76" t="s">
        <v>142</v>
      </c>
      <c r="I52" s="76" t="s">
        <v>58</v>
      </c>
      <c r="J52" s="76" t="s">
        <v>59</v>
      </c>
      <c r="K52" s="228"/>
      <c r="L52" s="140" t="s">
        <v>186</v>
      </c>
      <c r="M52" s="76" t="s">
        <v>191</v>
      </c>
      <c r="N52" s="140" t="s">
        <v>286</v>
      </c>
      <c r="O52" s="238"/>
      <c r="P52" s="78"/>
      <c r="Q52" s="231">
        <v>28.49</v>
      </c>
      <c r="R52" s="144" t="s">
        <v>287</v>
      </c>
      <c r="S52" s="144"/>
      <c r="T52" s="144"/>
      <c r="U52" s="144"/>
      <c r="V52" s="142" t="s">
        <v>288</v>
      </c>
      <c r="W52" s="63" t="s">
        <v>289</v>
      </c>
    </row>
    <row r="53" spans="1:25" ht="15" customHeight="1">
      <c r="A53" s="116">
        <v>52</v>
      </c>
      <c r="B53" s="168">
        <f>IF(TRIM(C53)="Test",COUNTIF($C$2:C53,"Test"),"")</f>
        <v>44</v>
      </c>
      <c r="C53" s="80" t="s">
        <v>25</v>
      </c>
      <c r="D53" s="76" t="s">
        <v>145</v>
      </c>
      <c r="E53" s="214" t="s">
        <v>140</v>
      </c>
      <c r="F53" s="87">
        <v>20260101</v>
      </c>
      <c r="G53" s="98" t="s">
        <v>146</v>
      </c>
      <c r="H53" s="76" t="s">
        <v>147</v>
      </c>
      <c r="I53" s="76" t="s">
        <v>148</v>
      </c>
      <c r="J53" s="76" t="s">
        <v>31</v>
      </c>
      <c r="K53" s="228"/>
      <c r="L53" s="140" t="s">
        <v>186</v>
      </c>
      <c r="M53" s="76" t="s">
        <v>191</v>
      </c>
      <c r="N53" s="140" t="s">
        <v>290</v>
      </c>
      <c r="O53" s="238"/>
      <c r="P53" s="78"/>
      <c r="Q53" s="231">
        <v>36.927</v>
      </c>
      <c r="R53" s="213" t="s">
        <v>291</v>
      </c>
      <c r="S53" s="144"/>
      <c r="T53" s="144" t="s">
        <v>292</v>
      </c>
      <c r="U53" s="79" t="s">
        <v>38</v>
      </c>
      <c r="V53" s="133" t="s">
        <v>293</v>
      </c>
      <c r="W53" s="63" t="s">
        <v>294</v>
      </c>
    </row>
    <row r="54" spans="1:25" ht="15" customHeight="1">
      <c r="A54" s="116">
        <v>53</v>
      </c>
      <c r="B54" s="116">
        <f>IF(TRIM(C54)="Test",COUNTIF($C$2:C54,"Test"),"")</f>
        <v>45</v>
      </c>
      <c r="C54" s="80" t="s">
        <v>25</v>
      </c>
      <c r="D54" s="76" t="s">
        <v>153</v>
      </c>
      <c r="E54" s="201" t="s">
        <v>154</v>
      </c>
      <c r="F54" s="87">
        <v>20260101</v>
      </c>
      <c r="G54" s="98" t="s">
        <v>155</v>
      </c>
      <c r="H54" s="76" t="s">
        <v>29</v>
      </c>
      <c r="I54" s="76" t="s">
        <v>30</v>
      </c>
      <c r="J54" s="76" t="s">
        <v>31</v>
      </c>
      <c r="K54" s="228" t="s">
        <v>32</v>
      </c>
      <c r="L54" s="105" t="s">
        <v>186</v>
      </c>
      <c r="M54" s="76" t="s">
        <v>191</v>
      </c>
      <c r="N54" s="103" t="s">
        <v>295</v>
      </c>
      <c r="O54" s="238"/>
      <c r="P54" s="78"/>
      <c r="Q54" s="231">
        <v>38.820999999999998</v>
      </c>
      <c r="R54" s="209" t="s">
        <v>296</v>
      </c>
      <c r="S54" s="79"/>
      <c r="T54" s="79" t="s">
        <v>297</v>
      </c>
      <c r="U54" s="79" t="s">
        <v>38</v>
      </c>
      <c r="V54" s="62" t="s">
        <v>38</v>
      </c>
    </row>
    <row r="55" spans="1:25" ht="15" customHeight="1">
      <c r="A55" s="116">
        <v>54</v>
      </c>
      <c r="B55" s="116">
        <f>IF(TRIM(C55)="Test",COUNTIF($C$2:C55,"Test"),"")</f>
        <v>46</v>
      </c>
      <c r="C55" s="80" t="s">
        <v>25</v>
      </c>
      <c r="D55" s="76" t="s">
        <v>162</v>
      </c>
      <c r="E55" s="76" t="s">
        <v>27</v>
      </c>
      <c r="F55" s="87">
        <v>20260101</v>
      </c>
      <c r="G55" s="98" t="s">
        <v>163</v>
      </c>
      <c r="H55" s="76" t="s">
        <v>29</v>
      </c>
      <c r="I55" s="76" t="s">
        <v>164</v>
      </c>
      <c r="J55" s="76" t="s">
        <v>31</v>
      </c>
      <c r="K55" s="228" t="s">
        <v>32</v>
      </c>
      <c r="L55" s="140" t="s">
        <v>186</v>
      </c>
      <c r="M55" s="76" t="s">
        <v>191</v>
      </c>
      <c r="N55" s="140" t="s">
        <v>298</v>
      </c>
      <c r="O55" s="238"/>
      <c r="P55" s="78"/>
      <c r="Q55" s="231">
        <v>42.674999999999997</v>
      </c>
      <c r="R55" s="144" t="s">
        <v>299</v>
      </c>
      <c r="S55" s="144"/>
      <c r="T55" s="144"/>
      <c r="U55" s="144"/>
      <c r="V55" s="150" t="s">
        <v>300</v>
      </c>
      <c r="W55" s="63" t="s">
        <v>169</v>
      </c>
      <c r="Y55" s="63" t="s">
        <v>170</v>
      </c>
    </row>
    <row r="56" spans="1:25" ht="15" customHeight="1">
      <c r="A56" s="116">
        <v>55</v>
      </c>
      <c r="B56" s="116">
        <f>IF(TRIM(C56)="Test",COUNTIF($C$2:C56,"Test"),"")</f>
        <v>47</v>
      </c>
      <c r="C56" s="80" t="s">
        <v>25</v>
      </c>
      <c r="D56" s="76" t="s">
        <v>171</v>
      </c>
      <c r="E56" s="76" t="s">
        <v>27</v>
      </c>
      <c r="F56" s="87">
        <v>20260101</v>
      </c>
      <c r="G56" s="98" t="s">
        <v>172</v>
      </c>
      <c r="H56" s="76" t="s">
        <v>48</v>
      </c>
      <c r="I56" s="76" t="s">
        <v>81</v>
      </c>
      <c r="J56" s="76" t="s">
        <v>98</v>
      </c>
      <c r="K56" s="228" t="s">
        <v>32</v>
      </c>
      <c r="L56" s="105" t="s">
        <v>186</v>
      </c>
      <c r="M56" s="105" t="s">
        <v>236</v>
      </c>
      <c r="N56" s="103" t="s">
        <v>301</v>
      </c>
      <c r="O56" s="238"/>
      <c r="P56" s="78"/>
      <c r="Q56" s="231">
        <v>25.919</v>
      </c>
      <c r="R56" s="79" t="s">
        <v>302</v>
      </c>
      <c r="S56" s="79"/>
      <c r="T56" s="79"/>
      <c r="U56" s="79"/>
      <c r="V56" s="62" t="s">
        <v>38</v>
      </c>
    </row>
    <row r="57" spans="1:25" ht="15" customHeight="1">
      <c r="A57" s="116">
        <v>56</v>
      </c>
      <c r="B57" s="116">
        <f>IF(TRIM(C57)="Test",COUNTIF($C$2:C57,"Test"),"")</f>
        <v>48</v>
      </c>
      <c r="C57" s="80" t="s">
        <v>25</v>
      </c>
      <c r="D57" s="76" t="s">
        <v>177</v>
      </c>
      <c r="E57" s="76" t="s">
        <v>27</v>
      </c>
      <c r="F57" s="87">
        <v>20260101</v>
      </c>
      <c r="G57" s="98" t="s">
        <v>178</v>
      </c>
      <c r="H57" s="76" t="s">
        <v>29</v>
      </c>
      <c r="I57" s="76" t="s">
        <v>30</v>
      </c>
      <c r="J57" s="76" t="s">
        <v>31</v>
      </c>
      <c r="K57" s="228" t="s">
        <v>32</v>
      </c>
      <c r="L57" s="105" t="s">
        <v>186</v>
      </c>
      <c r="M57" s="76" t="s">
        <v>187</v>
      </c>
      <c r="N57" s="102" t="s">
        <v>303</v>
      </c>
      <c r="O57" s="238"/>
      <c r="P57" s="78"/>
      <c r="Q57" s="231">
        <v>33.372999999999998</v>
      </c>
      <c r="R57" s="79" t="s">
        <v>304</v>
      </c>
      <c r="S57" s="79"/>
      <c r="T57" s="79"/>
      <c r="U57" s="79"/>
      <c r="V57" s="62" t="s">
        <v>38</v>
      </c>
    </row>
    <row r="58" spans="1:25" ht="15" customHeight="1">
      <c r="A58" s="122">
        <v>57</v>
      </c>
      <c r="B58" s="122" t="str">
        <f>IF(TRIM(C58)="Test",COUNTIF($C$2:C58,"Test"),"")</f>
        <v/>
      </c>
      <c r="C58" s="262" t="s">
        <v>55</v>
      </c>
      <c r="D58" s="93" t="s">
        <v>184</v>
      </c>
      <c r="E58" s="93"/>
      <c r="F58" s="94">
        <v>20260101</v>
      </c>
      <c r="G58" s="76" t="s">
        <v>185</v>
      </c>
      <c r="H58" s="76" t="s">
        <v>29</v>
      </c>
      <c r="I58" s="76" t="s">
        <v>92</v>
      </c>
      <c r="J58" s="76" t="s">
        <v>31</v>
      </c>
      <c r="K58" s="76" t="s">
        <v>32</v>
      </c>
      <c r="L58" s="270" t="s">
        <v>186</v>
      </c>
      <c r="M58" s="240" t="s">
        <v>187</v>
      </c>
      <c r="N58" s="271" t="s">
        <v>305</v>
      </c>
      <c r="O58" s="77"/>
      <c r="P58" s="78"/>
      <c r="Q58" s="78">
        <v>49.793999999999997</v>
      </c>
      <c r="R58" s="264" t="s">
        <v>306</v>
      </c>
      <c r="S58" s="264"/>
      <c r="T58" s="264"/>
      <c r="U58" s="264"/>
      <c r="V58" s="62" t="s">
        <v>38</v>
      </c>
    </row>
    <row r="59" spans="1:25" ht="15" customHeight="1">
      <c r="A59" s="116">
        <v>58</v>
      </c>
      <c r="B59" s="116" t="str">
        <f>IF(TRIM(C59)="Test",COUNTIF($C$2:C59,"Test"),"")</f>
        <v/>
      </c>
      <c r="C59" s="80" t="s">
        <v>55</v>
      </c>
      <c r="D59" s="76" t="s">
        <v>154</v>
      </c>
      <c r="E59" s="76"/>
      <c r="F59" s="87">
        <v>20260101</v>
      </c>
      <c r="G59" s="76" t="s">
        <v>190</v>
      </c>
      <c r="H59" s="76" t="s">
        <v>48</v>
      </c>
      <c r="I59" s="76" t="s">
        <v>49</v>
      </c>
      <c r="J59" s="76" t="s">
        <v>98</v>
      </c>
      <c r="K59" s="76" t="s">
        <v>41</v>
      </c>
      <c r="L59" s="105" t="s">
        <v>186</v>
      </c>
      <c r="M59" s="98" t="s">
        <v>187</v>
      </c>
      <c r="N59" s="102" t="s">
        <v>307</v>
      </c>
      <c r="O59" s="77"/>
      <c r="P59" s="78"/>
      <c r="Q59" s="78">
        <v>22.433</v>
      </c>
      <c r="R59" s="79" t="s">
        <v>308</v>
      </c>
      <c r="S59" s="79"/>
      <c r="T59" s="79"/>
      <c r="U59" s="79"/>
      <c r="V59" s="62" t="s">
        <v>38</v>
      </c>
    </row>
    <row r="60" spans="1:25" ht="15" customHeight="1">
      <c r="A60" s="116">
        <v>59</v>
      </c>
      <c r="B60" s="116" t="str">
        <f>IF(TRIM(C60)="Test",COUNTIF($C$2:C60,"Test"),"")</f>
        <v/>
      </c>
      <c r="C60" s="80" t="s">
        <v>55</v>
      </c>
      <c r="D60" s="76" t="s">
        <v>194</v>
      </c>
      <c r="E60" s="76"/>
      <c r="F60" s="87">
        <v>20260101</v>
      </c>
      <c r="G60" s="76" t="s">
        <v>195</v>
      </c>
      <c r="H60" s="76" t="s">
        <v>48</v>
      </c>
      <c r="I60" s="76" t="s">
        <v>81</v>
      </c>
      <c r="J60" s="76" t="s">
        <v>63</v>
      </c>
      <c r="K60" s="76" t="s">
        <v>32</v>
      </c>
      <c r="L60" s="140" t="s">
        <v>186</v>
      </c>
      <c r="M60" s="98" t="s">
        <v>187</v>
      </c>
      <c r="N60" s="76" t="s">
        <v>309</v>
      </c>
      <c r="O60" s="77"/>
      <c r="P60" s="78"/>
      <c r="Q60" s="78">
        <v>26.315999999999999</v>
      </c>
      <c r="R60" s="144" t="s">
        <v>310</v>
      </c>
      <c r="S60" s="144"/>
      <c r="T60" s="144"/>
      <c r="U60" s="144"/>
      <c r="V60" s="143" t="s">
        <v>311</v>
      </c>
      <c r="W60" s="63" t="s">
        <v>312</v>
      </c>
    </row>
    <row r="61" spans="1:25" ht="15" customHeight="1">
      <c r="A61" s="116">
        <v>60</v>
      </c>
      <c r="B61" s="116" t="str">
        <f>IF(TRIM(C61)="Test",COUNTIF($C$2:C61,"Test"),"")</f>
        <v/>
      </c>
      <c r="C61" s="80" t="s">
        <v>55</v>
      </c>
      <c r="D61" s="76" t="s">
        <v>200</v>
      </c>
      <c r="E61" s="76"/>
      <c r="F61" s="87">
        <v>20260101</v>
      </c>
      <c r="G61" s="76" t="s">
        <v>201</v>
      </c>
      <c r="H61" s="76" t="s">
        <v>48</v>
      </c>
      <c r="I61" s="76" t="s">
        <v>81</v>
      </c>
      <c r="J61" s="76" t="s">
        <v>98</v>
      </c>
      <c r="K61" s="76" t="s">
        <v>32</v>
      </c>
      <c r="L61" s="140" t="s">
        <v>186</v>
      </c>
      <c r="M61" s="98" t="s">
        <v>313</v>
      </c>
      <c r="N61" s="76" t="s">
        <v>314</v>
      </c>
      <c r="O61" s="77"/>
      <c r="P61" s="78"/>
      <c r="Q61" s="78">
        <v>29.847999999999999</v>
      </c>
      <c r="R61" s="144" t="s">
        <v>315</v>
      </c>
      <c r="S61" s="144"/>
      <c r="T61" s="144"/>
      <c r="U61" s="144"/>
      <c r="V61" s="143" t="s">
        <v>316</v>
      </c>
      <c r="W61" s="63" t="s">
        <v>317</v>
      </c>
    </row>
    <row r="62" spans="1:25" ht="15" customHeight="1">
      <c r="A62" s="116">
        <v>61</v>
      </c>
      <c r="B62" s="116" t="str">
        <f>IF(TRIM(C62)="Test",COUNTIF($C$2:C62,"Test"),"")</f>
        <v/>
      </c>
      <c r="C62" s="80" t="s">
        <v>55</v>
      </c>
      <c r="D62" s="76" t="s">
        <v>205</v>
      </c>
      <c r="E62" s="76"/>
      <c r="F62" s="87">
        <v>20260101</v>
      </c>
      <c r="G62" s="76" t="s">
        <v>206</v>
      </c>
      <c r="H62" s="76" t="s">
        <v>207</v>
      </c>
      <c r="I62" s="76"/>
      <c r="J62" s="76" t="s">
        <v>208</v>
      </c>
      <c r="K62" s="76" t="s">
        <v>32</v>
      </c>
      <c r="L62" s="140" t="s">
        <v>186</v>
      </c>
      <c r="M62" s="98" t="s">
        <v>187</v>
      </c>
      <c r="N62" s="76" t="s">
        <v>318</v>
      </c>
      <c r="O62" s="77"/>
      <c r="P62" s="78"/>
      <c r="Q62" s="78">
        <v>28.526</v>
      </c>
      <c r="R62" s="144" t="s">
        <v>319</v>
      </c>
      <c r="S62" s="144"/>
      <c r="T62" s="144"/>
      <c r="U62" s="144"/>
      <c r="V62" s="150" t="s">
        <v>320</v>
      </c>
      <c r="W62" s="63" t="s">
        <v>321</v>
      </c>
    </row>
    <row r="63" spans="1:25" ht="15" customHeight="1">
      <c r="A63" s="116">
        <v>62</v>
      </c>
      <c r="B63" s="116" t="str">
        <f>IF(TRIM(C63)="Test",COUNTIF($C$2:C63,"Test"),"")</f>
        <v/>
      </c>
      <c r="C63" s="80" t="s">
        <v>55</v>
      </c>
      <c r="D63" s="76" t="s">
        <v>213</v>
      </c>
      <c r="E63" s="76"/>
      <c r="F63" s="87">
        <v>20260101</v>
      </c>
      <c r="G63" s="76" t="s">
        <v>214</v>
      </c>
      <c r="H63" s="76" t="s">
        <v>29</v>
      </c>
      <c r="I63" s="76" t="s">
        <v>30</v>
      </c>
      <c r="J63" s="76" t="s">
        <v>31</v>
      </c>
      <c r="K63" s="76" t="s">
        <v>32</v>
      </c>
      <c r="L63" s="105" t="s">
        <v>186</v>
      </c>
      <c r="M63" s="98" t="s">
        <v>187</v>
      </c>
      <c r="N63" s="102" t="s">
        <v>322</v>
      </c>
      <c r="O63" s="77"/>
      <c r="P63" s="78"/>
      <c r="Q63" s="78">
        <v>40.326000000000001</v>
      </c>
      <c r="R63" s="79" t="s">
        <v>323</v>
      </c>
      <c r="S63" s="79"/>
      <c r="T63" s="79"/>
      <c r="U63" s="79"/>
      <c r="V63" s="62" t="s">
        <v>38</v>
      </c>
    </row>
    <row r="64" spans="1:25" ht="15" customHeight="1">
      <c r="A64" s="242">
        <v>63</v>
      </c>
      <c r="B64" s="242" t="str">
        <f>IF(TRIM(C64)="Test",COUNTIF($C$2:C64,"Test"),"")</f>
        <v/>
      </c>
      <c r="C64" s="91" t="s">
        <v>55</v>
      </c>
      <c r="D64" s="243" t="s">
        <v>218</v>
      </c>
      <c r="E64" s="243"/>
      <c r="F64" s="244">
        <v>20260101</v>
      </c>
      <c r="G64" s="76" t="s">
        <v>219</v>
      </c>
      <c r="H64" s="76" t="s">
        <v>29</v>
      </c>
      <c r="I64" s="76" t="s">
        <v>30</v>
      </c>
      <c r="J64" s="76" t="s">
        <v>31</v>
      </c>
      <c r="K64" s="76" t="s">
        <v>32</v>
      </c>
      <c r="L64" s="246" t="s">
        <v>324</v>
      </c>
      <c r="M64" s="99" t="s">
        <v>313</v>
      </c>
      <c r="N64" s="243" t="s">
        <v>325</v>
      </c>
      <c r="O64" s="77"/>
      <c r="P64" s="78"/>
      <c r="Q64" s="78">
        <v>58.88</v>
      </c>
      <c r="R64" s="247" t="s">
        <v>326</v>
      </c>
      <c r="S64" s="247"/>
      <c r="T64" s="247"/>
      <c r="U64" s="247"/>
      <c r="V64" s="133" t="s">
        <v>327</v>
      </c>
      <c r="W64" s="63" t="s">
        <v>328</v>
      </c>
    </row>
    <row r="65" spans="1:25" ht="15" customHeight="1">
      <c r="A65" s="116">
        <v>64</v>
      </c>
      <c r="B65" s="116">
        <f>IF(TRIM(C65)="Test",COUNTIF($C$2:C65,"Test"),"")</f>
        <v>49</v>
      </c>
      <c r="C65" s="80" t="s">
        <v>25</v>
      </c>
      <c r="D65" s="76" t="s">
        <v>222</v>
      </c>
      <c r="E65" s="214" t="s">
        <v>153</v>
      </c>
      <c r="F65" s="87">
        <v>20260101</v>
      </c>
      <c r="G65" s="98" t="s">
        <v>223</v>
      </c>
      <c r="H65" s="76" t="s">
        <v>80</v>
      </c>
      <c r="I65" s="76" t="s">
        <v>81</v>
      </c>
      <c r="J65" s="76" t="s">
        <v>59</v>
      </c>
      <c r="K65" s="228" t="s">
        <v>32</v>
      </c>
      <c r="L65" s="76" t="s">
        <v>329</v>
      </c>
      <c r="M65" s="105" t="s">
        <v>330</v>
      </c>
      <c r="N65" s="106" t="s">
        <v>331</v>
      </c>
      <c r="O65" s="238"/>
      <c r="P65" s="78"/>
      <c r="Q65" s="231">
        <v>26.196999999999999</v>
      </c>
      <c r="R65" s="209" t="s">
        <v>332</v>
      </c>
      <c r="S65" s="79"/>
      <c r="T65" s="79" t="s">
        <v>333</v>
      </c>
      <c r="U65" s="79" t="s">
        <v>38</v>
      </c>
      <c r="V65" s="62" t="s">
        <v>38</v>
      </c>
    </row>
    <row r="66" spans="1:25" ht="15" customHeight="1">
      <c r="A66" s="116">
        <v>65</v>
      </c>
      <c r="B66" s="116">
        <f>IF(TRIM(C66)="Test",COUNTIF($C$2:C66,"Test"),"")</f>
        <v>50</v>
      </c>
      <c r="C66" s="80" t="s">
        <v>25</v>
      </c>
      <c r="D66" s="76" t="s">
        <v>26</v>
      </c>
      <c r="E66" s="76" t="s">
        <v>27</v>
      </c>
      <c r="F66" s="87">
        <v>20260101</v>
      </c>
      <c r="G66" s="98" t="s">
        <v>28</v>
      </c>
      <c r="H66" s="76" t="s">
        <v>29</v>
      </c>
      <c r="I66" s="76" t="s">
        <v>30</v>
      </c>
      <c r="J66" s="76" t="s">
        <v>31</v>
      </c>
      <c r="K66" s="228" t="s">
        <v>32</v>
      </c>
      <c r="L66" s="105" t="s">
        <v>334</v>
      </c>
      <c r="M66" s="105" t="s">
        <v>335</v>
      </c>
      <c r="N66" s="103" t="s">
        <v>336</v>
      </c>
      <c r="O66" s="238"/>
      <c r="P66" s="78"/>
      <c r="Q66" s="231">
        <v>21.393999999999998</v>
      </c>
      <c r="R66" s="79" t="s">
        <v>337</v>
      </c>
      <c r="S66" s="79"/>
      <c r="T66" s="79"/>
      <c r="U66" s="79"/>
      <c r="V66" s="62" t="s">
        <v>38</v>
      </c>
    </row>
    <row r="67" spans="1:25" ht="15" customHeight="1">
      <c r="A67" s="116">
        <v>66</v>
      </c>
      <c r="B67" s="116">
        <f>IF(TRIM(C67)="Test",COUNTIF($C$2:C67,"Test"),"")</f>
        <v>51</v>
      </c>
      <c r="C67" s="80" t="s">
        <v>25</v>
      </c>
      <c r="D67" s="76" t="s">
        <v>39</v>
      </c>
      <c r="E67" s="214" t="s">
        <v>40</v>
      </c>
      <c r="F67" s="87">
        <v>20260101</v>
      </c>
      <c r="G67" s="98" t="s">
        <v>28</v>
      </c>
      <c r="H67" s="76" t="s">
        <v>29</v>
      </c>
      <c r="I67" s="76" t="s">
        <v>30</v>
      </c>
      <c r="J67" s="76" t="s">
        <v>31</v>
      </c>
      <c r="K67" s="228" t="s">
        <v>41</v>
      </c>
      <c r="L67" s="76" t="s">
        <v>334</v>
      </c>
      <c r="M67" s="105" t="s">
        <v>338</v>
      </c>
      <c r="N67" s="103" t="s">
        <v>339</v>
      </c>
      <c r="O67" s="238"/>
      <c r="P67" s="78"/>
      <c r="Q67" s="231">
        <v>40.750999999999998</v>
      </c>
      <c r="R67" s="209" t="s">
        <v>340</v>
      </c>
      <c r="S67" s="79"/>
      <c r="T67" s="217" t="s">
        <v>341</v>
      </c>
      <c r="U67" s="79" t="s">
        <v>38</v>
      </c>
      <c r="V67" s="62" t="s">
        <v>38</v>
      </c>
    </row>
    <row r="68" spans="1:25" ht="15" customHeight="1">
      <c r="A68" s="116">
        <v>67</v>
      </c>
      <c r="B68" s="116">
        <f>IF(TRIM(C68)="Test",COUNTIF($C$2:C68,"Test"),"")</f>
        <v>52</v>
      </c>
      <c r="C68" s="80" t="s">
        <v>25</v>
      </c>
      <c r="D68" s="76" t="s">
        <v>46</v>
      </c>
      <c r="E68" s="214" t="s">
        <v>39</v>
      </c>
      <c r="F68" s="87">
        <v>20260101</v>
      </c>
      <c r="G68" s="98" t="s">
        <v>47</v>
      </c>
      <c r="H68" s="76" t="s">
        <v>48</v>
      </c>
      <c r="I68" s="76" t="s">
        <v>49</v>
      </c>
      <c r="J68" s="76" t="s">
        <v>50</v>
      </c>
      <c r="K68" s="228" t="s">
        <v>32</v>
      </c>
      <c r="L68" s="105" t="s">
        <v>334</v>
      </c>
      <c r="M68" s="105" t="s">
        <v>342</v>
      </c>
      <c r="N68" s="103" t="s">
        <v>343</v>
      </c>
      <c r="O68" s="238"/>
      <c r="P68" s="78"/>
      <c r="Q68" s="231">
        <v>31.451000000000001</v>
      </c>
      <c r="R68" s="209" t="s">
        <v>344</v>
      </c>
      <c r="S68" s="79"/>
      <c r="T68" s="79" t="s">
        <v>345</v>
      </c>
      <c r="U68" s="79" t="s">
        <v>38</v>
      </c>
      <c r="V68" s="62" t="s">
        <v>38</v>
      </c>
    </row>
    <row r="69" spans="1:25" ht="15" customHeight="1">
      <c r="A69" s="116">
        <v>68</v>
      </c>
      <c r="B69" s="116">
        <f>IF(TRIM(C69)="Test",COUNTIF($C$2:C69,"Test"),"")</f>
        <v>53</v>
      </c>
      <c r="C69" s="80" t="s">
        <v>25</v>
      </c>
      <c r="D69" s="76" t="s">
        <v>56</v>
      </c>
      <c r="E69" s="76" t="s">
        <v>27</v>
      </c>
      <c r="F69" s="87">
        <v>20260101</v>
      </c>
      <c r="G69" s="98" t="s">
        <v>57</v>
      </c>
      <c r="H69" s="76" t="s">
        <v>29</v>
      </c>
      <c r="I69" s="76" t="s">
        <v>58</v>
      </c>
      <c r="J69" s="76" t="s">
        <v>59</v>
      </c>
      <c r="K69" s="228" t="s">
        <v>41</v>
      </c>
      <c r="L69" s="105" t="s">
        <v>334</v>
      </c>
      <c r="M69" s="105" t="s">
        <v>346</v>
      </c>
      <c r="N69" s="103" t="s">
        <v>347</v>
      </c>
      <c r="O69" s="238"/>
      <c r="P69" s="78"/>
      <c r="Q69" s="231">
        <v>33.677999999999997</v>
      </c>
      <c r="R69" s="79" t="s">
        <v>348</v>
      </c>
      <c r="S69" s="79"/>
      <c r="T69" s="79"/>
      <c r="U69" s="79"/>
      <c r="V69" s="63" t="s">
        <v>38</v>
      </c>
    </row>
    <row r="70" spans="1:25" ht="15" customHeight="1">
      <c r="A70" s="116">
        <v>69</v>
      </c>
      <c r="B70" s="116">
        <f>IF(TRIM(C70)="Test",COUNTIF($C$2:C70,"Test"),"")</f>
        <v>54</v>
      </c>
      <c r="C70" s="80" t="s">
        <v>25</v>
      </c>
      <c r="D70" s="76" t="s">
        <v>40</v>
      </c>
      <c r="E70" s="76" t="s">
        <v>27</v>
      </c>
      <c r="F70" s="87">
        <v>20260101</v>
      </c>
      <c r="G70" s="98" t="s">
        <v>62</v>
      </c>
      <c r="H70" s="76" t="s">
        <v>48</v>
      </c>
      <c r="I70" s="76" t="s">
        <v>49</v>
      </c>
      <c r="J70" s="76" t="s">
        <v>63</v>
      </c>
      <c r="K70" s="228" t="s">
        <v>32</v>
      </c>
      <c r="L70" s="105" t="s">
        <v>334</v>
      </c>
      <c r="M70" s="105" t="s">
        <v>349</v>
      </c>
      <c r="N70" s="103" t="s">
        <v>350</v>
      </c>
      <c r="O70" s="238"/>
      <c r="P70" s="78"/>
      <c r="Q70" s="231">
        <v>50.155999999999999</v>
      </c>
      <c r="R70" s="79" t="s">
        <v>351</v>
      </c>
      <c r="S70" s="79"/>
      <c r="T70" s="79"/>
      <c r="U70" s="79"/>
      <c r="V70" s="62" t="s">
        <v>38</v>
      </c>
    </row>
    <row r="71" spans="1:25" ht="15" customHeight="1">
      <c r="A71" s="116">
        <v>70</v>
      </c>
      <c r="B71" s="116">
        <f>IF(TRIM(C71)="Test",COUNTIF($C$2:C71,"Test"),"")</f>
        <v>55</v>
      </c>
      <c r="C71" s="80" t="s">
        <v>25</v>
      </c>
      <c r="D71" s="76" t="s">
        <v>70</v>
      </c>
      <c r="E71" s="76" t="s">
        <v>27</v>
      </c>
      <c r="F71" s="87">
        <v>20260101</v>
      </c>
      <c r="G71" s="98" t="s">
        <v>62</v>
      </c>
      <c r="H71" s="76" t="s">
        <v>48</v>
      </c>
      <c r="I71" s="76" t="s">
        <v>49</v>
      </c>
      <c r="J71" s="76" t="s">
        <v>63</v>
      </c>
      <c r="K71" s="228" t="s">
        <v>41</v>
      </c>
      <c r="L71" s="103" t="s">
        <v>334</v>
      </c>
      <c r="M71" s="76" t="s">
        <v>352</v>
      </c>
      <c r="N71" s="103" t="s">
        <v>353</v>
      </c>
      <c r="O71" s="238"/>
      <c r="P71" s="78"/>
      <c r="Q71" s="231">
        <v>18.768000000000001</v>
      </c>
      <c r="R71" s="79" t="s">
        <v>354</v>
      </c>
      <c r="S71" s="79"/>
      <c r="T71" s="79"/>
      <c r="U71" s="79"/>
      <c r="V71" s="62" t="s">
        <v>38</v>
      </c>
    </row>
    <row r="72" spans="1:25" ht="15" customHeight="1">
      <c r="A72" s="116">
        <v>71</v>
      </c>
      <c r="B72" s="116">
        <f>IF(TRIM(C72)="Test",COUNTIF($C$2:C72,"Test"),"")</f>
        <v>56</v>
      </c>
      <c r="C72" s="80" t="s">
        <v>25</v>
      </c>
      <c r="D72" s="76" t="s">
        <v>74</v>
      </c>
      <c r="E72" s="76" t="s">
        <v>27</v>
      </c>
      <c r="F72" s="87">
        <v>20260101</v>
      </c>
      <c r="G72" s="98" t="s">
        <v>75</v>
      </c>
      <c r="H72" s="76" t="s">
        <v>29</v>
      </c>
      <c r="I72" s="76" t="s">
        <v>30</v>
      </c>
      <c r="J72" s="76" t="s">
        <v>31</v>
      </c>
      <c r="K72" s="228" t="s">
        <v>32</v>
      </c>
      <c r="L72" s="103" t="s">
        <v>334</v>
      </c>
      <c r="M72" s="76" t="s">
        <v>355</v>
      </c>
      <c r="N72" s="103" t="s">
        <v>356</v>
      </c>
      <c r="O72" s="238"/>
      <c r="P72" s="78"/>
      <c r="Q72" s="231">
        <v>10.363</v>
      </c>
      <c r="R72" s="79" t="s">
        <v>357</v>
      </c>
      <c r="S72" s="79"/>
      <c r="T72" s="79"/>
      <c r="U72" s="79"/>
      <c r="V72" s="62" t="s">
        <v>38</v>
      </c>
    </row>
    <row r="73" spans="1:25" ht="15" customHeight="1">
      <c r="A73" s="116">
        <v>72</v>
      </c>
      <c r="B73" s="116">
        <f>IF(TRIM(C73)="Test",COUNTIF($C$2:C73,"Test"),"")</f>
        <v>57</v>
      </c>
      <c r="C73" s="95" t="s">
        <v>25</v>
      </c>
      <c r="D73" s="76" t="s">
        <v>78</v>
      </c>
      <c r="E73" s="76" t="s">
        <v>27</v>
      </c>
      <c r="F73" s="87">
        <v>20260101</v>
      </c>
      <c r="G73" s="98" t="s">
        <v>79</v>
      </c>
      <c r="H73" s="76" t="s">
        <v>80</v>
      </c>
      <c r="I73" s="76" t="s">
        <v>81</v>
      </c>
      <c r="J73" s="76" t="s">
        <v>31</v>
      </c>
      <c r="K73" s="228" t="s">
        <v>41</v>
      </c>
      <c r="L73" s="76" t="s">
        <v>334</v>
      </c>
      <c r="M73" s="140" t="s">
        <v>335</v>
      </c>
      <c r="N73" s="137" t="s">
        <v>358</v>
      </c>
      <c r="O73" s="238"/>
      <c r="P73" s="78"/>
      <c r="Q73" s="231">
        <v>44.716999999999999</v>
      </c>
      <c r="R73" s="144" t="s">
        <v>359</v>
      </c>
      <c r="S73" s="144"/>
      <c r="T73" s="144"/>
      <c r="U73" s="144"/>
      <c r="V73" s="142" t="s">
        <v>360</v>
      </c>
      <c r="W73" s="133"/>
    </row>
    <row r="74" spans="1:25" ht="15" customHeight="1">
      <c r="A74" s="116">
        <v>73</v>
      </c>
      <c r="B74" s="116">
        <f>IF(TRIM(C74)="Test",COUNTIF($C$2:C74,"Test"),"")</f>
        <v>58</v>
      </c>
      <c r="C74" s="80" t="s">
        <v>25</v>
      </c>
      <c r="D74" s="76" t="s">
        <v>86</v>
      </c>
      <c r="E74" s="76" t="s">
        <v>27</v>
      </c>
      <c r="F74" s="87">
        <v>20260101</v>
      </c>
      <c r="G74" s="98" t="s">
        <v>87</v>
      </c>
      <c r="H74" s="76" t="s">
        <v>48</v>
      </c>
      <c r="I74" s="76" t="s">
        <v>81</v>
      </c>
      <c r="J74" s="76" t="s">
        <v>50</v>
      </c>
      <c r="K74" s="228" t="s">
        <v>32</v>
      </c>
      <c r="L74" s="140" t="s">
        <v>334</v>
      </c>
      <c r="M74" s="219" t="s">
        <v>335</v>
      </c>
      <c r="N74" s="140" t="s">
        <v>361</v>
      </c>
      <c r="O74" s="238"/>
      <c r="P74" s="78"/>
      <c r="Q74" s="231">
        <v>30.055</v>
      </c>
      <c r="R74" s="144" t="s">
        <v>362</v>
      </c>
      <c r="S74" s="144"/>
      <c r="T74" s="144"/>
      <c r="U74" s="144"/>
      <c r="V74" s="148" t="s">
        <v>175</v>
      </c>
      <c r="W74" s="63" t="s">
        <v>363</v>
      </c>
    </row>
    <row r="75" spans="1:25" ht="15" customHeight="1">
      <c r="A75" s="116">
        <v>74</v>
      </c>
      <c r="B75" s="116">
        <f>IF(TRIM(C75)="Test",COUNTIF($C$2:C75,"Test"),"")</f>
        <v>59</v>
      </c>
      <c r="C75" s="80" t="s">
        <v>25</v>
      </c>
      <c r="D75" s="76" t="s">
        <v>90</v>
      </c>
      <c r="E75" s="76" t="s">
        <v>27</v>
      </c>
      <c r="F75" s="87">
        <v>20260101</v>
      </c>
      <c r="G75" s="98" t="s">
        <v>91</v>
      </c>
      <c r="H75" s="76" t="s">
        <v>29</v>
      </c>
      <c r="I75" s="76" t="s">
        <v>92</v>
      </c>
      <c r="J75" s="76" t="s">
        <v>59</v>
      </c>
      <c r="K75" s="228" t="s">
        <v>32</v>
      </c>
      <c r="L75" s="105" t="s">
        <v>334</v>
      </c>
      <c r="M75" s="105" t="s">
        <v>335</v>
      </c>
      <c r="N75" s="103" t="s">
        <v>364</v>
      </c>
      <c r="O75" s="238"/>
      <c r="P75" s="78"/>
      <c r="Q75" s="231">
        <v>26.231000000000002</v>
      </c>
      <c r="R75" s="79" t="s">
        <v>365</v>
      </c>
      <c r="S75" s="79"/>
      <c r="T75" s="79"/>
      <c r="U75" s="79"/>
      <c r="V75" s="62" t="s">
        <v>38</v>
      </c>
    </row>
    <row r="76" spans="1:25" ht="15" customHeight="1">
      <c r="A76" s="116">
        <v>75</v>
      </c>
      <c r="B76" s="116">
        <f>IF(TRIM(C76)="Test",COUNTIF($C$2:C76,"Test"),"")</f>
        <v>60</v>
      </c>
      <c r="C76" s="80" t="s">
        <v>25</v>
      </c>
      <c r="D76" s="76" t="s">
        <v>95</v>
      </c>
      <c r="E76" s="76" t="s">
        <v>27</v>
      </c>
      <c r="F76" s="87">
        <v>20260101</v>
      </c>
      <c r="G76" s="98" t="s">
        <v>96</v>
      </c>
      <c r="H76" s="76" t="s">
        <v>48</v>
      </c>
      <c r="I76" s="76" t="s">
        <v>97</v>
      </c>
      <c r="J76" s="76" t="s">
        <v>98</v>
      </c>
      <c r="K76" s="228" t="s">
        <v>32</v>
      </c>
      <c r="L76" s="140" t="s">
        <v>334</v>
      </c>
      <c r="M76" s="140" t="s">
        <v>346</v>
      </c>
      <c r="N76" s="140" t="s">
        <v>366</v>
      </c>
      <c r="O76" s="238"/>
      <c r="P76" s="78"/>
      <c r="Q76" s="231">
        <v>34.557000000000002</v>
      </c>
      <c r="R76" s="144" t="s">
        <v>367</v>
      </c>
      <c r="S76" s="144"/>
      <c r="T76" s="144"/>
      <c r="U76" s="144"/>
      <c r="V76" s="148" t="s">
        <v>259</v>
      </c>
      <c r="W76" s="63" t="s">
        <v>260</v>
      </c>
    </row>
    <row r="77" spans="1:25" ht="15" customHeight="1">
      <c r="A77" s="116">
        <v>76</v>
      </c>
      <c r="B77" s="116">
        <f>IF(TRIM(C77)="Test",COUNTIF($C$2:C77,"Test"),"")</f>
        <v>61</v>
      </c>
      <c r="C77" s="80" t="s">
        <v>25</v>
      </c>
      <c r="D77" s="76" t="s">
        <v>101</v>
      </c>
      <c r="E77" s="76" t="s">
        <v>27</v>
      </c>
      <c r="F77" s="87">
        <v>20260101</v>
      </c>
      <c r="G77" s="98" t="s">
        <v>102</v>
      </c>
      <c r="H77" s="76" t="s">
        <v>29</v>
      </c>
      <c r="I77" s="76" t="s">
        <v>103</v>
      </c>
      <c r="J77" s="76" t="s">
        <v>31</v>
      </c>
      <c r="K77" s="228" t="s">
        <v>32</v>
      </c>
      <c r="L77" s="140" t="s">
        <v>334</v>
      </c>
      <c r="M77" s="76" t="s">
        <v>349</v>
      </c>
      <c r="N77" s="140" t="s">
        <v>368</v>
      </c>
      <c r="O77" s="238"/>
      <c r="P77" s="78"/>
      <c r="Q77" s="231">
        <v>39.564</v>
      </c>
      <c r="R77" s="144" t="s">
        <v>369</v>
      </c>
      <c r="S77" s="144"/>
      <c r="T77" s="144"/>
      <c r="U77" s="144"/>
      <c r="V77" s="150" t="s">
        <v>370</v>
      </c>
      <c r="W77" s="63" t="s">
        <v>371</v>
      </c>
      <c r="Y77" s="63" t="s">
        <v>372</v>
      </c>
    </row>
    <row r="78" spans="1:25" ht="15" customHeight="1">
      <c r="A78" s="116">
        <v>77</v>
      </c>
      <c r="B78" s="116">
        <f>IF(TRIM(C78)="Test",COUNTIF($C$2:C78,"Test"),"")</f>
        <v>62</v>
      </c>
      <c r="C78" s="80" t="s">
        <v>25</v>
      </c>
      <c r="D78" s="76" t="s">
        <v>108</v>
      </c>
      <c r="E78" s="76" t="s">
        <v>27</v>
      </c>
      <c r="F78" s="87">
        <v>20260101</v>
      </c>
      <c r="G78" s="98" t="s">
        <v>109</v>
      </c>
      <c r="H78" s="76" t="s">
        <v>48</v>
      </c>
      <c r="I78" s="76" t="s">
        <v>81</v>
      </c>
      <c r="J78" s="76" t="s">
        <v>98</v>
      </c>
      <c r="K78" s="228" t="s">
        <v>32</v>
      </c>
      <c r="L78" s="140" t="s">
        <v>334</v>
      </c>
      <c r="M78" s="140" t="s">
        <v>335</v>
      </c>
      <c r="N78" s="140" t="s">
        <v>373</v>
      </c>
      <c r="O78" s="238"/>
      <c r="P78" s="78"/>
      <c r="Q78" s="231">
        <v>30.024000000000001</v>
      </c>
      <c r="R78" s="144" t="s">
        <v>374</v>
      </c>
      <c r="S78" s="144"/>
      <c r="T78" s="144"/>
      <c r="U78" s="144"/>
      <c r="V78" s="148" t="s">
        <v>269</v>
      </c>
      <c r="W78" s="63" t="s">
        <v>260</v>
      </c>
    </row>
    <row r="79" spans="1:25" ht="15" customHeight="1">
      <c r="A79" s="252">
        <v>78</v>
      </c>
      <c r="B79" s="252" t="str">
        <f>IF(TRIM(C79)="Test",COUNTIF($C$2:C79,"Test"),"")</f>
        <v/>
      </c>
      <c r="C79" s="253" t="s">
        <v>55</v>
      </c>
      <c r="D79" s="254" t="s">
        <v>112</v>
      </c>
      <c r="E79" s="254"/>
      <c r="F79" s="255">
        <v>20260101</v>
      </c>
      <c r="G79" s="76" t="s">
        <v>113</v>
      </c>
      <c r="H79" s="76" t="s">
        <v>48</v>
      </c>
      <c r="I79" s="76" t="s">
        <v>49</v>
      </c>
      <c r="J79" s="76" t="s">
        <v>98</v>
      </c>
      <c r="K79" s="76" t="s">
        <v>32</v>
      </c>
      <c r="L79" s="259" t="s">
        <v>334</v>
      </c>
      <c r="M79" s="164" t="s">
        <v>335</v>
      </c>
      <c r="N79" s="256" t="s">
        <v>375</v>
      </c>
      <c r="O79" s="77"/>
      <c r="P79" s="78"/>
      <c r="Q79" s="78">
        <v>29.053000000000001</v>
      </c>
      <c r="R79" s="258" t="s">
        <v>376</v>
      </c>
      <c r="S79" s="258"/>
      <c r="T79" s="258"/>
      <c r="U79" s="258"/>
      <c r="V79" s="63" t="s">
        <v>38</v>
      </c>
      <c r="Y79" s="62" t="s">
        <v>377</v>
      </c>
    </row>
    <row r="80" spans="1:25" s="142" customFormat="1" ht="15" customHeight="1">
      <c r="A80" s="203">
        <v>79</v>
      </c>
      <c r="B80" s="203">
        <f>IF(TRIM(C80)="Test",COUNTIF($C$2:C80,"Test"),"")</f>
        <v>63</v>
      </c>
      <c r="C80" s="204" t="s">
        <v>25</v>
      </c>
      <c r="D80" s="205" t="s">
        <v>118</v>
      </c>
      <c r="E80" s="215" t="s">
        <v>112</v>
      </c>
      <c r="F80" s="206">
        <v>20260101</v>
      </c>
      <c r="G80" s="98" t="s">
        <v>119</v>
      </c>
      <c r="H80" s="76" t="s">
        <v>29</v>
      </c>
      <c r="I80" s="76" t="s">
        <v>92</v>
      </c>
      <c r="J80" s="76" t="s">
        <v>31</v>
      </c>
      <c r="K80" s="228" t="s">
        <v>41</v>
      </c>
      <c r="L80" s="205" t="s">
        <v>378</v>
      </c>
      <c r="M80" s="205" t="s">
        <v>355</v>
      </c>
      <c r="N80" s="211" t="s">
        <v>379</v>
      </c>
      <c r="O80" s="238"/>
      <c r="P80" s="78"/>
      <c r="Q80" s="231">
        <v>18.838000000000001</v>
      </c>
      <c r="R80" s="212" t="s">
        <v>380</v>
      </c>
      <c r="S80" s="212"/>
      <c r="T80" s="210" t="s">
        <v>381</v>
      </c>
      <c r="U80" s="210" t="s">
        <v>276</v>
      </c>
      <c r="V80" s="62" t="s">
        <v>38</v>
      </c>
      <c r="W80" s="63"/>
      <c r="X80" s="62"/>
      <c r="Y80" s="62" t="s">
        <v>382</v>
      </c>
    </row>
    <row r="81" spans="1:25" ht="15" customHeight="1">
      <c r="A81" s="116">
        <v>80</v>
      </c>
      <c r="B81" s="116">
        <f>IF(TRIM(C81)="Test",COUNTIF($C$2:C81,"Test"),"")</f>
        <v>64</v>
      </c>
      <c r="C81" s="80" t="s">
        <v>25</v>
      </c>
      <c r="D81" s="76" t="s">
        <v>124</v>
      </c>
      <c r="E81" s="76" t="s">
        <v>27</v>
      </c>
      <c r="F81" s="87">
        <v>20260101</v>
      </c>
      <c r="G81" s="98" t="s">
        <v>125</v>
      </c>
      <c r="H81" s="76" t="s">
        <v>48</v>
      </c>
      <c r="I81" s="76" t="s">
        <v>49</v>
      </c>
      <c r="J81" s="76" t="s">
        <v>50</v>
      </c>
      <c r="K81" s="228" t="s">
        <v>41</v>
      </c>
      <c r="L81" s="103" t="s">
        <v>383</v>
      </c>
      <c r="M81" s="76" t="s">
        <v>384</v>
      </c>
      <c r="N81" s="104" t="s">
        <v>385</v>
      </c>
      <c r="O81" s="238"/>
      <c r="P81" s="78"/>
      <c r="Q81" s="231">
        <v>53.573999999999998</v>
      </c>
      <c r="R81" s="79" t="s">
        <v>386</v>
      </c>
      <c r="S81" s="79"/>
      <c r="T81" s="79"/>
      <c r="U81" s="79"/>
      <c r="V81" s="62" t="s">
        <v>38</v>
      </c>
      <c r="Y81" s="62" t="s">
        <v>387</v>
      </c>
    </row>
    <row r="82" spans="1:25" ht="15" customHeight="1">
      <c r="A82" s="116">
        <v>81</v>
      </c>
      <c r="B82" s="116">
        <f>IF(TRIM(C82)="Test",COUNTIF($C$2:C82,"Test"),"")</f>
        <v>65</v>
      </c>
      <c r="C82" s="80" t="s">
        <v>25</v>
      </c>
      <c r="D82" s="76" t="s">
        <v>128</v>
      </c>
      <c r="E82" s="76" t="s">
        <v>27</v>
      </c>
      <c r="F82" s="87">
        <v>20260101</v>
      </c>
      <c r="G82" s="98" t="s">
        <v>129</v>
      </c>
      <c r="H82" s="76" t="s">
        <v>48</v>
      </c>
      <c r="I82" s="76" t="s">
        <v>49</v>
      </c>
      <c r="J82" s="76" t="s">
        <v>63</v>
      </c>
      <c r="K82" s="228" t="s">
        <v>32</v>
      </c>
      <c r="L82" s="76" t="s">
        <v>383</v>
      </c>
      <c r="M82" s="76" t="s">
        <v>388</v>
      </c>
      <c r="N82" s="103" t="s">
        <v>389</v>
      </c>
      <c r="O82" s="238"/>
      <c r="P82" s="78"/>
      <c r="Q82" s="231">
        <v>34.085999999999999</v>
      </c>
      <c r="R82" s="79" t="s">
        <v>390</v>
      </c>
      <c r="S82" s="79"/>
      <c r="T82" s="79"/>
      <c r="U82" s="79"/>
      <c r="V82" s="62" t="s">
        <v>38</v>
      </c>
    </row>
    <row r="83" spans="1:25" ht="15" customHeight="1">
      <c r="A83" s="116">
        <v>82</v>
      </c>
      <c r="B83" s="116">
        <f>IF(TRIM(C83)="Test",COUNTIF($C$2:C83,"Test"),"")</f>
        <v>66</v>
      </c>
      <c r="C83" s="80" t="s">
        <v>25</v>
      </c>
      <c r="D83" s="76" t="s">
        <v>134</v>
      </c>
      <c r="E83" s="76" t="s">
        <v>27</v>
      </c>
      <c r="F83" s="87">
        <v>20260101</v>
      </c>
      <c r="G83" s="98" t="s">
        <v>135</v>
      </c>
      <c r="H83" s="76" t="s">
        <v>29</v>
      </c>
      <c r="I83" s="76" t="s">
        <v>30</v>
      </c>
      <c r="J83" s="76" t="s">
        <v>31</v>
      </c>
      <c r="K83" s="228" t="s">
        <v>32</v>
      </c>
      <c r="L83" s="103" t="s">
        <v>383</v>
      </c>
      <c r="M83" s="76" t="s">
        <v>391</v>
      </c>
      <c r="N83" s="103" t="s">
        <v>392</v>
      </c>
      <c r="O83" s="238"/>
      <c r="P83" s="78"/>
      <c r="Q83" s="231">
        <v>22.131</v>
      </c>
      <c r="R83" s="79" t="s">
        <v>393</v>
      </c>
      <c r="S83" s="79"/>
      <c r="T83" s="79"/>
      <c r="U83" s="79"/>
      <c r="V83" s="62" t="s">
        <v>38</v>
      </c>
      <c r="Y83" s="62" t="s">
        <v>394</v>
      </c>
    </row>
    <row r="84" spans="1:25" ht="15" customHeight="1">
      <c r="A84" s="252">
        <v>83</v>
      </c>
      <c r="B84" s="252" t="str">
        <f>IF(TRIM(C84)="Test",COUNTIF($C$2:C84,"Test"),"")</f>
        <v/>
      </c>
      <c r="C84" s="253" t="s">
        <v>55</v>
      </c>
      <c r="D84" s="254" t="s">
        <v>140</v>
      </c>
      <c r="E84" s="254"/>
      <c r="F84" s="255">
        <v>20260101</v>
      </c>
      <c r="G84" s="76" t="s">
        <v>141</v>
      </c>
      <c r="H84" s="76" t="s">
        <v>142</v>
      </c>
      <c r="I84" s="76" t="s">
        <v>58</v>
      </c>
      <c r="J84" s="76" t="s">
        <v>59</v>
      </c>
      <c r="K84" s="76"/>
      <c r="L84" s="265" t="s">
        <v>383</v>
      </c>
      <c r="M84" s="257" t="s">
        <v>384</v>
      </c>
      <c r="N84" s="265" t="s">
        <v>395</v>
      </c>
      <c r="O84" s="77"/>
      <c r="P84" s="78"/>
      <c r="Q84" s="78">
        <v>31.835999999999999</v>
      </c>
      <c r="R84" s="267" t="s">
        <v>396</v>
      </c>
      <c r="S84" s="267"/>
      <c r="T84" s="267"/>
      <c r="U84" s="267"/>
      <c r="V84" s="142" t="s">
        <v>288</v>
      </c>
      <c r="W84" s="63" t="s">
        <v>289</v>
      </c>
      <c r="Y84" s="62" t="s">
        <v>397</v>
      </c>
    </row>
    <row r="85" spans="1:25" ht="15" customHeight="1">
      <c r="A85" s="116">
        <v>84</v>
      </c>
      <c r="B85" s="116">
        <f>IF(TRIM(C85)="Test",COUNTIF($C$2:C85,"Test"),"")</f>
        <v>67</v>
      </c>
      <c r="C85" s="80" t="s">
        <v>25</v>
      </c>
      <c r="D85" s="76" t="s">
        <v>145</v>
      </c>
      <c r="E85" s="214" t="s">
        <v>140</v>
      </c>
      <c r="F85" s="87">
        <v>20260101</v>
      </c>
      <c r="G85" s="98" t="s">
        <v>146</v>
      </c>
      <c r="H85" s="76" t="s">
        <v>147</v>
      </c>
      <c r="I85" s="76" t="s">
        <v>148</v>
      </c>
      <c r="J85" s="76" t="s">
        <v>31</v>
      </c>
      <c r="K85" s="228"/>
      <c r="L85" s="139" t="s">
        <v>398</v>
      </c>
      <c r="M85" s="76" t="s">
        <v>355</v>
      </c>
      <c r="N85" s="140" t="s">
        <v>399</v>
      </c>
      <c r="O85" s="238"/>
      <c r="P85" s="78"/>
      <c r="Q85" s="231">
        <v>22.675999999999998</v>
      </c>
      <c r="R85" s="213" t="s">
        <v>400</v>
      </c>
      <c r="S85" s="144"/>
      <c r="T85" s="144" t="s">
        <v>401</v>
      </c>
      <c r="U85" s="79" t="s">
        <v>38</v>
      </c>
      <c r="V85" s="133" t="s">
        <v>402</v>
      </c>
      <c r="W85" s="63" t="s">
        <v>403</v>
      </c>
    </row>
    <row r="86" spans="1:25" ht="15" customHeight="1">
      <c r="A86" s="116">
        <v>85</v>
      </c>
      <c r="B86" s="116">
        <f>IF(TRIM(C86)="Test",COUNTIF($C$2:C86,"Test"),"")</f>
        <v>68</v>
      </c>
      <c r="C86" s="80" t="s">
        <v>25</v>
      </c>
      <c r="D86" s="76" t="s">
        <v>153</v>
      </c>
      <c r="E86" s="201" t="s">
        <v>154</v>
      </c>
      <c r="F86" s="87">
        <v>20260101</v>
      </c>
      <c r="G86" s="98" t="s">
        <v>155</v>
      </c>
      <c r="H86" s="76" t="s">
        <v>29</v>
      </c>
      <c r="I86" s="76" t="s">
        <v>30</v>
      </c>
      <c r="J86" s="76" t="s">
        <v>31</v>
      </c>
      <c r="K86" s="228" t="s">
        <v>32</v>
      </c>
      <c r="L86" s="105" t="s">
        <v>398</v>
      </c>
      <c r="M86" s="105" t="s">
        <v>404</v>
      </c>
      <c r="N86" s="103" t="s">
        <v>405</v>
      </c>
      <c r="O86" s="238"/>
      <c r="P86" s="78"/>
      <c r="Q86" s="231">
        <v>35.313000000000002</v>
      </c>
      <c r="R86" s="209" t="s">
        <v>406</v>
      </c>
      <c r="S86" s="79"/>
      <c r="T86" s="79" t="s">
        <v>406</v>
      </c>
      <c r="U86" s="79" t="s">
        <v>38</v>
      </c>
      <c r="V86" s="62" t="s">
        <v>38</v>
      </c>
    </row>
    <row r="87" spans="1:25" ht="15" customHeight="1">
      <c r="A87" s="116">
        <v>86</v>
      </c>
      <c r="B87" s="116">
        <f>IF(TRIM(C87)="Test",COUNTIF($C$2:C87,"Test"),"")</f>
        <v>69</v>
      </c>
      <c r="C87" s="80" t="s">
        <v>25</v>
      </c>
      <c r="D87" s="76" t="s">
        <v>162</v>
      </c>
      <c r="E87" s="76" t="s">
        <v>27</v>
      </c>
      <c r="F87" s="87">
        <v>20260101</v>
      </c>
      <c r="G87" s="98" t="s">
        <v>163</v>
      </c>
      <c r="H87" s="76" t="s">
        <v>29</v>
      </c>
      <c r="I87" s="76" t="s">
        <v>164</v>
      </c>
      <c r="J87" s="76" t="s">
        <v>31</v>
      </c>
      <c r="K87" s="228" t="s">
        <v>32</v>
      </c>
      <c r="L87" s="105" t="s">
        <v>398</v>
      </c>
      <c r="M87" s="105" t="s">
        <v>404</v>
      </c>
      <c r="N87" s="103" t="s">
        <v>407</v>
      </c>
      <c r="O87" s="238"/>
      <c r="P87" s="78"/>
      <c r="Q87" s="231">
        <v>36.277999999999999</v>
      </c>
      <c r="R87" s="79" t="s">
        <v>408</v>
      </c>
      <c r="S87" s="79"/>
      <c r="T87" s="220"/>
      <c r="U87" s="79"/>
      <c r="V87" s="63" t="s">
        <v>409</v>
      </c>
    </row>
    <row r="88" spans="1:25" ht="15" customHeight="1">
      <c r="A88" s="116">
        <v>87</v>
      </c>
      <c r="B88" s="116">
        <f>IF(TRIM(C88)="Test",COUNTIF($C$2:C88,"Test"),"")</f>
        <v>70</v>
      </c>
      <c r="C88" s="80" t="s">
        <v>25</v>
      </c>
      <c r="D88" s="76" t="s">
        <v>171</v>
      </c>
      <c r="E88" s="76" t="s">
        <v>27</v>
      </c>
      <c r="F88" s="87">
        <v>20260101</v>
      </c>
      <c r="G88" s="98" t="s">
        <v>172</v>
      </c>
      <c r="H88" s="76" t="s">
        <v>48</v>
      </c>
      <c r="I88" s="76" t="s">
        <v>81</v>
      </c>
      <c r="J88" s="76" t="s">
        <v>98</v>
      </c>
      <c r="K88" s="228" t="s">
        <v>32</v>
      </c>
      <c r="L88" s="105" t="s">
        <v>398</v>
      </c>
      <c r="M88" s="105" t="s">
        <v>404</v>
      </c>
      <c r="N88" s="103" t="s">
        <v>410</v>
      </c>
      <c r="O88" s="238"/>
      <c r="P88" s="78"/>
      <c r="Q88" s="231">
        <v>38.597999999999999</v>
      </c>
      <c r="R88" s="79" t="s">
        <v>411</v>
      </c>
      <c r="S88" s="79"/>
      <c r="T88" s="220"/>
      <c r="U88" s="79"/>
      <c r="V88" s="62" t="s">
        <v>38</v>
      </c>
    </row>
    <row r="89" spans="1:25" ht="15" customHeight="1">
      <c r="A89" s="116">
        <v>88</v>
      </c>
      <c r="B89" s="116">
        <f>IF(TRIM(C89)="Test",COUNTIF($C$2:C89,"Test"),"")</f>
        <v>71</v>
      </c>
      <c r="C89" s="80" t="s">
        <v>25</v>
      </c>
      <c r="D89" s="76" t="s">
        <v>177</v>
      </c>
      <c r="E89" s="76" t="s">
        <v>27</v>
      </c>
      <c r="F89" s="87">
        <v>20260101</v>
      </c>
      <c r="G89" s="98" t="s">
        <v>178</v>
      </c>
      <c r="H89" s="76" t="s">
        <v>29</v>
      </c>
      <c r="I89" s="76" t="s">
        <v>30</v>
      </c>
      <c r="J89" s="76" t="s">
        <v>31</v>
      </c>
      <c r="K89" s="228" t="s">
        <v>32</v>
      </c>
      <c r="L89" s="105" t="s">
        <v>398</v>
      </c>
      <c r="M89" s="76" t="s">
        <v>355</v>
      </c>
      <c r="N89" s="103" t="s">
        <v>412</v>
      </c>
      <c r="O89" s="238"/>
      <c r="P89" s="78"/>
      <c r="Q89" s="231">
        <v>31.370999999999999</v>
      </c>
      <c r="R89" s="79" t="s">
        <v>413</v>
      </c>
      <c r="S89" s="79"/>
      <c r="T89" s="220"/>
      <c r="U89" s="79"/>
      <c r="V89" s="62" t="s">
        <v>38</v>
      </c>
    </row>
    <row r="90" spans="1:25" ht="15" customHeight="1">
      <c r="A90" s="116">
        <v>89</v>
      </c>
      <c r="B90" s="116">
        <f>IF(TRIM(C90)="Test",COUNTIF($C$2:C90,"Test"),"")</f>
        <v>72</v>
      </c>
      <c r="C90" s="80" t="s">
        <v>25</v>
      </c>
      <c r="D90" s="76" t="s">
        <v>184</v>
      </c>
      <c r="E90" s="76" t="s">
        <v>27</v>
      </c>
      <c r="F90" s="87">
        <v>20260101</v>
      </c>
      <c r="G90" s="98" t="s">
        <v>185</v>
      </c>
      <c r="H90" s="76" t="s">
        <v>29</v>
      </c>
      <c r="I90" s="76" t="s">
        <v>92</v>
      </c>
      <c r="J90" s="76" t="s">
        <v>31</v>
      </c>
      <c r="K90" s="228" t="s">
        <v>32</v>
      </c>
      <c r="L90" s="105" t="s">
        <v>398</v>
      </c>
      <c r="M90" s="76" t="s">
        <v>414</v>
      </c>
      <c r="N90" s="103" t="s">
        <v>415</v>
      </c>
      <c r="O90" s="238"/>
      <c r="P90" s="78"/>
      <c r="Q90" s="231">
        <v>44.390999999999998</v>
      </c>
      <c r="R90" s="79" t="s">
        <v>416</v>
      </c>
      <c r="S90" s="79"/>
      <c r="T90" s="220"/>
      <c r="U90" s="79"/>
      <c r="V90" s="62" t="s">
        <v>38</v>
      </c>
      <c r="W90" s="63" t="s">
        <v>417</v>
      </c>
    </row>
    <row r="91" spans="1:25" ht="15" customHeight="1">
      <c r="A91" s="116">
        <v>90</v>
      </c>
      <c r="B91" s="116">
        <f>IF(TRIM(C91)="Test",COUNTIF($C$2:C91,"Test"),"")</f>
        <v>73</v>
      </c>
      <c r="C91" s="80" t="s">
        <v>25</v>
      </c>
      <c r="D91" s="76" t="s">
        <v>154</v>
      </c>
      <c r="E91" s="76" t="s">
        <v>27</v>
      </c>
      <c r="F91" s="87">
        <v>20260101</v>
      </c>
      <c r="G91" s="98" t="s">
        <v>190</v>
      </c>
      <c r="H91" s="76" t="s">
        <v>48</v>
      </c>
      <c r="I91" s="76" t="s">
        <v>49</v>
      </c>
      <c r="J91" s="76" t="s">
        <v>98</v>
      </c>
      <c r="K91" s="228" t="s">
        <v>41</v>
      </c>
      <c r="L91" s="105" t="s">
        <v>398</v>
      </c>
      <c r="M91" s="76" t="s">
        <v>418</v>
      </c>
      <c r="N91" s="103" t="s">
        <v>419</v>
      </c>
      <c r="O91" s="238"/>
      <c r="P91" s="78"/>
      <c r="Q91" s="231">
        <v>27.83</v>
      </c>
      <c r="R91" s="79" t="s">
        <v>420</v>
      </c>
      <c r="S91" s="79"/>
      <c r="T91" s="79"/>
      <c r="U91" s="79"/>
      <c r="V91" s="62" t="s">
        <v>38</v>
      </c>
    </row>
    <row r="92" spans="1:25" ht="15" customHeight="1">
      <c r="A92" s="116">
        <v>91</v>
      </c>
      <c r="B92" s="116">
        <f>IF(TRIM(C92)="Test",COUNTIF($C$2:C92,"Test"),"")</f>
        <v>74</v>
      </c>
      <c r="C92" s="80" t="s">
        <v>25</v>
      </c>
      <c r="D92" s="76" t="s">
        <v>194</v>
      </c>
      <c r="E92" s="76" t="s">
        <v>27</v>
      </c>
      <c r="F92" s="87">
        <v>20260101</v>
      </c>
      <c r="G92" s="98" t="s">
        <v>195</v>
      </c>
      <c r="H92" s="76" t="s">
        <v>48</v>
      </c>
      <c r="I92" s="76" t="s">
        <v>81</v>
      </c>
      <c r="J92" s="76" t="s">
        <v>63</v>
      </c>
      <c r="K92" s="228" t="s">
        <v>32</v>
      </c>
      <c r="L92" s="76" t="s">
        <v>398</v>
      </c>
      <c r="M92" s="76" t="s">
        <v>355</v>
      </c>
      <c r="N92" s="103" t="s">
        <v>421</v>
      </c>
      <c r="O92" s="238"/>
      <c r="P92" s="78"/>
      <c r="Q92" s="231">
        <v>31.163</v>
      </c>
      <c r="R92" s="79" t="s">
        <v>422</v>
      </c>
      <c r="S92" s="79"/>
      <c r="T92" s="79"/>
      <c r="U92" s="79"/>
      <c r="V92" s="62" t="s">
        <v>38</v>
      </c>
    </row>
    <row r="93" spans="1:25" ht="15" customHeight="1">
      <c r="A93" s="116">
        <v>92</v>
      </c>
      <c r="B93" s="116">
        <f>IF(TRIM(C93)="Test",COUNTIF($C$2:C93,"Test"),"")</f>
        <v>75</v>
      </c>
      <c r="C93" s="80" t="s">
        <v>25</v>
      </c>
      <c r="D93" s="76" t="s">
        <v>200</v>
      </c>
      <c r="E93" s="76" t="s">
        <v>27</v>
      </c>
      <c r="F93" s="87">
        <v>20260101</v>
      </c>
      <c r="G93" s="98" t="s">
        <v>201</v>
      </c>
      <c r="H93" s="76" t="s">
        <v>48</v>
      </c>
      <c r="I93" s="76" t="s">
        <v>81</v>
      </c>
      <c r="J93" s="76" t="s">
        <v>98</v>
      </c>
      <c r="K93" s="228" t="s">
        <v>32</v>
      </c>
      <c r="L93" s="105" t="s">
        <v>398</v>
      </c>
      <c r="M93" s="105" t="s">
        <v>404</v>
      </c>
      <c r="N93" s="103" t="s">
        <v>423</v>
      </c>
      <c r="O93" s="238"/>
      <c r="P93" s="78"/>
      <c r="Q93" s="231">
        <v>24.614999999999998</v>
      </c>
      <c r="R93" s="79" t="s">
        <v>424</v>
      </c>
      <c r="S93" s="79"/>
      <c r="T93" s="79"/>
      <c r="U93" s="79"/>
      <c r="V93" s="62" t="s">
        <v>38</v>
      </c>
    </row>
    <row r="94" spans="1:25" ht="15" customHeight="1">
      <c r="A94" s="116">
        <v>93</v>
      </c>
      <c r="B94" s="116">
        <f>IF(TRIM(C94)="Test",COUNTIF($C$2:C94,"Test"),"")</f>
        <v>76</v>
      </c>
      <c r="C94" s="80" t="s">
        <v>25</v>
      </c>
      <c r="D94" s="76" t="s">
        <v>205</v>
      </c>
      <c r="E94" s="76" t="s">
        <v>27</v>
      </c>
      <c r="F94" s="87">
        <v>20260101</v>
      </c>
      <c r="G94" s="98" t="s">
        <v>206</v>
      </c>
      <c r="H94" s="76" t="s">
        <v>207</v>
      </c>
      <c r="I94" s="76"/>
      <c r="J94" s="76" t="s">
        <v>208</v>
      </c>
      <c r="K94" s="228" t="s">
        <v>32</v>
      </c>
      <c r="L94" s="105" t="s">
        <v>398</v>
      </c>
      <c r="M94" s="76" t="s">
        <v>418</v>
      </c>
      <c r="N94" s="103" t="s">
        <v>425</v>
      </c>
      <c r="O94" s="238"/>
      <c r="P94" s="78"/>
      <c r="Q94" s="231">
        <v>29.731000000000002</v>
      </c>
      <c r="R94" s="79" t="s">
        <v>426</v>
      </c>
      <c r="S94" s="79"/>
      <c r="T94" s="79"/>
      <c r="U94" s="79"/>
      <c r="V94" s="62" t="s">
        <v>38</v>
      </c>
    </row>
    <row r="95" spans="1:25" ht="15" customHeight="1">
      <c r="A95" s="116">
        <v>94</v>
      </c>
      <c r="B95" s="116">
        <f>IF(TRIM(C95)="Test",COUNTIF($C$2:C95,"Test"),"")</f>
        <v>77</v>
      </c>
      <c r="C95" s="80" t="s">
        <v>25</v>
      </c>
      <c r="D95" s="76" t="s">
        <v>213</v>
      </c>
      <c r="E95" s="76" t="s">
        <v>27</v>
      </c>
      <c r="F95" s="87">
        <v>20260101</v>
      </c>
      <c r="G95" s="98" t="s">
        <v>214</v>
      </c>
      <c r="H95" s="76" t="s">
        <v>29</v>
      </c>
      <c r="I95" s="76" t="s">
        <v>30</v>
      </c>
      <c r="J95" s="76" t="s">
        <v>31</v>
      </c>
      <c r="K95" s="228" t="s">
        <v>32</v>
      </c>
      <c r="L95" s="105" t="s">
        <v>398</v>
      </c>
      <c r="M95" s="105" t="s">
        <v>404</v>
      </c>
      <c r="N95" s="103" t="s">
        <v>427</v>
      </c>
      <c r="O95" s="238"/>
      <c r="P95" s="78"/>
      <c r="Q95" s="231">
        <v>56.935000000000002</v>
      </c>
      <c r="R95" s="79" t="s">
        <v>428</v>
      </c>
      <c r="S95" s="79"/>
      <c r="T95" s="79"/>
      <c r="U95" s="79"/>
      <c r="V95" s="62" t="s">
        <v>38</v>
      </c>
    </row>
    <row r="96" spans="1:25" ht="15" customHeight="1">
      <c r="A96" s="116">
        <v>95</v>
      </c>
      <c r="B96" s="116">
        <f>IF(TRIM(C96)="Test",COUNTIF($C$2:C96,"Test"),"")</f>
        <v>78</v>
      </c>
      <c r="C96" s="80" t="s">
        <v>25</v>
      </c>
      <c r="D96" s="76" t="s">
        <v>218</v>
      </c>
      <c r="E96" s="76" t="s">
        <v>27</v>
      </c>
      <c r="F96" s="87">
        <v>20260101</v>
      </c>
      <c r="G96" s="98" t="s">
        <v>219</v>
      </c>
      <c r="H96" s="76" t="s">
        <v>29</v>
      </c>
      <c r="I96" s="76" t="s">
        <v>30</v>
      </c>
      <c r="J96" s="76" t="s">
        <v>31</v>
      </c>
      <c r="K96" s="228" t="s">
        <v>32</v>
      </c>
      <c r="L96" s="105" t="s">
        <v>398</v>
      </c>
      <c r="M96" s="105" t="s">
        <v>404</v>
      </c>
      <c r="N96" s="103" t="s">
        <v>429</v>
      </c>
      <c r="O96" s="238"/>
      <c r="P96" s="78"/>
      <c r="Q96" s="231">
        <v>20.263999999999999</v>
      </c>
      <c r="R96" s="79" t="s">
        <v>430</v>
      </c>
      <c r="S96" s="79"/>
      <c r="T96" s="79"/>
      <c r="U96" s="79"/>
      <c r="V96" s="62" t="s">
        <v>38</v>
      </c>
    </row>
    <row r="97" spans="1:23" ht="15" customHeight="1">
      <c r="A97" s="116">
        <v>96</v>
      </c>
      <c r="B97" s="116">
        <f>IF(TRIM(C97)="Test",COUNTIF($C$2:C97,"Test"),"")</f>
        <v>79</v>
      </c>
      <c r="C97" s="80" t="s">
        <v>25</v>
      </c>
      <c r="D97" s="76" t="s">
        <v>222</v>
      </c>
      <c r="E97" s="76" t="s">
        <v>27</v>
      </c>
      <c r="F97" s="87">
        <v>20260101</v>
      </c>
      <c r="G97" s="98" t="s">
        <v>223</v>
      </c>
      <c r="H97" s="76" t="s">
        <v>80</v>
      </c>
      <c r="I97" s="76" t="s">
        <v>81</v>
      </c>
      <c r="J97" s="76" t="s">
        <v>59</v>
      </c>
      <c r="K97" s="228" t="s">
        <v>32</v>
      </c>
      <c r="L97" s="103" t="s">
        <v>398</v>
      </c>
      <c r="M97" s="76" t="s">
        <v>355</v>
      </c>
      <c r="N97" s="103" t="s">
        <v>431</v>
      </c>
      <c r="O97" s="238"/>
      <c r="P97" s="78"/>
      <c r="Q97" s="231">
        <v>42.048000000000002</v>
      </c>
      <c r="R97" s="79" t="s">
        <v>432</v>
      </c>
      <c r="S97" s="79"/>
      <c r="T97" s="79"/>
      <c r="U97" s="79"/>
      <c r="V97" s="62" t="s">
        <v>38</v>
      </c>
    </row>
    <row r="98" spans="1:23" ht="15" customHeight="1">
      <c r="A98" s="122">
        <v>97</v>
      </c>
      <c r="B98" s="122" t="str">
        <f>IF(TRIM(C98)="Test",COUNTIF($C$2:C98,"Test"),"")</f>
        <v/>
      </c>
      <c r="C98" s="262" t="s">
        <v>55</v>
      </c>
      <c r="D98" s="93" t="s">
        <v>26</v>
      </c>
      <c r="E98" s="93"/>
      <c r="F98" s="94">
        <v>20260101</v>
      </c>
      <c r="G98" s="76" t="s">
        <v>28</v>
      </c>
      <c r="H98" s="76" t="s">
        <v>29</v>
      </c>
      <c r="I98" s="76" t="s">
        <v>30</v>
      </c>
      <c r="J98" s="76" t="s">
        <v>31</v>
      </c>
      <c r="K98" s="76" t="s">
        <v>32</v>
      </c>
      <c r="L98" s="263" t="s">
        <v>398</v>
      </c>
      <c r="M98" s="240" t="s">
        <v>355</v>
      </c>
      <c r="N98" s="263" t="s">
        <v>433</v>
      </c>
      <c r="O98" s="77"/>
      <c r="P98" s="78"/>
      <c r="Q98" s="78">
        <v>26.654</v>
      </c>
      <c r="R98" s="264" t="s">
        <v>434</v>
      </c>
      <c r="S98" s="264"/>
      <c r="T98" s="264"/>
      <c r="U98" s="264"/>
      <c r="V98" s="62" t="s">
        <v>38</v>
      </c>
    </row>
    <row r="99" spans="1:23" ht="15" customHeight="1">
      <c r="A99" s="242">
        <v>98</v>
      </c>
      <c r="B99" s="242" t="str">
        <f>IF(TRIM(C99)="Test",COUNTIF($C$2:C99,"Test"),"")</f>
        <v/>
      </c>
      <c r="C99" s="91" t="s">
        <v>55</v>
      </c>
      <c r="D99" s="243" t="s">
        <v>39</v>
      </c>
      <c r="E99" s="243"/>
      <c r="F99" s="244">
        <v>20260101</v>
      </c>
      <c r="G99" s="76" t="s">
        <v>28</v>
      </c>
      <c r="H99" s="76" t="s">
        <v>29</v>
      </c>
      <c r="I99" s="76" t="s">
        <v>30</v>
      </c>
      <c r="J99" s="76" t="s">
        <v>31</v>
      </c>
      <c r="K99" s="76" t="s">
        <v>41</v>
      </c>
      <c r="L99" s="165" t="s">
        <v>398</v>
      </c>
      <c r="M99" s="99" t="s">
        <v>355</v>
      </c>
      <c r="N99" s="165" t="s">
        <v>435</v>
      </c>
      <c r="O99" s="77"/>
      <c r="P99" s="78"/>
      <c r="Q99" s="78">
        <v>36.164999999999999</v>
      </c>
      <c r="R99" s="166" t="s">
        <v>436</v>
      </c>
      <c r="S99" s="166"/>
      <c r="T99" s="166"/>
      <c r="U99" s="166"/>
      <c r="V99" s="62" t="s">
        <v>38</v>
      </c>
    </row>
    <row r="100" spans="1:23" ht="15" customHeight="1">
      <c r="A100" s="116">
        <v>99</v>
      </c>
      <c r="B100" s="116">
        <f>IF(TRIM(C100)="Test",COUNTIF($C$2:C100,"Test"),"")</f>
        <v>80</v>
      </c>
      <c r="C100" s="80" t="s">
        <v>25</v>
      </c>
      <c r="D100" s="76" t="s">
        <v>46</v>
      </c>
      <c r="E100" s="214" t="s">
        <v>39</v>
      </c>
      <c r="F100" s="87">
        <v>20260101</v>
      </c>
      <c r="G100" s="98" t="s">
        <v>47</v>
      </c>
      <c r="H100" s="76" t="s">
        <v>48</v>
      </c>
      <c r="I100" s="76" t="s">
        <v>49</v>
      </c>
      <c r="J100" s="76" t="s">
        <v>50</v>
      </c>
      <c r="K100" s="228" t="s">
        <v>32</v>
      </c>
      <c r="L100" s="76" t="s">
        <v>437</v>
      </c>
      <c r="M100" s="221" t="s">
        <v>438</v>
      </c>
      <c r="N100" s="106" t="s">
        <v>439</v>
      </c>
      <c r="O100" s="238"/>
      <c r="P100" s="78"/>
      <c r="Q100" s="231">
        <v>43.174999999999997</v>
      </c>
      <c r="R100" s="209" t="s">
        <v>440</v>
      </c>
      <c r="S100" s="79"/>
      <c r="T100" s="79" t="s">
        <v>441</v>
      </c>
      <c r="U100" s="79" t="s">
        <v>38</v>
      </c>
      <c r="V100" s="62" t="s">
        <v>38</v>
      </c>
    </row>
    <row r="101" spans="1:23" ht="15" customHeight="1">
      <c r="A101" s="116">
        <v>100</v>
      </c>
      <c r="B101" s="116">
        <f>IF(TRIM(C101)="Test",COUNTIF($C$2:C101,"Test"),"")</f>
        <v>81</v>
      </c>
      <c r="C101" s="80" t="s">
        <v>25</v>
      </c>
      <c r="D101" s="76" t="s">
        <v>56</v>
      </c>
      <c r="E101" s="76" t="s">
        <v>27</v>
      </c>
      <c r="F101" s="87">
        <v>20260101</v>
      </c>
      <c r="G101" s="98" t="s">
        <v>57</v>
      </c>
      <c r="H101" s="76" t="s">
        <v>29</v>
      </c>
      <c r="I101" s="76" t="s">
        <v>58</v>
      </c>
      <c r="J101" s="76" t="s">
        <v>59</v>
      </c>
      <c r="K101" s="228" t="s">
        <v>41</v>
      </c>
      <c r="L101" s="76" t="s">
        <v>437</v>
      </c>
      <c r="M101" s="76"/>
      <c r="N101" s="102" t="s">
        <v>442</v>
      </c>
      <c r="O101" s="238"/>
      <c r="P101" s="78"/>
      <c r="Q101" s="231" t="s">
        <v>443</v>
      </c>
      <c r="R101" s="79" t="s">
        <v>444</v>
      </c>
      <c r="S101" s="79"/>
      <c r="T101" s="79"/>
      <c r="U101" s="79"/>
      <c r="V101" s="63" t="s">
        <v>38</v>
      </c>
    </row>
    <row r="102" spans="1:23" ht="15" customHeight="1">
      <c r="A102" s="116">
        <v>101</v>
      </c>
      <c r="B102" s="116">
        <f>IF(TRIM(C102)="Test",COUNTIF($C$2:C102,"Test"),"")</f>
        <v>82</v>
      </c>
      <c r="C102" s="80" t="s">
        <v>25</v>
      </c>
      <c r="D102" s="76" t="s">
        <v>40</v>
      </c>
      <c r="E102" s="76" t="s">
        <v>27</v>
      </c>
      <c r="F102" s="87">
        <v>20260101</v>
      </c>
      <c r="G102" s="98" t="s">
        <v>62</v>
      </c>
      <c r="H102" s="76" t="s">
        <v>48</v>
      </c>
      <c r="I102" s="76" t="s">
        <v>49</v>
      </c>
      <c r="J102" s="76" t="s">
        <v>63</v>
      </c>
      <c r="K102" s="228" t="s">
        <v>32</v>
      </c>
      <c r="L102" s="139" t="s">
        <v>437</v>
      </c>
      <c r="M102" s="76"/>
      <c r="N102" s="140" t="s">
        <v>445</v>
      </c>
      <c r="O102" s="238"/>
      <c r="P102" s="78"/>
      <c r="Q102" s="231">
        <v>11.521000000000001</v>
      </c>
      <c r="R102" s="144" t="s">
        <v>446</v>
      </c>
      <c r="S102" s="144"/>
      <c r="T102" s="144"/>
      <c r="U102" s="144"/>
      <c r="V102" s="132" t="s">
        <v>447</v>
      </c>
      <c r="W102" s="63" t="s">
        <v>448</v>
      </c>
    </row>
    <row r="103" spans="1:23" ht="15" customHeight="1">
      <c r="A103" s="116">
        <v>102</v>
      </c>
      <c r="B103" s="116">
        <f>IF(TRIM(C103)="Test",COUNTIF($C$2:C103,"Test"),"")</f>
        <v>83</v>
      </c>
      <c r="C103" s="80" t="s">
        <v>25</v>
      </c>
      <c r="D103" s="76" t="s">
        <v>70</v>
      </c>
      <c r="E103" s="76" t="s">
        <v>27</v>
      </c>
      <c r="F103" s="87">
        <v>20260101</v>
      </c>
      <c r="G103" s="98" t="s">
        <v>62</v>
      </c>
      <c r="H103" s="76" t="s">
        <v>48</v>
      </c>
      <c r="I103" s="76" t="s">
        <v>49</v>
      </c>
      <c r="J103" s="76" t="s">
        <v>63</v>
      </c>
      <c r="K103" s="228" t="s">
        <v>41</v>
      </c>
      <c r="L103" s="103" t="s">
        <v>437</v>
      </c>
      <c r="M103" s="76" t="s">
        <v>449</v>
      </c>
      <c r="N103" s="103" t="s">
        <v>450</v>
      </c>
      <c r="O103" s="238"/>
      <c r="P103" s="78"/>
      <c r="Q103" s="231">
        <v>21.349</v>
      </c>
      <c r="R103" s="79" t="s">
        <v>451</v>
      </c>
      <c r="S103" s="79"/>
      <c r="T103" s="79"/>
      <c r="U103" s="79"/>
      <c r="V103" s="62" t="s">
        <v>38</v>
      </c>
    </row>
    <row r="104" spans="1:23" ht="15" customHeight="1">
      <c r="A104" s="116">
        <v>103</v>
      </c>
      <c r="B104" s="116">
        <f>IF(TRIM(C104)="Test",COUNTIF($C$2:C104,"Test"),"")</f>
        <v>84</v>
      </c>
      <c r="C104" s="80" t="s">
        <v>25</v>
      </c>
      <c r="D104" s="76" t="s">
        <v>74</v>
      </c>
      <c r="E104" s="76" t="s">
        <v>27</v>
      </c>
      <c r="F104" s="87">
        <v>20260101</v>
      </c>
      <c r="G104" s="98" t="s">
        <v>75</v>
      </c>
      <c r="H104" s="76" t="s">
        <v>29</v>
      </c>
      <c r="I104" s="76" t="s">
        <v>30</v>
      </c>
      <c r="J104" s="76" t="s">
        <v>31</v>
      </c>
      <c r="K104" s="228" t="s">
        <v>32</v>
      </c>
      <c r="L104" s="76" t="s">
        <v>437</v>
      </c>
      <c r="M104" s="76" t="s">
        <v>452</v>
      </c>
      <c r="N104" s="102" t="s">
        <v>453</v>
      </c>
      <c r="O104" s="238"/>
      <c r="P104" s="78"/>
      <c r="Q104" s="231">
        <v>24.04</v>
      </c>
      <c r="R104" s="79" t="s">
        <v>454</v>
      </c>
      <c r="S104" s="79"/>
      <c r="T104" s="79"/>
      <c r="U104" s="79"/>
      <c r="V104" s="62" t="s">
        <v>38</v>
      </c>
    </row>
    <row r="105" spans="1:23" ht="15" customHeight="1">
      <c r="A105" s="116">
        <v>104</v>
      </c>
      <c r="B105" s="116">
        <f>IF(TRIM(C105)="Test",COUNTIF($C$2:C105,"Test"),"")</f>
        <v>85</v>
      </c>
      <c r="C105" s="95" t="s">
        <v>25</v>
      </c>
      <c r="D105" s="76" t="s">
        <v>78</v>
      </c>
      <c r="E105" s="76" t="s">
        <v>27</v>
      </c>
      <c r="F105" s="87">
        <v>20260101</v>
      </c>
      <c r="G105" s="98" t="s">
        <v>79</v>
      </c>
      <c r="H105" s="76" t="s">
        <v>80</v>
      </c>
      <c r="I105" s="76" t="s">
        <v>81</v>
      </c>
      <c r="J105" s="76" t="s">
        <v>31</v>
      </c>
      <c r="K105" s="228" t="s">
        <v>41</v>
      </c>
      <c r="L105" s="76" t="s">
        <v>437</v>
      </c>
      <c r="M105" s="76" t="s">
        <v>105</v>
      </c>
      <c r="N105" s="76" t="s">
        <v>455</v>
      </c>
      <c r="O105" s="238"/>
      <c r="P105" s="78"/>
      <c r="Q105" s="231">
        <v>39.209000000000003</v>
      </c>
      <c r="R105" s="144" t="s">
        <v>456</v>
      </c>
      <c r="S105" s="144"/>
      <c r="T105" s="144"/>
      <c r="U105" s="144"/>
      <c r="V105" s="133" t="s">
        <v>457</v>
      </c>
      <c r="W105" s="154" t="s">
        <v>458</v>
      </c>
    </row>
    <row r="106" spans="1:23" ht="15" customHeight="1">
      <c r="A106" s="141">
        <v>105</v>
      </c>
      <c r="B106" s="168">
        <f>IF(TRIM(C106)="Test",COUNTIF($C$2:C106,"Test"),"")</f>
        <v>86</v>
      </c>
      <c r="C106" s="102" t="s">
        <v>25</v>
      </c>
      <c r="D106" s="76" t="s">
        <v>86</v>
      </c>
      <c r="E106" s="76" t="s">
        <v>27</v>
      </c>
      <c r="F106" s="87">
        <v>20260101</v>
      </c>
      <c r="G106" s="98" t="s">
        <v>87</v>
      </c>
      <c r="H106" s="76" t="s">
        <v>48</v>
      </c>
      <c r="I106" s="76" t="s">
        <v>81</v>
      </c>
      <c r="J106" s="76" t="s">
        <v>50</v>
      </c>
      <c r="K106" s="228" t="s">
        <v>32</v>
      </c>
      <c r="L106" s="76" t="s">
        <v>437</v>
      </c>
      <c r="M106" s="219" t="s">
        <v>459</v>
      </c>
      <c r="N106" s="76" t="s">
        <v>460</v>
      </c>
      <c r="O106" s="238"/>
      <c r="P106" s="78"/>
      <c r="Q106" s="231">
        <v>29.388999999999999</v>
      </c>
      <c r="R106" s="144" t="s">
        <v>461</v>
      </c>
      <c r="S106" s="144"/>
      <c r="T106" s="144"/>
      <c r="U106" s="144"/>
      <c r="V106" s="143" t="s">
        <v>175</v>
      </c>
      <c r="W106" s="63" t="s">
        <v>462</v>
      </c>
    </row>
    <row r="107" spans="1:23" ht="15" customHeight="1">
      <c r="A107" s="116">
        <v>106</v>
      </c>
      <c r="B107" s="116">
        <f>IF(TRIM(C107)="Test",COUNTIF($C$2:C107,"Test"),"")</f>
        <v>87</v>
      </c>
      <c r="C107" s="80" t="s">
        <v>25</v>
      </c>
      <c r="D107" s="76" t="s">
        <v>90</v>
      </c>
      <c r="E107" s="76" t="s">
        <v>27</v>
      </c>
      <c r="F107" s="87">
        <v>20260101</v>
      </c>
      <c r="G107" s="98" t="s">
        <v>91</v>
      </c>
      <c r="H107" s="76" t="s">
        <v>29</v>
      </c>
      <c r="I107" s="76" t="s">
        <v>92</v>
      </c>
      <c r="J107" s="76" t="s">
        <v>59</v>
      </c>
      <c r="K107" s="228" t="s">
        <v>32</v>
      </c>
      <c r="L107" s="76" t="s">
        <v>437</v>
      </c>
      <c r="M107" s="76" t="s">
        <v>463</v>
      </c>
      <c r="N107" s="102" t="s">
        <v>464</v>
      </c>
      <c r="O107" s="238"/>
      <c r="P107" s="78"/>
      <c r="Q107" s="231" t="s">
        <v>465</v>
      </c>
      <c r="R107" s="79" t="s">
        <v>466</v>
      </c>
      <c r="S107" s="79"/>
      <c r="T107" s="79"/>
      <c r="U107" s="79"/>
      <c r="V107" s="63" t="s">
        <v>38</v>
      </c>
    </row>
    <row r="108" spans="1:23" ht="15" customHeight="1">
      <c r="A108" s="116">
        <v>107</v>
      </c>
      <c r="B108" s="116">
        <f>IF(TRIM(C108)="Test",COUNTIF($C$2:C108,"Test"),"")</f>
        <v>88</v>
      </c>
      <c r="C108" s="80" t="s">
        <v>25</v>
      </c>
      <c r="D108" s="76" t="s">
        <v>95</v>
      </c>
      <c r="E108" s="76" t="s">
        <v>27</v>
      </c>
      <c r="F108" s="87">
        <v>20260101</v>
      </c>
      <c r="G108" s="98" t="s">
        <v>96</v>
      </c>
      <c r="H108" s="76" t="s">
        <v>48</v>
      </c>
      <c r="I108" s="76" t="s">
        <v>97</v>
      </c>
      <c r="J108" s="76" t="s">
        <v>98</v>
      </c>
      <c r="K108" s="228" t="s">
        <v>32</v>
      </c>
      <c r="L108" s="103" t="s">
        <v>467</v>
      </c>
      <c r="M108" s="76" t="s">
        <v>468</v>
      </c>
      <c r="N108" s="103" t="s">
        <v>469</v>
      </c>
      <c r="O108" s="238"/>
      <c r="P108" s="78"/>
      <c r="Q108" s="231" t="s">
        <v>470</v>
      </c>
      <c r="R108" s="79" t="s">
        <v>471</v>
      </c>
      <c r="S108" s="79"/>
      <c r="T108" s="79"/>
      <c r="U108" s="79"/>
      <c r="V108" s="62" t="s">
        <v>38</v>
      </c>
    </row>
    <row r="109" spans="1:23" ht="15" customHeight="1">
      <c r="A109" s="116">
        <v>108</v>
      </c>
      <c r="B109" s="116">
        <f>IF(TRIM(C109)="Test",COUNTIF($C$2:C109,"Test"),"")</f>
        <v>89</v>
      </c>
      <c r="C109" s="80" t="s">
        <v>25</v>
      </c>
      <c r="D109" s="76" t="s">
        <v>101</v>
      </c>
      <c r="E109" s="76" t="s">
        <v>27</v>
      </c>
      <c r="F109" s="87">
        <v>20260101</v>
      </c>
      <c r="G109" s="98" t="s">
        <v>102</v>
      </c>
      <c r="H109" s="76" t="s">
        <v>29</v>
      </c>
      <c r="I109" s="76" t="s">
        <v>103</v>
      </c>
      <c r="J109" s="76" t="s">
        <v>31</v>
      </c>
      <c r="K109" s="228" t="s">
        <v>32</v>
      </c>
      <c r="L109" s="76" t="s">
        <v>472</v>
      </c>
      <c r="M109" s="76" t="s">
        <v>473</v>
      </c>
      <c r="N109" s="104" t="s">
        <v>474</v>
      </c>
      <c r="O109" s="238"/>
      <c r="P109" s="78"/>
      <c r="Q109" s="231">
        <v>11.651</v>
      </c>
      <c r="R109" s="79" t="s">
        <v>475</v>
      </c>
      <c r="S109" s="79"/>
      <c r="T109" s="79"/>
      <c r="U109" s="79"/>
      <c r="V109" s="62" t="s">
        <v>38</v>
      </c>
    </row>
    <row r="110" spans="1:23" ht="15" customHeight="1">
      <c r="A110" s="252">
        <v>109</v>
      </c>
      <c r="B110" s="252" t="str">
        <f>IF(TRIM(C110)="Test",COUNTIF($C$2:C110,"Test"),"")</f>
        <v/>
      </c>
      <c r="C110" s="253" t="s">
        <v>55</v>
      </c>
      <c r="D110" s="254" t="s">
        <v>108</v>
      </c>
      <c r="E110" s="254"/>
      <c r="F110" s="255">
        <v>20260101</v>
      </c>
      <c r="G110" s="76" t="s">
        <v>109</v>
      </c>
      <c r="H110" s="76" t="s">
        <v>48</v>
      </c>
      <c r="I110" s="76" t="s">
        <v>81</v>
      </c>
      <c r="J110" s="76" t="s">
        <v>98</v>
      </c>
      <c r="K110" s="76" t="s">
        <v>32</v>
      </c>
      <c r="L110" s="254" t="s">
        <v>472</v>
      </c>
      <c r="M110" s="257"/>
      <c r="N110" s="272" t="s">
        <v>476</v>
      </c>
      <c r="O110" s="77"/>
      <c r="P110" s="78"/>
      <c r="Q110" s="78">
        <v>13.253</v>
      </c>
      <c r="R110" s="258" t="s">
        <v>477</v>
      </c>
      <c r="S110" s="258"/>
      <c r="T110" s="258"/>
      <c r="U110" s="258"/>
      <c r="V110" s="62" t="s">
        <v>409</v>
      </c>
    </row>
    <row r="111" spans="1:23" ht="15" customHeight="1">
      <c r="A111" s="116">
        <v>110</v>
      </c>
      <c r="B111" s="116">
        <f>IF(TRIM(C111)="Test",COUNTIF($C$2:C111,"Test"),"")</f>
        <v>90</v>
      </c>
      <c r="C111" s="80" t="s">
        <v>25</v>
      </c>
      <c r="D111" s="76" t="s">
        <v>112</v>
      </c>
      <c r="E111" s="76" t="s">
        <v>27</v>
      </c>
      <c r="F111" s="87">
        <v>20260101</v>
      </c>
      <c r="G111" s="98" t="s">
        <v>113</v>
      </c>
      <c r="H111" s="76" t="s">
        <v>48</v>
      </c>
      <c r="I111" s="76" t="s">
        <v>49</v>
      </c>
      <c r="J111" s="76" t="s">
        <v>98</v>
      </c>
      <c r="K111" s="228" t="s">
        <v>32</v>
      </c>
      <c r="L111" s="76" t="s">
        <v>472</v>
      </c>
      <c r="M111" s="76"/>
      <c r="N111" s="103" t="s">
        <v>478</v>
      </c>
      <c r="O111" s="238"/>
      <c r="P111" s="78"/>
      <c r="Q111" s="231">
        <v>17.635999999999999</v>
      </c>
      <c r="R111" s="79" t="s">
        <v>479</v>
      </c>
      <c r="S111" s="79"/>
      <c r="T111" s="79"/>
      <c r="U111" s="79"/>
      <c r="V111" s="63" t="s">
        <v>38</v>
      </c>
    </row>
    <row r="112" spans="1:23" ht="15" customHeight="1">
      <c r="A112" s="116">
        <v>111</v>
      </c>
      <c r="B112" s="116">
        <f>IF(TRIM(C112)="Test",COUNTIF($C$2:C112,"Test"),"")</f>
        <v>91</v>
      </c>
      <c r="C112" s="80" t="s">
        <v>25</v>
      </c>
      <c r="D112" s="76" t="s">
        <v>118</v>
      </c>
      <c r="E112" s="123" t="s">
        <v>112</v>
      </c>
      <c r="F112" s="87">
        <v>20260101</v>
      </c>
      <c r="G112" s="98" t="s">
        <v>119</v>
      </c>
      <c r="H112" s="76" t="s">
        <v>29</v>
      </c>
      <c r="I112" s="76" t="s">
        <v>92</v>
      </c>
      <c r="J112" s="76" t="s">
        <v>31</v>
      </c>
      <c r="K112" s="228" t="s">
        <v>41</v>
      </c>
      <c r="L112" s="76" t="s">
        <v>472</v>
      </c>
      <c r="M112" s="76"/>
      <c r="N112" s="103" t="s">
        <v>480</v>
      </c>
      <c r="O112" s="238"/>
      <c r="P112" s="78"/>
      <c r="Q112" s="231">
        <v>24.332999999999998</v>
      </c>
      <c r="R112" s="209" t="s">
        <v>481</v>
      </c>
      <c r="S112" s="79"/>
      <c r="T112" s="79" t="s">
        <v>482</v>
      </c>
      <c r="U112" s="79" t="s">
        <v>38</v>
      </c>
      <c r="V112" s="62" t="s">
        <v>38</v>
      </c>
      <c r="W112" s="63" t="s">
        <v>483</v>
      </c>
    </row>
    <row r="113" spans="1:23" ht="15" customHeight="1">
      <c r="A113" s="116">
        <v>112</v>
      </c>
      <c r="B113" s="116">
        <f>IF(TRIM(C113)="Test",COUNTIF($C$2:C113,"Test"),"")</f>
        <v>92</v>
      </c>
      <c r="C113" s="80" t="s">
        <v>25</v>
      </c>
      <c r="D113" s="76" t="s">
        <v>124</v>
      </c>
      <c r="E113" s="76" t="s">
        <v>27</v>
      </c>
      <c r="F113" s="87">
        <v>20260101</v>
      </c>
      <c r="G113" s="98" t="s">
        <v>125</v>
      </c>
      <c r="H113" s="76" t="s">
        <v>48</v>
      </c>
      <c r="I113" s="76" t="s">
        <v>49</v>
      </c>
      <c r="J113" s="76" t="s">
        <v>50</v>
      </c>
      <c r="K113" s="228" t="s">
        <v>41</v>
      </c>
      <c r="L113" s="76" t="s">
        <v>472</v>
      </c>
      <c r="M113" s="76"/>
      <c r="N113" s="103" t="s">
        <v>484</v>
      </c>
      <c r="O113" s="238"/>
      <c r="P113" s="78"/>
      <c r="Q113" s="231">
        <v>38.298000000000002</v>
      </c>
      <c r="R113" s="79" t="s">
        <v>485</v>
      </c>
      <c r="S113" s="79"/>
      <c r="T113" s="79"/>
      <c r="U113" s="79"/>
      <c r="V113" s="62" t="s">
        <v>409</v>
      </c>
    </row>
    <row r="114" spans="1:23" ht="15" customHeight="1">
      <c r="A114" s="116">
        <v>113</v>
      </c>
      <c r="B114" s="116">
        <f>IF(TRIM(C114)="Test",COUNTIF($C$2:C114,"Test"),"")</f>
        <v>93</v>
      </c>
      <c r="C114" s="80" t="s">
        <v>25</v>
      </c>
      <c r="D114" s="76" t="s">
        <v>128</v>
      </c>
      <c r="E114" s="76" t="s">
        <v>27</v>
      </c>
      <c r="F114" s="87">
        <v>20260101</v>
      </c>
      <c r="G114" s="98" t="s">
        <v>129</v>
      </c>
      <c r="H114" s="76" t="s">
        <v>48</v>
      </c>
      <c r="I114" s="76" t="s">
        <v>49</v>
      </c>
      <c r="J114" s="76" t="s">
        <v>63</v>
      </c>
      <c r="K114" s="228" t="s">
        <v>32</v>
      </c>
      <c r="L114" s="76" t="s">
        <v>472</v>
      </c>
      <c r="M114" s="76"/>
      <c r="N114" s="103" t="s">
        <v>486</v>
      </c>
      <c r="O114" s="238"/>
      <c r="P114" s="78"/>
      <c r="Q114" s="231">
        <v>30.864000000000001</v>
      </c>
      <c r="R114" s="79" t="s">
        <v>487</v>
      </c>
      <c r="S114" s="79"/>
      <c r="T114" s="79"/>
      <c r="U114" s="79"/>
      <c r="V114" s="62" t="s">
        <v>409</v>
      </c>
    </row>
    <row r="115" spans="1:23" ht="15" customHeight="1">
      <c r="A115" s="122">
        <v>114</v>
      </c>
      <c r="B115" s="122" t="str">
        <f>IF(TRIM(C115)="Test",COUNTIF($C$2:C115,"Test"),"")</f>
        <v/>
      </c>
      <c r="C115" s="262" t="s">
        <v>55</v>
      </c>
      <c r="D115" s="93" t="s">
        <v>134</v>
      </c>
      <c r="E115" s="93"/>
      <c r="F115" s="94">
        <v>20260101</v>
      </c>
      <c r="G115" s="76" t="s">
        <v>135</v>
      </c>
      <c r="H115" s="76" t="s">
        <v>29</v>
      </c>
      <c r="I115" s="76" t="s">
        <v>30</v>
      </c>
      <c r="J115" s="76" t="s">
        <v>31</v>
      </c>
      <c r="K115" s="76" t="s">
        <v>32</v>
      </c>
      <c r="L115" s="93" t="s">
        <v>472</v>
      </c>
      <c r="M115" s="240" t="s">
        <v>355</v>
      </c>
      <c r="N115" s="263" t="s">
        <v>488</v>
      </c>
      <c r="O115" s="77"/>
      <c r="P115" s="78"/>
      <c r="Q115" s="78">
        <v>16.323</v>
      </c>
      <c r="R115" s="264" t="s">
        <v>489</v>
      </c>
      <c r="S115" s="264"/>
      <c r="T115" s="264"/>
      <c r="U115" s="264"/>
      <c r="V115" s="62" t="s">
        <v>38</v>
      </c>
    </row>
    <row r="116" spans="1:23" ht="15" customHeight="1">
      <c r="A116" s="116">
        <v>115</v>
      </c>
      <c r="B116" s="116" t="str">
        <f>IF(TRIM(C116)="Test",COUNTIF($C$2:C116,"Test"),"")</f>
        <v/>
      </c>
      <c r="C116" s="80" t="s">
        <v>55</v>
      </c>
      <c r="D116" s="76" t="s">
        <v>140</v>
      </c>
      <c r="E116" s="76"/>
      <c r="F116" s="87">
        <v>20260101</v>
      </c>
      <c r="G116" s="76" t="s">
        <v>141</v>
      </c>
      <c r="H116" s="76" t="s">
        <v>142</v>
      </c>
      <c r="I116" s="76" t="s">
        <v>58</v>
      </c>
      <c r="J116" s="76" t="s">
        <v>59</v>
      </c>
      <c r="K116" s="76"/>
      <c r="L116" s="76" t="s">
        <v>490</v>
      </c>
      <c r="M116" s="98"/>
      <c r="N116" s="103" t="s">
        <v>491</v>
      </c>
      <c r="O116" s="77"/>
      <c r="P116" s="78"/>
      <c r="Q116" s="78">
        <v>41.073</v>
      </c>
      <c r="R116" s="79" t="s">
        <v>492</v>
      </c>
      <c r="S116" s="79"/>
      <c r="T116" s="79"/>
      <c r="U116" s="79"/>
      <c r="V116" s="153" t="s">
        <v>38</v>
      </c>
      <c r="W116" s="136"/>
    </row>
    <row r="117" spans="1:23" ht="15" customHeight="1">
      <c r="A117" s="242">
        <v>116</v>
      </c>
      <c r="B117" s="242" t="str">
        <f>IF(TRIM(C117)="Test",COUNTIF($C$2:C117,"Test"),"")</f>
        <v/>
      </c>
      <c r="C117" s="91" t="s">
        <v>55</v>
      </c>
      <c r="D117" s="243" t="s">
        <v>145</v>
      </c>
      <c r="E117" s="243"/>
      <c r="F117" s="244">
        <v>20260101</v>
      </c>
      <c r="G117" s="76" t="s">
        <v>146</v>
      </c>
      <c r="H117" s="76" t="s">
        <v>147</v>
      </c>
      <c r="I117" s="76" t="s">
        <v>148</v>
      </c>
      <c r="J117" s="76" t="s">
        <v>31</v>
      </c>
      <c r="K117" s="76"/>
      <c r="L117" s="243" t="s">
        <v>490</v>
      </c>
      <c r="M117" s="99"/>
      <c r="N117" s="165" t="s">
        <v>493</v>
      </c>
      <c r="O117" s="77"/>
      <c r="P117" s="78"/>
      <c r="Q117" s="78">
        <v>28.324999999999999</v>
      </c>
      <c r="R117" s="166" t="s">
        <v>494</v>
      </c>
      <c r="S117" s="166"/>
      <c r="T117" s="166"/>
      <c r="U117" s="166"/>
      <c r="V117" s="62" t="s">
        <v>409</v>
      </c>
    </row>
    <row r="118" spans="1:23" ht="15" customHeight="1">
      <c r="A118" s="116">
        <v>117</v>
      </c>
      <c r="B118" s="116">
        <f>IF(TRIM(C118)="Test",COUNTIF($C$2:C118,"Test"),"")</f>
        <v>94</v>
      </c>
      <c r="C118" s="80" t="s">
        <v>25</v>
      </c>
      <c r="D118" s="76" t="s">
        <v>153</v>
      </c>
      <c r="E118" s="201" t="s">
        <v>154</v>
      </c>
      <c r="F118" s="87">
        <v>20260101</v>
      </c>
      <c r="G118" s="98" t="s">
        <v>155</v>
      </c>
      <c r="H118" s="76" t="s">
        <v>29</v>
      </c>
      <c r="I118" s="76" t="s">
        <v>30</v>
      </c>
      <c r="J118" s="76" t="s">
        <v>31</v>
      </c>
      <c r="K118" s="228" t="s">
        <v>32</v>
      </c>
      <c r="L118" s="76" t="s">
        <v>490</v>
      </c>
      <c r="M118" s="141" t="s">
        <v>495</v>
      </c>
      <c r="N118" s="103" t="s">
        <v>496</v>
      </c>
      <c r="O118" s="238"/>
      <c r="P118" s="78"/>
      <c r="Q118" s="231">
        <v>42.55</v>
      </c>
      <c r="R118" s="209" t="s">
        <v>497</v>
      </c>
      <c r="S118" s="79"/>
      <c r="T118" s="79" t="s">
        <v>498</v>
      </c>
      <c r="U118" s="79" t="s">
        <v>38</v>
      </c>
      <c r="V118" s="62" t="s">
        <v>38</v>
      </c>
    </row>
    <row r="119" spans="1:23" ht="15" customHeight="1">
      <c r="A119" s="116">
        <v>118</v>
      </c>
      <c r="B119" s="116">
        <f>IF(TRIM(C119)="Test",COUNTIF($C$2:C119,"Test"),"")</f>
        <v>95</v>
      </c>
      <c r="C119" s="80" t="s">
        <v>25</v>
      </c>
      <c r="D119" s="76" t="s">
        <v>162</v>
      </c>
      <c r="E119" s="76" t="s">
        <v>27</v>
      </c>
      <c r="F119" s="87">
        <v>20260101</v>
      </c>
      <c r="G119" s="98" t="s">
        <v>163</v>
      </c>
      <c r="H119" s="76" t="s">
        <v>29</v>
      </c>
      <c r="I119" s="76" t="s">
        <v>164</v>
      </c>
      <c r="J119" s="76" t="s">
        <v>31</v>
      </c>
      <c r="K119" s="228" t="s">
        <v>32</v>
      </c>
      <c r="L119" s="76" t="s">
        <v>490</v>
      </c>
      <c r="M119" s="76" t="s">
        <v>404</v>
      </c>
      <c r="N119" s="103" t="s">
        <v>499</v>
      </c>
      <c r="O119" s="238"/>
      <c r="P119" s="78"/>
      <c r="Q119" s="231">
        <v>35.978000000000002</v>
      </c>
      <c r="R119" s="79" t="s">
        <v>500</v>
      </c>
      <c r="S119" s="79"/>
      <c r="T119" s="79"/>
      <c r="U119" s="79"/>
      <c r="V119" s="62" t="s">
        <v>409</v>
      </c>
    </row>
    <row r="120" spans="1:23" ht="15" customHeight="1">
      <c r="A120" s="116">
        <v>119</v>
      </c>
      <c r="B120" s="116">
        <f>IF(TRIM(C120)="Test",COUNTIF($C$2:C120,"Test"),"")</f>
        <v>96</v>
      </c>
      <c r="C120" s="80" t="s">
        <v>25</v>
      </c>
      <c r="D120" s="76" t="s">
        <v>171</v>
      </c>
      <c r="E120" s="76" t="s">
        <v>27</v>
      </c>
      <c r="F120" s="87">
        <v>20260101</v>
      </c>
      <c r="G120" s="98" t="s">
        <v>172</v>
      </c>
      <c r="H120" s="76" t="s">
        <v>48</v>
      </c>
      <c r="I120" s="76" t="s">
        <v>81</v>
      </c>
      <c r="J120" s="76" t="s">
        <v>98</v>
      </c>
      <c r="K120" s="228" t="s">
        <v>32</v>
      </c>
      <c r="L120" s="76" t="s">
        <v>490</v>
      </c>
      <c r="M120" s="76" t="s">
        <v>501</v>
      </c>
      <c r="N120" s="103" t="s">
        <v>502</v>
      </c>
      <c r="O120" s="238"/>
      <c r="P120" s="78"/>
      <c r="Q120" s="231">
        <v>41.732999999999997</v>
      </c>
      <c r="R120" s="79" t="s">
        <v>503</v>
      </c>
      <c r="S120" s="79"/>
      <c r="T120" s="79"/>
      <c r="U120" s="79"/>
      <c r="V120" s="62" t="s">
        <v>409</v>
      </c>
    </row>
    <row r="121" spans="1:23" ht="15" customHeight="1">
      <c r="A121" s="116">
        <v>120</v>
      </c>
      <c r="B121" s="116">
        <f>IF(TRIM(C121)="Test",COUNTIF($C$2:C121,"Test"),"")</f>
        <v>97</v>
      </c>
      <c r="C121" s="80" t="s">
        <v>25</v>
      </c>
      <c r="D121" s="76" t="s">
        <v>177</v>
      </c>
      <c r="E121" s="76" t="s">
        <v>27</v>
      </c>
      <c r="F121" s="87">
        <v>20260101</v>
      </c>
      <c r="G121" s="98" t="s">
        <v>178</v>
      </c>
      <c r="H121" s="76" t="s">
        <v>29</v>
      </c>
      <c r="I121" s="76" t="s">
        <v>30</v>
      </c>
      <c r="J121" s="76" t="s">
        <v>31</v>
      </c>
      <c r="K121" s="228" t="s">
        <v>32</v>
      </c>
      <c r="L121" s="76" t="s">
        <v>504</v>
      </c>
      <c r="M121" s="76"/>
      <c r="N121" s="103" t="s">
        <v>505</v>
      </c>
      <c r="O121" s="238"/>
      <c r="P121" s="78"/>
      <c r="Q121" s="231">
        <v>29.131</v>
      </c>
      <c r="R121" s="79" t="s">
        <v>506</v>
      </c>
      <c r="S121" s="79"/>
      <c r="T121" s="79"/>
      <c r="U121" s="79"/>
      <c r="V121" s="62" t="s">
        <v>38</v>
      </c>
    </row>
    <row r="122" spans="1:23" ht="15" customHeight="1">
      <c r="A122" s="116">
        <v>121</v>
      </c>
      <c r="B122" s="116">
        <f>IF(TRIM(C122)="Test",COUNTIF($C$2:C122,"Test"),"")</f>
        <v>98</v>
      </c>
      <c r="C122" s="80" t="s">
        <v>25</v>
      </c>
      <c r="D122" s="76" t="s">
        <v>184</v>
      </c>
      <c r="E122" s="76" t="s">
        <v>27</v>
      </c>
      <c r="F122" s="87">
        <v>20260101</v>
      </c>
      <c r="G122" s="98" t="s">
        <v>185</v>
      </c>
      <c r="H122" s="76" t="s">
        <v>29</v>
      </c>
      <c r="I122" s="76" t="s">
        <v>92</v>
      </c>
      <c r="J122" s="76" t="s">
        <v>31</v>
      </c>
      <c r="K122" s="228" t="s">
        <v>32</v>
      </c>
      <c r="L122" s="76" t="s">
        <v>507</v>
      </c>
      <c r="M122" s="76" t="s">
        <v>508</v>
      </c>
      <c r="N122" s="104" t="s">
        <v>509</v>
      </c>
      <c r="O122" s="238"/>
      <c r="P122" s="78"/>
      <c r="Q122" s="231">
        <v>42.878</v>
      </c>
      <c r="R122" s="79" t="s">
        <v>510</v>
      </c>
      <c r="S122" s="79"/>
      <c r="T122" s="79"/>
      <c r="U122" s="79"/>
      <c r="V122" s="62" t="s">
        <v>38</v>
      </c>
    </row>
    <row r="123" spans="1:23" ht="15" customHeight="1">
      <c r="A123" s="116">
        <v>122</v>
      </c>
      <c r="B123" s="116">
        <f>IF(TRIM(C123)="Test",COUNTIF($C$2:C123,"Test"),"")</f>
        <v>99</v>
      </c>
      <c r="C123" s="80" t="s">
        <v>25</v>
      </c>
      <c r="D123" s="76" t="s">
        <v>154</v>
      </c>
      <c r="E123" s="76" t="s">
        <v>27</v>
      </c>
      <c r="F123" s="87">
        <v>20260101</v>
      </c>
      <c r="G123" s="98" t="s">
        <v>190</v>
      </c>
      <c r="H123" s="76" t="s">
        <v>48</v>
      </c>
      <c r="I123" s="76" t="s">
        <v>49</v>
      </c>
      <c r="J123" s="76" t="s">
        <v>98</v>
      </c>
      <c r="K123" s="228" t="s">
        <v>41</v>
      </c>
      <c r="L123" s="76" t="s">
        <v>507</v>
      </c>
      <c r="M123" s="76"/>
      <c r="N123" s="103" t="s">
        <v>511</v>
      </c>
      <c r="O123" s="238"/>
      <c r="P123" s="78"/>
      <c r="Q123" s="231">
        <v>38.326999999999998</v>
      </c>
      <c r="R123" s="79" t="s">
        <v>512</v>
      </c>
      <c r="S123" s="79"/>
      <c r="T123" s="79"/>
      <c r="U123" s="79"/>
      <c r="V123" s="62" t="s">
        <v>38</v>
      </c>
    </row>
    <row r="124" spans="1:23" ht="15" customHeight="1">
      <c r="A124" s="116">
        <v>123</v>
      </c>
      <c r="B124" s="116">
        <f>IF(TRIM(C124)="Test",COUNTIF($C$2:C124,"Test"),"")</f>
        <v>100</v>
      </c>
      <c r="C124" s="80" t="s">
        <v>25</v>
      </c>
      <c r="D124" s="76" t="s">
        <v>194</v>
      </c>
      <c r="E124" s="76" t="s">
        <v>27</v>
      </c>
      <c r="F124" s="87">
        <v>20260101</v>
      </c>
      <c r="G124" s="98" t="s">
        <v>195</v>
      </c>
      <c r="H124" s="76" t="s">
        <v>48</v>
      </c>
      <c r="I124" s="76" t="s">
        <v>81</v>
      </c>
      <c r="J124" s="76" t="s">
        <v>63</v>
      </c>
      <c r="K124" s="228" t="s">
        <v>32</v>
      </c>
      <c r="L124" s="76" t="s">
        <v>507</v>
      </c>
      <c r="M124" s="76"/>
      <c r="N124" s="103" t="s">
        <v>513</v>
      </c>
      <c r="O124" s="238"/>
      <c r="P124" s="78"/>
      <c r="Q124" s="231">
        <v>27.686</v>
      </c>
      <c r="R124" s="79" t="s">
        <v>514</v>
      </c>
      <c r="S124" s="79"/>
      <c r="T124" s="79"/>
      <c r="U124" s="79"/>
      <c r="V124" s="62" t="s">
        <v>38</v>
      </c>
    </row>
    <row r="125" spans="1:23" ht="15" customHeight="1">
      <c r="A125" s="252">
        <v>124</v>
      </c>
      <c r="B125" s="252" t="str">
        <f>IF(TRIM(C125)="Test",COUNTIF($C$2:C125,"Test"),"")</f>
        <v/>
      </c>
      <c r="C125" s="253" t="s">
        <v>55</v>
      </c>
      <c r="D125" s="254" t="s">
        <v>200</v>
      </c>
      <c r="E125" s="254"/>
      <c r="F125" s="255">
        <v>20260101</v>
      </c>
      <c r="G125" s="76" t="s">
        <v>201</v>
      </c>
      <c r="H125" s="76" t="s">
        <v>48</v>
      </c>
      <c r="I125" s="76" t="s">
        <v>81</v>
      </c>
      <c r="J125" s="76" t="s">
        <v>98</v>
      </c>
      <c r="K125" s="76" t="s">
        <v>32</v>
      </c>
      <c r="L125" s="254" t="s">
        <v>507</v>
      </c>
      <c r="M125" s="257" t="s">
        <v>508</v>
      </c>
      <c r="N125" s="265" t="s">
        <v>515</v>
      </c>
      <c r="O125" s="77"/>
      <c r="P125" s="78"/>
      <c r="Q125" s="78">
        <v>37.021999999999998</v>
      </c>
      <c r="R125" s="267" t="s">
        <v>516</v>
      </c>
      <c r="S125" s="267"/>
      <c r="T125" s="267"/>
      <c r="U125" s="267"/>
      <c r="V125" s="143" t="s">
        <v>316</v>
      </c>
      <c r="W125" s="63" t="s">
        <v>517</v>
      </c>
    </row>
    <row r="126" spans="1:23" ht="15" customHeight="1">
      <c r="A126" s="116">
        <v>125</v>
      </c>
      <c r="B126" s="116">
        <f>IF(TRIM(C126)="Test",COUNTIF($C$2:C126,"Test"),"")</f>
        <v>101</v>
      </c>
      <c r="C126" s="80" t="s">
        <v>25</v>
      </c>
      <c r="D126" s="76" t="s">
        <v>205</v>
      </c>
      <c r="E126" s="76" t="s">
        <v>27</v>
      </c>
      <c r="F126" s="87">
        <v>20260101</v>
      </c>
      <c r="G126" s="98" t="s">
        <v>206</v>
      </c>
      <c r="H126" s="76" t="s">
        <v>207</v>
      </c>
      <c r="I126" s="76"/>
      <c r="J126" s="76" t="s">
        <v>208</v>
      </c>
      <c r="K126" s="228" t="s">
        <v>32</v>
      </c>
      <c r="L126" s="76" t="s">
        <v>518</v>
      </c>
      <c r="M126" s="76"/>
      <c r="N126" s="140" t="s">
        <v>519</v>
      </c>
      <c r="O126" s="238"/>
      <c r="P126" s="78"/>
      <c r="Q126" s="231">
        <v>16.838999999999999</v>
      </c>
      <c r="R126" s="144" t="s">
        <v>520</v>
      </c>
      <c r="S126" s="144"/>
      <c r="T126" s="144"/>
      <c r="U126" s="144"/>
      <c r="V126" s="150" t="s">
        <v>521</v>
      </c>
    </row>
    <row r="127" spans="1:23" ht="15" customHeight="1">
      <c r="A127" s="116">
        <v>126</v>
      </c>
      <c r="B127" s="116">
        <f>IF(TRIM(C127)="Test",COUNTIF($C$2:C127,"Test"),"")</f>
        <v>102</v>
      </c>
      <c r="C127" s="80" t="s">
        <v>25</v>
      </c>
      <c r="D127" s="76" t="s">
        <v>213</v>
      </c>
      <c r="E127" s="76" t="s">
        <v>27</v>
      </c>
      <c r="F127" s="87">
        <v>20260101</v>
      </c>
      <c r="G127" s="98" t="s">
        <v>214</v>
      </c>
      <c r="H127" s="76" t="s">
        <v>29</v>
      </c>
      <c r="I127" s="76" t="s">
        <v>30</v>
      </c>
      <c r="J127" s="76" t="s">
        <v>31</v>
      </c>
      <c r="K127" s="228" t="s">
        <v>32</v>
      </c>
      <c r="L127" s="76" t="s">
        <v>518</v>
      </c>
      <c r="M127" s="76"/>
      <c r="N127" s="103" t="s">
        <v>522</v>
      </c>
      <c r="O127" s="238"/>
      <c r="P127" s="78"/>
      <c r="Q127" s="231">
        <v>57.668999999999997</v>
      </c>
      <c r="R127" s="79" t="s">
        <v>523</v>
      </c>
      <c r="S127" s="79"/>
      <c r="T127" s="79"/>
      <c r="U127" s="79"/>
      <c r="V127" s="62" t="s">
        <v>38</v>
      </c>
    </row>
    <row r="128" spans="1:23" ht="15" customHeight="1">
      <c r="A128" s="116">
        <v>127</v>
      </c>
      <c r="B128" s="116">
        <f>IF(TRIM(C128)="Test",COUNTIF($C$2:C128,"Test"),"")</f>
        <v>103</v>
      </c>
      <c r="C128" s="80" t="s">
        <v>25</v>
      </c>
      <c r="D128" s="76" t="s">
        <v>218</v>
      </c>
      <c r="E128" s="76" t="s">
        <v>27</v>
      </c>
      <c r="F128" s="87">
        <v>20260101</v>
      </c>
      <c r="G128" s="98" t="s">
        <v>219</v>
      </c>
      <c r="H128" s="76" t="s">
        <v>29</v>
      </c>
      <c r="I128" s="76" t="s">
        <v>30</v>
      </c>
      <c r="J128" s="76" t="s">
        <v>31</v>
      </c>
      <c r="K128" s="228" t="s">
        <v>32</v>
      </c>
      <c r="L128" s="76" t="s">
        <v>524</v>
      </c>
      <c r="M128" s="76" t="s">
        <v>525</v>
      </c>
      <c r="N128" s="103" t="s">
        <v>526</v>
      </c>
      <c r="O128" s="238"/>
      <c r="P128" s="78"/>
      <c r="Q128" s="231">
        <v>26.263000000000002</v>
      </c>
      <c r="R128" s="79" t="s">
        <v>527</v>
      </c>
      <c r="S128" s="79"/>
      <c r="T128" s="79"/>
      <c r="U128" s="79"/>
      <c r="V128" s="62" t="s">
        <v>38</v>
      </c>
    </row>
    <row r="129" spans="1:25" ht="15" customHeight="1">
      <c r="A129" s="122">
        <v>128</v>
      </c>
      <c r="B129" s="122" t="str">
        <f>IF(TRIM(C129)="Test",COUNTIF($C$2:C129,"Test"),"")</f>
        <v/>
      </c>
      <c r="C129" s="262" t="s">
        <v>55</v>
      </c>
      <c r="D129" s="93" t="s">
        <v>26</v>
      </c>
      <c r="E129" s="93"/>
      <c r="F129" s="94">
        <v>20260101</v>
      </c>
      <c r="G129" s="76" t="s">
        <v>28</v>
      </c>
      <c r="H129" s="76" t="s">
        <v>29</v>
      </c>
      <c r="I129" s="76" t="s">
        <v>30</v>
      </c>
      <c r="J129" s="76" t="s">
        <v>31</v>
      </c>
      <c r="K129" s="76" t="s">
        <v>32</v>
      </c>
      <c r="L129" s="273" t="s">
        <v>528</v>
      </c>
      <c r="M129" s="240"/>
      <c r="N129" s="263" t="s">
        <v>529</v>
      </c>
      <c r="O129" s="77"/>
      <c r="P129" s="78"/>
      <c r="Q129" s="78" t="s">
        <v>530</v>
      </c>
      <c r="R129" s="264" t="s">
        <v>531</v>
      </c>
      <c r="S129" s="264"/>
      <c r="T129" s="264"/>
      <c r="U129" s="264"/>
      <c r="V129" s="62" t="s">
        <v>38</v>
      </c>
    </row>
    <row r="130" spans="1:25" ht="15" customHeight="1">
      <c r="A130" s="242">
        <v>129</v>
      </c>
      <c r="B130" s="242" t="str">
        <f>IF(TRIM(C130)="Test",COUNTIF($C$2:C130,"Test"),"")</f>
        <v/>
      </c>
      <c r="C130" s="91" t="s">
        <v>55</v>
      </c>
      <c r="D130" s="243" t="s">
        <v>39</v>
      </c>
      <c r="E130" s="243"/>
      <c r="F130" s="244">
        <v>20260101</v>
      </c>
      <c r="G130" s="76" t="s">
        <v>28</v>
      </c>
      <c r="H130" s="76" t="s">
        <v>29</v>
      </c>
      <c r="I130" s="76" t="s">
        <v>30</v>
      </c>
      <c r="J130" s="76" t="s">
        <v>31</v>
      </c>
      <c r="K130" s="76" t="s">
        <v>41</v>
      </c>
      <c r="L130" s="249" t="s">
        <v>528</v>
      </c>
      <c r="M130" s="99"/>
      <c r="N130" s="165" t="s">
        <v>532</v>
      </c>
      <c r="O130" s="77"/>
      <c r="P130" s="78"/>
      <c r="Q130" s="78">
        <v>25.001999999999999</v>
      </c>
      <c r="R130" s="166" t="s">
        <v>533</v>
      </c>
      <c r="S130" s="166"/>
      <c r="T130" s="166"/>
      <c r="U130" s="166"/>
      <c r="V130" s="62" t="s">
        <v>38</v>
      </c>
    </row>
    <row r="131" spans="1:25" ht="15" customHeight="1">
      <c r="A131" s="116">
        <v>130</v>
      </c>
      <c r="B131" s="116">
        <f>IF(TRIM(C131)="Test",COUNTIF($C$2:C131,"Test"),"")</f>
        <v>104</v>
      </c>
      <c r="C131" s="80" t="s">
        <v>25</v>
      </c>
      <c r="D131" s="76" t="s">
        <v>46</v>
      </c>
      <c r="E131" s="214" t="s">
        <v>39</v>
      </c>
      <c r="F131" s="87">
        <v>20260101</v>
      </c>
      <c r="G131" s="98" t="s">
        <v>47</v>
      </c>
      <c r="H131" s="76" t="s">
        <v>48</v>
      </c>
      <c r="I131" s="76" t="s">
        <v>49</v>
      </c>
      <c r="J131" s="76" t="s">
        <v>50</v>
      </c>
      <c r="K131" s="228" t="s">
        <v>32</v>
      </c>
      <c r="L131" s="139" t="s">
        <v>528</v>
      </c>
      <c r="M131" s="76"/>
      <c r="N131" s="76" t="s">
        <v>534</v>
      </c>
      <c r="O131" s="238"/>
      <c r="P131" s="78"/>
      <c r="Q131" s="231" t="s">
        <v>535</v>
      </c>
      <c r="R131" s="213" t="s">
        <v>536</v>
      </c>
      <c r="S131" s="144"/>
      <c r="T131" s="217" t="s">
        <v>537</v>
      </c>
      <c r="U131" s="79" t="s">
        <v>38</v>
      </c>
      <c r="V131" s="132" t="s">
        <v>538</v>
      </c>
      <c r="W131" s="63" t="s">
        <v>539</v>
      </c>
    </row>
    <row r="132" spans="1:25" ht="15" customHeight="1">
      <c r="A132" s="116">
        <v>131</v>
      </c>
      <c r="B132" s="116">
        <f>IF(TRIM(C132)="Test",COUNTIF($C$2:C132,"Test"),"")</f>
        <v>105</v>
      </c>
      <c r="C132" s="80" t="s">
        <v>25</v>
      </c>
      <c r="D132" s="76" t="s">
        <v>56</v>
      </c>
      <c r="E132" s="76" t="s">
        <v>27</v>
      </c>
      <c r="F132" s="87">
        <v>20260101</v>
      </c>
      <c r="G132" s="98" t="s">
        <v>57</v>
      </c>
      <c r="H132" s="76" t="s">
        <v>29</v>
      </c>
      <c r="I132" s="76" t="s">
        <v>58</v>
      </c>
      <c r="J132" s="76" t="s">
        <v>59</v>
      </c>
      <c r="K132" s="228" t="s">
        <v>41</v>
      </c>
      <c r="L132" s="119" t="s">
        <v>528</v>
      </c>
      <c r="M132" s="76" t="s">
        <v>540</v>
      </c>
      <c r="N132" s="102" t="s">
        <v>541</v>
      </c>
      <c r="O132" s="238"/>
      <c r="P132" s="78"/>
      <c r="Q132" s="231">
        <v>41.798999999999999</v>
      </c>
      <c r="R132" s="79" t="s">
        <v>542</v>
      </c>
      <c r="S132" s="79"/>
      <c r="T132" s="79"/>
      <c r="U132" s="79"/>
      <c r="V132" s="63" t="s">
        <v>38</v>
      </c>
    </row>
    <row r="133" spans="1:25" ht="15" customHeight="1">
      <c r="A133" s="116">
        <v>132</v>
      </c>
      <c r="B133" s="116">
        <f>IF(TRIM(C133)="Test",COUNTIF($C$2:C133,"Test"),"")</f>
        <v>106</v>
      </c>
      <c r="C133" s="80" t="s">
        <v>25</v>
      </c>
      <c r="D133" s="76" t="s">
        <v>40</v>
      </c>
      <c r="E133" s="76" t="s">
        <v>27</v>
      </c>
      <c r="F133" s="87">
        <v>20260101</v>
      </c>
      <c r="G133" s="98" t="s">
        <v>62</v>
      </c>
      <c r="H133" s="76" t="s">
        <v>48</v>
      </c>
      <c r="I133" s="76" t="s">
        <v>49</v>
      </c>
      <c r="J133" s="76" t="s">
        <v>63</v>
      </c>
      <c r="K133" s="228" t="s">
        <v>32</v>
      </c>
      <c r="L133" s="140" t="s">
        <v>543</v>
      </c>
      <c r="M133" s="76"/>
      <c r="N133" s="140" t="s">
        <v>544</v>
      </c>
      <c r="O133" s="238"/>
      <c r="P133" s="78"/>
      <c r="Q133" s="231">
        <v>50.213999999999999</v>
      </c>
      <c r="R133" s="144" t="s">
        <v>545</v>
      </c>
      <c r="S133" s="144"/>
      <c r="T133" s="144"/>
      <c r="U133" s="144"/>
      <c r="V133" s="142" t="s">
        <v>546</v>
      </c>
      <c r="W133" s="63" t="s">
        <v>547</v>
      </c>
    </row>
    <row r="134" spans="1:25" ht="15" customHeight="1">
      <c r="A134" s="116">
        <v>133</v>
      </c>
      <c r="B134" s="116">
        <f>IF(TRIM(C134)="Test",COUNTIF($C$2:C134,"Test"),"")</f>
        <v>107</v>
      </c>
      <c r="C134" s="80" t="s">
        <v>25</v>
      </c>
      <c r="D134" s="76" t="s">
        <v>70</v>
      </c>
      <c r="E134" s="76" t="s">
        <v>27</v>
      </c>
      <c r="F134" s="87">
        <v>20260101</v>
      </c>
      <c r="G134" s="98" t="s">
        <v>62</v>
      </c>
      <c r="H134" s="76" t="s">
        <v>48</v>
      </c>
      <c r="I134" s="76" t="s">
        <v>49</v>
      </c>
      <c r="J134" s="76" t="s">
        <v>63</v>
      </c>
      <c r="K134" s="228" t="s">
        <v>41</v>
      </c>
      <c r="L134" s="118" t="s">
        <v>548</v>
      </c>
      <c r="M134" s="76" t="s">
        <v>549</v>
      </c>
      <c r="N134" s="103" t="s">
        <v>550</v>
      </c>
      <c r="O134" s="238"/>
      <c r="P134" s="78"/>
      <c r="Q134" s="231">
        <v>49.698999999999998</v>
      </c>
      <c r="R134" s="79" t="s">
        <v>551</v>
      </c>
      <c r="S134" s="79"/>
      <c r="T134" s="79"/>
      <c r="U134" s="79"/>
      <c r="V134" s="62" t="s">
        <v>38</v>
      </c>
    </row>
    <row r="135" spans="1:25" ht="15" customHeight="1">
      <c r="A135" s="116">
        <v>134</v>
      </c>
      <c r="B135" s="116">
        <f>IF(TRIM(C135)="Test",COUNTIF($C$2:C135,"Test"),"")</f>
        <v>108</v>
      </c>
      <c r="C135" s="80" t="s">
        <v>25</v>
      </c>
      <c r="D135" s="76" t="s">
        <v>74</v>
      </c>
      <c r="E135" s="76" t="s">
        <v>27</v>
      </c>
      <c r="F135" s="87">
        <v>20260101</v>
      </c>
      <c r="G135" s="98" t="s">
        <v>75</v>
      </c>
      <c r="H135" s="76" t="s">
        <v>29</v>
      </c>
      <c r="I135" s="76" t="s">
        <v>30</v>
      </c>
      <c r="J135" s="76" t="s">
        <v>31</v>
      </c>
      <c r="K135" s="228" t="s">
        <v>32</v>
      </c>
      <c r="L135" s="118" t="s">
        <v>548</v>
      </c>
      <c r="M135" s="76" t="s">
        <v>552</v>
      </c>
      <c r="N135" s="103" t="s">
        <v>553</v>
      </c>
      <c r="O135" s="238"/>
      <c r="P135" s="78"/>
      <c r="Q135" s="231">
        <v>31.506</v>
      </c>
      <c r="R135" s="79" t="s">
        <v>554</v>
      </c>
      <c r="S135" s="79"/>
      <c r="T135" s="79"/>
      <c r="U135" s="79"/>
      <c r="V135" s="62" t="s">
        <v>38</v>
      </c>
    </row>
    <row r="136" spans="1:25" ht="15" customHeight="1">
      <c r="A136" s="116">
        <v>135</v>
      </c>
      <c r="B136" s="116">
        <f>IF(TRIM(C136)="Test",COUNTIF($C$2:C136,"Test"),"")</f>
        <v>109</v>
      </c>
      <c r="C136" s="95" t="s">
        <v>25</v>
      </c>
      <c r="D136" s="76" t="s">
        <v>78</v>
      </c>
      <c r="E136" s="76" t="s">
        <v>27</v>
      </c>
      <c r="F136" s="87">
        <v>20260101</v>
      </c>
      <c r="G136" s="98" t="s">
        <v>79</v>
      </c>
      <c r="H136" s="76" t="s">
        <v>80</v>
      </c>
      <c r="I136" s="76" t="s">
        <v>81</v>
      </c>
      <c r="J136" s="76" t="s">
        <v>31</v>
      </c>
      <c r="K136" s="228" t="s">
        <v>41</v>
      </c>
      <c r="L136" s="139" t="s">
        <v>548</v>
      </c>
      <c r="M136" s="76" t="s">
        <v>552</v>
      </c>
      <c r="N136" s="140" t="s">
        <v>555</v>
      </c>
      <c r="O136" s="238"/>
      <c r="P136" s="78"/>
      <c r="Q136" s="231">
        <v>30.638999999999999</v>
      </c>
      <c r="R136" s="144" t="s">
        <v>556</v>
      </c>
      <c r="S136" s="144"/>
      <c r="T136" s="144"/>
      <c r="U136" s="144"/>
      <c r="V136" s="162" t="s">
        <v>360</v>
      </c>
      <c r="W136" s="133"/>
    </row>
    <row r="137" spans="1:25" ht="15" customHeight="1">
      <c r="A137" s="116">
        <v>136</v>
      </c>
      <c r="B137" s="116">
        <f>IF(TRIM(C137)="Test",COUNTIF($C$2:C137,"Test"),"")</f>
        <v>110</v>
      </c>
      <c r="C137" s="80" t="s">
        <v>25</v>
      </c>
      <c r="D137" s="76" t="s">
        <v>86</v>
      </c>
      <c r="E137" s="76" t="s">
        <v>27</v>
      </c>
      <c r="F137" s="87">
        <v>20260101</v>
      </c>
      <c r="G137" s="98" t="s">
        <v>87</v>
      </c>
      <c r="H137" s="76" t="s">
        <v>48</v>
      </c>
      <c r="I137" s="76" t="s">
        <v>81</v>
      </c>
      <c r="J137" s="76" t="s">
        <v>50</v>
      </c>
      <c r="K137" s="228" t="s">
        <v>32</v>
      </c>
      <c r="L137" s="139" t="s">
        <v>548</v>
      </c>
      <c r="M137" s="222" t="s">
        <v>557</v>
      </c>
      <c r="N137" s="140" t="s">
        <v>558</v>
      </c>
      <c r="O137" s="238"/>
      <c r="P137" s="78"/>
      <c r="Q137" s="231">
        <v>50.018999999999998</v>
      </c>
      <c r="R137" s="144" t="s">
        <v>559</v>
      </c>
      <c r="S137" s="144"/>
      <c r="T137" s="144"/>
      <c r="U137" s="144"/>
      <c r="V137" s="143" t="s">
        <v>175</v>
      </c>
      <c r="W137" s="63" t="s">
        <v>560</v>
      </c>
    </row>
    <row r="138" spans="1:25" ht="15" customHeight="1">
      <c r="A138" s="116">
        <v>137</v>
      </c>
      <c r="B138" s="116">
        <f>IF(TRIM(C138)="Test",COUNTIF($C$2:C138,"Test"),"")</f>
        <v>111</v>
      </c>
      <c r="C138" s="80" t="s">
        <v>25</v>
      </c>
      <c r="D138" s="76" t="s">
        <v>90</v>
      </c>
      <c r="E138" s="76" t="s">
        <v>27</v>
      </c>
      <c r="F138" s="87">
        <v>20260101</v>
      </c>
      <c r="G138" s="98" t="s">
        <v>91</v>
      </c>
      <c r="H138" s="76" t="s">
        <v>29</v>
      </c>
      <c r="I138" s="76" t="s">
        <v>92</v>
      </c>
      <c r="J138" s="76" t="s">
        <v>59</v>
      </c>
      <c r="K138" s="228" t="s">
        <v>32</v>
      </c>
      <c r="L138" s="118" t="s">
        <v>548</v>
      </c>
      <c r="M138" s="76" t="s">
        <v>561</v>
      </c>
      <c r="N138" s="103" t="s">
        <v>562</v>
      </c>
      <c r="O138" s="238"/>
      <c r="P138" s="78"/>
      <c r="Q138" s="231">
        <v>18.87</v>
      </c>
      <c r="R138" s="79" t="s">
        <v>563</v>
      </c>
      <c r="S138" s="79"/>
      <c r="T138" s="79"/>
      <c r="U138" s="79"/>
      <c r="V138" s="62" t="s">
        <v>38</v>
      </c>
    </row>
    <row r="139" spans="1:25" ht="15" customHeight="1">
      <c r="A139" s="116">
        <v>138</v>
      </c>
      <c r="B139" s="116">
        <f>IF(TRIM(C139)="Test",COUNTIF($C$2:C139,"Test"),"")</f>
        <v>112</v>
      </c>
      <c r="C139" s="80" t="s">
        <v>25</v>
      </c>
      <c r="D139" s="76" t="s">
        <v>95</v>
      </c>
      <c r="E139" s="76" t="s">
        <v>27</v>
      </c>
      <c r="F139" s="87">
        <v>20260101</v>
      </c>
      <c r="G139" s="98" t="s">
        <v>96</v>
      </c>
      <c r="H139" s="76" t="s">
        <v>48</v>
      </c>
      <c r="I139" s="76" t="s">
        <v>97</v>
      </c>
      <c r="J139" s="76" t="s">
        <v>98</v>
      </c>
      <c r="K139" s="228" t="s">
        <v>32</v>
      </c>
      <c r="L139" s="118" t="s">
        <v>548</v>
      </c>
      <c r="M139" s="76" t="s">
        <v>564</v>
      </c>
      <c r="N139" s="103" t="s">
        <v>565</v>
      </c>
      <c r="O139" s="238"/>
      <c r="P139" s="78"/>
      <c r="Q139" s="231">
        <v>31.893999999999998</v>
      </c>
      <c r="R139" s="79" t="s">
        <v>566</v>
      </c>
      <c r="S139" s="79"/>
      <c r="T139" s="79"/>
      <c r="U139" s="79"/>
      <c r="V139" s="62" t="s">
        <v>38</v>
      </c>
    </row>
    <row r="140" spans="1:25" ht="15" customHeight="1">
      <c r="A140" s="116">
        <v>139</v>
      </c>
      <c r="B140" s="116">
        <f>IF(TRIM(C140)="Test",COUNTIF($C$2:C140,"Test"),"")</f>
        <v>113</v>
      </c>
      <c r="C140" s="80" t="s">
        <v>25</v>
      </c>
      <c r="D140" s="76" t="s">
        <v>101</v>
      </c>
      <c r="E140" s="76" t="s">
        <v>27</v>
      </c>
      <c r="F140" s="87">
        <v>20260101</v>
      </c>
      <c r="G140" s="98" t="s">
        <v>102</v>
      </c>
      <c r="H140" s="76" t="s">
        <v>29</v>
      </c>
      <c r="I140" s="76" t="s">
        <v>103</v>
      </c>
      <c r="J140" s="76" t="s">
        <v>31</v>
      </c>
      <c r="K140" s="228" t="s">
        <v>32</v>
      </c>
      <c r="L140" s="139" t="s">
        <v>548</v>
      </c>
      <c r="M140" s="76"/>
      <c r="N140" s="140" t="s">
        <v>567</v>
      </c>
      <c r="O140" s="238"/>
      <c r="P140" s="78"/>
      <c r="Q140" s="231">
        <v>16.381</v>
      </c>
      <c r="R140" s="144" t="s">
        <v>568</v>
      </c>
      <c r="S140" s="144"/>
      <c r="T140" s="144"/>
      <c r="U140" s="144"/>
      <c r="V140" s="150" t="s">
        <v>569</v>
      </c>
      <c r="W140" s="63" t="s">
        <v>570</v>
      </c>
      <c r="Y140" s="63" t="s">
        <v>372</v>
      </c>
    </row>
    <row r="141" spans="1:25" ht="15" customHeight="1">
      <c r="A141" s="116">
        <v>140</v>
      </c>
      <c r="B141" s="116">
        <f>IF(TRIM(C141)="Test",COUNTIF($C$2:C141,"Test"),"")</f>
        <v>114</v>
      </c>
      <c r="C141" s="80" t="s">
        <v>25</v>
      </c>
      <c r="D141" s="76" t="s">
        <v>108</v>
      </c>
      <c r="E141" s="76" t="s">
        <v>27</v>
      </c>
      <c r="F141" s="87">
        <v>20260101</v>
      </c>
      <c r="G141" s="98" t="s">
        <v>109</v>
      </c>
      <c r="H141" s="76" t="s">
        <v>48</v>
      </c>
      <c r="I141" s="76" t="s">
        <v>81</v>
      </c>
      <c r="J141" s="76" t="s">
        <v>98</v>
      </c>
      <c r="K141" s="228" t="s">
        <v>32</v>
      </c>
      <c r="L141" s="139" t="s">
        <v>548</v>
      </c>
      <c r="M141" s="76"/>
      <c r="N141" s="140" t="s">
        <v>571</v>
      </c>
      <c r="O141" s="238"/>
      <c r="P141" s="78"/>
      <c r="Q141" s="231">
        <v>31.436</v>
      </c>
      <c r="R141" s="144" t="s">
        <v>572</v>
      </c>
      <c r="S141" s="144"/>
      <c r="T141" s="144"/>
      <c r="U141" s="144"/>
      <c r="V141" s="148" t="s">
        <v>269</v>
      </c>
      <c r="W141" s="63" t="s">
        <v>260</v>
      </c>
    </row>
    <row r="142" spans="1:25" ht="15" customHeight="1">
      <c r="A142" s="274">
        <v>141</v>
      </c>
      <c r="B142" s="274" t="str">
        <f>IF(TRIM(C142)="Test",COUNTIF($C$2:C142,"Test"),"")</f>
        <v/>
      </c>
      <c r="C142" s="262" t="s">
        <v>55</v>
      </c>
      <c r="D142" s="93" t="s">
        <v>112</v>
      </c>
      <c r="E142" s="93"/>
      <c r="F142" s="94">
        <v>20260101</v>
      </c>
      <c r="G142" s="76" t="s">
        <v>113</v>
      </c>
      <c r="H142" s="76" t="s">
        <v>48</v>
      </c>
      <c r="I142" s="76" t="s">
        <v>49</v>
      </c>
      <c r="J142" s="76" t="s">
        <v>98</v>
      </c>
      <c r="K142" s="76" t="s">
        <v>32</v>
      </c>
      <c r="L142" s="274" t="s">
        <v>472</v>
      </c>
      <c r="M142" s="275"/>
      <c r="N142" s="263" t="s">
        <v>573</v>
      </c>
      <c r="O142" s="77"/>
      <c r="P142" s="78"/>
      <c r="Q142" s="78">
        <v>30.882000000000001</v>
      </c>
      <c r="R142" s="264" t="s">
        <v>574</v>
      </c>
      <c r="S142" s="264"/>
      <c r="T142" s="264"/>
      <c r="U142" s="264"/>
      <c r="V142" s="63" t="s">
        <v>38</v>
      </c>
    </row>
    <row r="143" spans="1:25" ht="15" customHeight="1">
      <c r="A143" s="118">
        <v>142</v>
      </c>
      <c r="B143" s="118" t="str">
        <f>IF(TRIM(C143)="Test",COUNTIF($C$2:C143,"Test"),"")</f>
        <v/>
      </c>
      <c r="C143" s="80" t="s">
        <v>55</v>
      </c>
      <c r="D143" s="76" t="s">
        <v>118</v>
      </c>
      <c r="E143" s="76"/>
      <c r="F143" s="87">
        <v>20260101</v>
      </c>
      <c r="G143" s="76" t="s">
        <v>119</v>
      </c>
      <c r="H143" s="76" t="s">
        <v>29</v>
      </c>
      <c r="I143" s="76" t="s">
        <v>92</v>
      </c>
      <c r="J143" s="76" t="s">
        <v>31</v>
      </c>
      <c r="K143" s="76" t="s">
        <v>41</v>
      </c>
      <c r="L143" s="118" t="s">
        <v>575</v>
      </c>
      <c r="M143" s="120" t="s">
        <v>473</v>
      </c>
      <c r="N143" s="103" t="s">
        <v>576</v>
      </c>
      <c r="O143" s="77"/>
      <c r="P143" s="78"/>
      <c r="Q143" s="78">
        <v>14.605</v>
      </c>
      <c r="R143" s="79" t="s">
        <v>577</v>
      </c>
      <c r="S143" s="79"/>
      <c r="T143" s="79"/>
      <c r="U143" s="79"/>
      <c r="V143" s="62" t="s">
        <v>38</v>
      </c>
    </row>
    <row r="144" spans="1:25" ht="15" customHeight="1">
      <c r="A144" s="118">
        <v>143</v>
      </c>
      <c r="B144" s="118" t="str">
        <f>IF(TRIM(C144)="Test",COUNTIF($C$2:C144,"Test"),"")</f>
        <v/>
      </c>
      <c r="C144" s="80" t="s">
        <v>55</v>
      </c>
      <c r="D144" s="76" t="s">
        <v>124</v>
      </c>
      <c r="E144" s="76"/>
      <c r="F144" s="87">
        <v>20260101</v>
      </c>
      <c r="G144" s="76" t="s">
        <v>125</v>
      </c>
      <c r="H144" s="76" t="s">
        <v>48</v>
      </c>
      <c r="I144" s="76" t="s">
        <v>49</v>
      </c>
      <c r="J144" s="76" t="s">
        <v>50</v>
      </c>
      <c r="K144" s="76" t="s">
        <v>41</v>
      </c>
      <c r="L144" s="118" t="s">
        <v>575</v>
      </c>
      <c r="M144" s="120" t="s">
        <v>473</v>
      </c>
      <c r="N144" s="103" t="s">
        <v>578</v>
      </c>
      <c r="O144" s="77"/>
      <c r="P144" s="78"/>
      <c r="Q144" s="78">
        <v>32.04</v>
      </c>
      <c r="R144" s="79" t="s">
        <v>579</v>
      </c>
      <c r="S144" s="79"/>
      <c r="T144" s="79"/>
      <c r="U144" s="79"/>
      <c r="V144" s="62" t="s">
        <v>38</v>
      </c>
    </row>
    <row r="145" spans="1:23" ht="15" customHeight="1">
      <c r="A145" s="118">
        <v>144</v>
      </c>
      <c r="B145" s="118" t="str">
        <f>IF(TRIM(C145)="Test",COUNTIF($C$2:C145,"Test"),"")</f>
        <v/>
      </c>
      <c r="C145" s="80" t="s">
        <v>55</v>
      </c>
      <c r="D145" s="76" t="s">
        <v>128</v>
      </c>
      <c r="E145" s="76"/>
      <c r="F145" s="87">
        <v>20260101</v>
      </c>
      <c r="G145" s="76" t="s">
        <v>129</v>
      </c>
      <c r="H145" s="76" t="s">
        <v>48</v>
      </c>
      <c r="I145" s="76" t="s">
        <v>49</v>
      </c>
      <c r="J145" s="76" t="s">
        <v>63</v>
      </c>
      <c r="K145" s="76" t="s">
        <v>32</v>
      </c>
      <c r="L145" s="118" t="s">
        <v>575</v>
      </c>
      <c r="M145" s="120" t="s">
        <v>473</v>
      </c>
      <c r="N145" s="103" t="s">
        <v>580</v>
      </c>
      <c r="O145" s="77"/>
      <c r="P145" s="78"/>
      <c r="Q145" s="78">
        <v>26.509</v>
      </c>
      <c r="R145" s="79" t="s">
        <v>581</v>
      </c>
      <c r="S145" s="79"/>
      <c r="T145" s="79"/>
      <c r="U145" s="79"/>
      <c r="V145" s="62" t="s">
        <v>38</v>
      </c>
    </row>
    <row r="146" spans="1:23" ht="15" customHeight="1">
      <c r="A146" s="118">
        <v>145</v>
      </c>
      <c r="B146" s="118" t="str">
        <f>IF(TRIM(C146)="Test",COUNTIF($C$2:C146,"Test"),"")</f>
        <v/>
      </c>
      <c r="C146" s="80" t="s">
        <v>55</v>
      </c>
      <c r="D146" s="76" t="s">
        <v>134</v>
      </c>
      <c r="E146" s="76"/>
      <c r="F146" s="87">
        <v>20260101</v>
      </c>
      <c r="G146" s="76" t="s">
        <v>135</v>
      </c>
      <c r="H146" s="76" t="s">
        <v>29</v>
      </c>
      <c r="I146" s="76" t="s">
        <v>30</v>
      </c>
      <c r="J146" s="76" t="s">
        <v>31</v>
      </c>
      <c r="K146" s="76" t="s">
        <v>32</v>
      </c>
      <c r="L146" s="118" t="s">
        <v>575</v>
      </c>
      <c r="M146" s="120" t="s">
        <v>473</v>
      </c>
      <c r="N146" s="103" t="s">
        <v>582</v>
      </c>
      <c r="O146" s="77"/>
      <c r="P146" s="78"/>
      <c r="Q146" s="78">
        <v>19.931000000000001</v>
      </c>
      <c r="R146" s="79" t="s">
        <v>583</v>
      </c>
      <c r="S146" s="79"/>
      <c r="T146" s="79"/>
      <c r="U146" s="79"/>
      <c r="V146" s="62" t="s">
        <v>38</v>
      </c>
    </row>
    <row r="147" spans="1:23" ht="15" customHeight="1">
      <c r="A147" s="118">
        <v>146</v>
      </c>
      <c r="B147" s="118" t="str">
        <f>IF(TRIM(C147)="Test",COUNTIF($C$2:C147,"Test"),"")</f>
        <v/>
      </c>
      <c r="C147" s="80" t="s">
        <v>55</v>
      </c>
      <c r="D147" s="76" t="s">
        <v>140</v>
      </c>
      <c r="E147" s="76"/>
      <c r="F147" s="87">
        <v>20260101</v>
      </c>
      <c r="G147" s="76" t="s">
        <v>141</v>
      </c>
      <c r="H147" s="76" t="s">
        <v>142</v>
      </c>
      <c r="I147" s="76" t="s">
        <v>58</v>
      </c>
      <c r="J147" s="76" t="s">
        <v>59</v>
      </c>
      <c r="K147" s="76"/>
      <c r="L147" s="118" t="s">
        <v>575</v>
      </c>
      <c r="M147" s="120" t="s">
        <v>473</v>
      </c>
      <c r="N147" s="103" t="s">
        <v>584</v>
      </c>
      <c r="O147" s="77"/>
      <c r="P147" s="78"/>
      <c r="Q147" s="78">
        <v>24.821999999999999</v>
      </c>
      <c r="R147" s="79" t="s">
        <v>585</v>
      </c>
      <c r="S147" s="79"/>
      <c r="T147" s="79"/>
      <c r="U147" s="79"/>
      <c r="V147" s="62" t="s">
        <v>38</v>
      </c>
    </row>
    <row r="148" spans="1:23" ht="15" customHeight="1">
      <c r="A148" s="118">
        <v>147</v>
      </c>
      <c r="B148" s="118" t="str">
        <f>IF(TRIM(C148)="Test",COUNTIF($C$2:C148,"Test"),"")</f>
        <v/>
      </c>
      <c r="C148" s="80" t="s">
        <v>55</v>
      </c>
      <c r="D148" s="76" t="s">
        <v>145</v>
      </c>
      <c r="E148" s="76"/>
      <c r="F148" s="87">
        <v>20260101</v>
      </c>
      <c r="G148" s="76" t="s">
        <v>146</v>
      </c>
      <c r="H148" s="76" t="s">
        <v>147</v>
      </c>
      <c r="I148" s="76" t="s">
        <v>148</v>
      </c>
      <c r="J148" s="76" t="s">
        <v>31</v>
      </c>
      <c r="K148" s="76"/>
      <c r="L148" s="118" t="s">
        <v>575</v>
      </c>
      <c r="M148" s="120" t="s">
        <v>473</v>
      </c>
      <c r="N148" s="103" t="s">
        <v>586</v>
      </c>
      <c r="O148" s="77"/>
      <c r="P148" s="78"/>
      <c r="Q148" s="78">
        <v>22.936</v>
      </c>
      <c r="R148" s="79" t="s">
        <v>587</v>
      </c>
      <c r="S148" s="79"/>
      <c r="T148" s="79"/>
      <c r="U148" s="79"/>
      <c r="V148" s="62" t="s">
        <v>38</v>
      </c>
    </row>
    <row r="149" spans="1:23" ht="15" customHeight="1">
      <c r="A149" s="118">
        <v>148</v>
      </c>
      <c r="B149" s="118" t="str">
        <f>IF(TRIM(C149)="Test",COUNTIF($C$2:C149,"Test"),"")</f>
        <v/>
      </c>
      <c r="C149" s="80" t="s">
        <v>55</v>
      </c>
      <c r="D149" s="76" t="s">
        <v>153</v>
      </c>
      <c r="E149" s="76"/>
      <c r="F149" s="87">
        <v>20260101</v>
      </c>
      <c r="G149" s="76" t="s">
        <v>155</v>
      </c>
      <c r="H149" s="76" t="s">
        <v>29</v>
      </c>
      <c r="I149" s="76" t="s">
        <v>30</v>
      </c>
      <c r="J149" s="76" t="s">
        <v>31</v>
      </c>
      <c r="K149" s="76" t="s">
        <v>32</v>
      </c>
      <c r="L149" s="118" t="s">
        <v>575</v>
      </c>
      <c r="M149" s="120" t="s">
        <v>473</v>
      </c>
      <c r="N149" s="103" t="s">
        <v>588</v>
      </c>
      <c r="O149" s="77"/>
      <c r="P149" s="78"/>
      <c r="Q149" s="78">
        <v>57.616999999999997</v>
      </c>
      <c r="R149" s="79" t="s">
        <v>589</v>
      </c>
      <c r="S149" s="79"/>
      <c r="T149" s="79"/>
      <c r="U149" s="79"/>
      <c r="V149" s="62" t="s">
        <v>38</v>
      </c>
    </row>
    <row r="150" spans="1:23" ht="15" customHeight="1">
      <c r="A150" s="118">
        <v>149</v>
      </c>
      <c r="B150" s="118" t="str">
        <f>IF(TRIM(C150)="Test",COUNTIF($C$2:C150,"Test"),"")</f>
        <v/>
      </c>
      <c r="C150" s="80" t="s">
        <v>55</v>
      </c>
      <c r="D150" s="76" t="s">
        <v>162</v>
      </c>
      <c r="E150" s="76"/>
      <c r="F150" s="87">
        <v>20260101</v>
      </c>
      <c r="G150" s="76" t="s">
        <v>163</v>
      </c>
      <c r="H150" s="76" t="s">
        <v>29</v>
      </c>
      <c r="I150" s="76" t="s">
        <v>164</v>
      </c>
      <c r="J150" s="76" t="s">
        <v>31</v>
      </c>
      <c r="K150" s="76" t="s">
        <v>32</v>
      </c>
      <c r="L150" s="139" t="s">
        <v>575</v>
      </c>
      <c r="M150" s="145" t="s">
        <v>473</v>
      </c>
      <c r="N150" s="140" t="s">
        <v>590</v>
      </c>
      <c r="O150" s="77"/>
      <c r="P150" s="78"/>
      <c r="Q150" s="78">
        <v>16.62</v>
      </c>
      <c r="R150" s="144" t="s">
        <v>591</v>
      </c>
      <c r="S150" s="144"/>
      <c r="T150" s="144"/>
      <c r="U150" s="144"/>
      <c r="V150" s="151" t="s">
        <v>592</v>
      </c>
      <c r="W150" s="63" t="s">
        <v>593</v>
      </c>
    </row>
    <row r="151" spans="1:23" ht="15" customHeight="1">
      <c r="A151" s="118">
        <v>150</v>
      </c>
      <c r="B151" s="118" t="str">
        <f>IF(TRIM(C151)="Test",COUNTIF($C$2:C151,"Test"),"")</f>
        <v/>
      </c>
      <c r="C151" s="80" t="s">
        <v>55</v>
      </c>
      <c r="D151" s="76" t="s">
        <v>171</v>
      </c>
      <c r="E151" s="76"/>
      <c r="F151" s="87">
        <v>20260101</v>
      </c>
      <c r="G151" s="76" t="s">
        <v>172</v>
      </c>
      <c r="H151" s="76" t="s">
        <v>48</v>
      </c>
      <c r="I151" s="76" t="s">
        <v>81</v>
      </c>
      <c r="J151" s="76" t="s">
        <v>98</v>
      </c>
      <c r="K151" s="76" t="s">
        <v>32</v>
      </c>
      <c r="L151" s="118" t="s">
        <v>575</v>
      </c>
      <c r="M151" s="120" t="s">
        <v>473</v>
      </c>
      <c r="N151" s="103" t="s">
        <v>594</v>
      </c>
      <c r="O151" s="77"/>
      <c r="P151" s="78"/>
      <c r="Q151" s="78">
        <v>48.5</v>
      </c>
      <c r="R151" s="79" t="s">
        <v>595</v>
      </c>
      <c r="S151" s="79"/>
      <c r="T151" s="79"/>
      <c r="U151" s="79"/>
      <c r="V151" s="62" t="s">
        <v>38</v>
      </c>
    </row>
    <row r="152" spans="1:23" ht="15" customHeight="1">
      <c r="A152" s="118">
        <v>151</v>
      </c>
      <c r="B152" s="118" t="str">
        <f>IF(TRIM(C152)="Test",COUNTIF($C$2:C152,"Test"),"")</f>
        <v/>
      </c>
      <c r="C152" s="80" t="s">
        <v>55</v>
      </c>
      <c r="D152" s="76" t="s">
        <v>177</v>
      </c>
      <c r="E152" s="76"/>
      <c r="F152" s="87">
        <v>20260101</v>
      </c>
      <c r="G152" s="76" t="s">
        <v>178</v>
      </c>
      <c r="H152" s="76" t="s">
        <v>29</v>
      </c>
      <c r="I152" s="76" t="s">
        <v>30</v>
      </c>
      <c r="J152" s="76" t="s">
        <v>31</v>
      </c>
      <c r="K152" s="76" t="s">
        <v>32</v>
      </c>
      <c r="L152" s="118" t="s">
        <v>575</v>
      </c>
      <c r="M152" s="120" t="s">
        <v>473</v>
      </c>
      <c r="N152" s="103" t="s">
        <v>596</v>
      </c>
      <c r="O152" s="77"/>
      <c r="P152" s="78"/>
      <c r="Q152" s="78">
        <v>21.791</v>
      </c>
      <c r="R152" s="79" t="s">
        <v>597</v>
      </c>
      <c r="S152" s="79"/>
      <c r="T152" s="79"/>
      <c r="U152" s="79"/>
      <c r="V152" s="62" t="s">
        <v>38</v>
      </c>
    </row>
    <row r="153" spans="1:23" ht="15" customHeight="1">
      <c r="A153" s="118">
        <v>152</v>
      </c>
      <c r="B153" s="118" t="str">
        <f>IF(TRIM(C153)="Test",COUNTIF($C$2:C153,"Test"),"")</f>
        <v/>
      </c>
      <c r="C153" s="80" t="s">
        <v>55</v>
      </c>
      <c r="D153" s="76" t="s">
        <v>184</v>
      </c>
      <c r="E153" s="76"/>
      <c r="F153" s="87">
        <v>20260101</v>
      </c>
      <c r="G153" s="76" t="s">
        <v>185</v>
      </c>
      <c r="H153" s="76" t="s">
        <v>29</v>
      </c>
      <c r="I153" s="76" t="s">
        <v>92</v>
      </c>
      <c r="J153" s="76" t="s">
        <v>31</v>
      </c>
      <c r="K153" s="76" t="s">
        <v>32</v>
      </c>
      <c r="L153" s="139" t="s">
        <v>575</v>
      </c>
      <c r="M153" s="145" t="s">
        <v>473</v>
      </c>
      <c r="N153" s="140" t="s">
        <v>598</v>
      </c>
      <c r="O153" s="77"/>
      <c r="P153" s="78"/>
      <c r="Q153" s="78">
        <v>34.761000000000003</v>
      </c>
      <c r="R153" s="144" t="s">
        <v>599</v>
      </c>
      <c r="S153" s="144"/>
      <c r="T153" s="144"/>
      <c r="U153" s="144"/>
      <c r="V153" s="151" t="s">
        <v>592</v>
      </c>
      <c r="W153" s="63" t="s">
        <v>593</v>
      </c>
    </row>
    <row r="154" spans="1:23" ht="15" customHeight="1">
      <c r="A154" s="118">
        <v>153</v>
      </c>
      <c r="B154" s="118" t="str">
        <f>IF(TRIM(C154)="Test",COUNTIF($C$2:C154,"Test"),"")</f>
        <v/>
      </c>
      <c r="C154" s="80" t="s">
        <v>55</v>
      </c>
      <c r="D154" s="76" t="s">
        <v>154</v>
      </c>
      <c r="E154" s="76"/>
      <c r="F154" s="87">
        <v>20260101</v>
      </c>
      <c r="G154" s="76" t="s">
        <v>190</v>
      </c>
      <c r="H154" s="76" t="s">
        <v>48</v>
      </c>
      <c r="I154" s="76" t="s">
        <v>49</v>
      </c>
      <c r="J154" s="76" t="s">
        <v>98</v>
      </c>
      <c r="K154" s="76" t="s">
        <v>41</v>
      </c>
      <c r="L154" s="118" t="s">
        <v>575</v>
      </c>
      <c r="M154" s="120" t="s">
        <v>473</v>
      </c>
      <c r="N154" s="103" t="s">
        <v>600</v>
      </c>
      <c r="O154" s="77"/>
      <c r="P154" s="78"/>
      <c r="Q154" s="78">
        <v>45.402999999999999</v>
      </c>
      <c r="R154" s="79" t="s">
        <v>601</v>
      </c>
      <c r="S154" s="79"/>
      <c r="T154" s="79"/>
      <c r="U154" s="79"/>
      <c r="V154" s="62" t="s">
        <v>38</v>
      </c>
    </row>
    <row r="155" spans="1:23" ht="15" customHeight="1">
      <c r="A155" s="118">
        <v>154</v>
      </c>
      <c r="B155" s="118" t="str">
        <f>IF(TRIM(C155)="Test",COUNTIF($C$2:C155,"Test"),"")</f>
        <v/>
      </c>
      <c r="C155" s="80" t="s">
        <v>55</v>
      </c>
      <c r="D155" s="76" t="s">
        <v>194</v>
      </c>
      <c r="E155" s="76"/>
      <c r="F155" s="87">
        <v>20260101</v>
      </c>
      <c r="G155" s="76" t="s">
        <v>195</v>
      </c>
      <c r="H155" s="76" t="s">
        <v>48</v>
      </c>
      <c r="I155" s="76" t="s">
        <v>81</v>
      </c>
      <c r="J155" s="76" t="s">
        <v>63</v>
      </c>
      <c r="K155" s="76" t="s">
        <v>32</v>
      </c>
      <c r="L155" s="118" t="s">
        <v>575</v>
      </c>
      <c r="M155" s="120" t="s">
        <v>473</v>
      </c>
      <c r="N155" s="103" t="s">
        <v>602</v>
      </c>
      <c r="O155" s="77"/>
      <c r="P155" s="78"/>
      <c r="Q155" s="78">
        <v>24.814</v>
      </c>
      <c r="R155" s="79" t="s">
        <v>603</v>
      </c>
      <c r="S155" s="79"/>
      <c r="T155" s="79"/>
      <c r="U155" s="79"/>
      <c r="V155" s="62" t="s">
        <v>38</v>
      </c>
    </row>
    <row r="156" spans="1:23" ht="15" customHeight="1">
      <c r="A156" s="118">
        <v>155</v>
      </c>
      <c r="B156" s="118" t="str">
        <f>IF(TRIM(C156)="Test",COUNTIF($C$2:C156,"Test"),"")</f>
        <v/>
      </c>
      <c r="C156" s="80" t="s">
        <v>55</v>
      </c>
      <c r="D156" s="76" t="s">
        <v>200</v>
      </c>
      <c r="E156" s="76"/>
      <c r="F156" s="87">
        <v>20260101</v>
      </c>
      <c r="G156" s="76" t="s">
        <v>201</v>
      </c>
      <c r="H156" s="76" t="s">
        <v>48</v>
      </c>
      <c r="I156" s="76" t="s">
        <v>81</v>
      </c>
      <c r="J156" s="76" t="s">
        <v>98</v>
      </c>
      <c r="K156" s="76" t="s">
        <v>32</v>
      </c>
      <c r="L156" s="118" t="s">
        <v>575</v>
      </c>
      <c r="M156" s="120" t="s">
        <v>604</v>
      </c>
      <c r="N156" s="103" t="s">
        <v>605</v>
      </c>
      <c r="O156" s="77"/>
      <c r="P156" s="78"/>
      <c r="Q156" s="78">
        <v>25.481000000000002</v>
      </c>
      <c r="R156" s="79" t="s">
        <v>606</v>
      </c>
      <c r="S156" s="79"/>
      <c r="T156" s="79"/>
      <c r="U156" s="79"/>
      <c r="V156" s="62" t="s">
        <v>38</v>
      </c>
    </row>
    <row r="157" spans="1:23" ht="15" customHeight="1">
      <c r="A157" s="118">
        <v>156</v>
      </c>
      <c r="B157" s="118" t="str">
        <f>IF(TRIM(C157)="Test",COUNTIF($C$2:C157,"Test"),"")</f>
        <v/>
      </c>
      <c r="C157" s="80" t="s">
        <v>55</v>
      </c>
      <c r="D157" s="76" t="s">
        <v>205</v>
      </c>
      <c r="E157" s="76"/>
      <c r="F157" s="87">
        <v>20260101</v>
      </c>
      <c r="G157" s="76" t="s">
        <v>206</v>
      </c>
      <c r="H157" s="76" t="s">
        <v>207</v>
      </c>
      <c r="I157" s="76"/>
      <c r="J157" s="76" t="s">
        <v>208</v>
      </c>
      <c r="K157" s="76" t="s">
        <v>32</v>
      </c>
      <c r="L157" s="118" t="s">
        <v>575</v>
      </c>
      <c r="M157" s="120" t="s">
        <v>473</v>
      </c>
      <c r="N157" s="103" t="s">
        <v>607</v>
      </c>
      <c r="O157" s="77"/>
      <c r="P157" s="78"/>
      <c r="Q157" s="78">
        <v>30.158000000000001</v>
      </c>
      <c r="R157" s="79" t="s">
        <v>608</v>
      </c>
      <c r="S157" s="79"/>
      <c r="T157" s="79"/>
      <c r="U157" s="79"/>
      <c r="V157" s="62" t="s">
        <v>38</v>
      </c>
    </row>
    <row r="158" spans="1:23" ht="15" customHeight="1">
      <c r="A158" s="118">
        <v>157</v>
      </c>
      <c r="B158" s="118" t="str">
        <f>IF(TRIM(C158)="Test",COUNTIF($C$2:C158,"Test"),"")</f>
        <v/>
      </c>
      <c r="C158" s="80" t="s">
        <v>55</v>
      </c>
      <c r="D158" s="76" t="s">
        <v>213</v>
      </c>
      <c r="E158" s="76"/>
      <c r="F158" s="87">
        <v>20260101</v>
      </c>
      <c r="G158" s="76" t="s">
        <v>214</v>
      </c>
      <c r="H158" s="76" t="s">
        <v>29</v>
      </c>
      <c r="I158" s="76" t="s">
        <v>30</v>
      </c>
      <c r="J158" s="76" t="s">
        <v>31</v>
      </c>
      <c r="K158" s="76" t="s">
        <v>32</v>
      </c>
      <c r="L158" s="118" t="s">
        <v>575</v>
      </c>
      <c r="M158" s="120" t="s">
        <v>473</v>
      </c>
      <c r="N158" s="103" t="s">
        <v>609</v>
      </c>
      <c r="O158" s="77"/>
      <c r="P158" s="78"/>
      <c r="Q158" s="78">
        <v>46.835999999999999</v>
      </c>
      <c r="R158" s="79" t="s">
        <v>610</v>
      </c>
      <c r="S158" s="79"/>
      <c r="T158" s="79"/>
      <c r="U158" s="79"/>
      <c r="V158" s="62" t="s">
        <v>38</v>
      </c>
    </row>
    <row r="159" spans="1:23" ht="15" customHeight="1">
      <c r="A159" s="118">
        <v>158</v>
      </c>
      <c r="B159" s="118" t="str">
        <f>IF(TRIM(C159)="Test",COUNTIF($C$2:C159,"Test"),"")</f>
        <v/>
      </c>
      <c r="C159" s="80" t="s">
        <v>55</v>
      </c>
      <c r="D159" s="76" t="s">
        <v>218</v>
      </c>
      <c r="E159" s="76"/>
      <c r="F159" s="87">
        <v>20260101</v>
      </c>
      <c r="G159" s="76" t="s">
        <v>219</v>
      </c>
      <c r="H159" s="76" t="s">
        <v>29</v>
      </c>
      <c r="I159" s="76" t="s">
        <v>30</v>
      </c>
      <c r="J159" s="76" t="s">
        <v>31</v>
      </c>
      <c r="K159" s="76" t="s">
        <v>32</v>
      </c>
      <c r="L159" s="118" t="s">
        <v>575</v>
      </c>
      <c r="M159" s="120" t="s">
        <v>473</v>
      </c>
      <c r="N159" s="103" t="s">
        <v>611</v>
      </c>
      <c r="O159" s="77"/>
      <c r="P159" s="78"/>
      <c r="Q159" s="78">
        <v>34.481000000000002</v>
      </c>
      <c r="R159" s="79" t="s">
        <v>612</v>
      </c>
      <c r="S159" s="79"/>
      <c r="T159" s="79"/>
      <c r="U159" s="79"/>
      <c r="V159" s="62" t="s">
        <v>38</v>
      </c>
    </row>
    <row r="160" spans="1:23" ht="15" customHeight="1">
      <c r="A160" s="118">
        <v>159</v>
      </c>
      <c r="B160" s="118" t="str">
        <f>IF(TRIM(C160)="Test",COUNTIF($C$2:C160,"Test"),"")</f>
        <v/>
      </c>
      <c r="C160" s="80" t="s">
        <v>55</v>
      </c>
      <c r="D160" s="76" t="s">
        <v>222</v>
      </c>
      <c r="E160" s="76"/>
      <c r="F160" s="87">
        <v>20260101</v>
      </c>
      <c r="G160" s="76" t="s">
        <v>223</v>
      </c>
      <c r="H160" s="76" t="s">
        <v>80</v>
      </c>
      <c r="I160" s="76" t="s">
        <v>81</v>
      </c>
      <c r="J160" s="76" t="s">
        <v>59</v>
      </c>
      <c r="K160" s="76" t="s">
        <v>32</v>
      </c>
      <c r="L160" s="118" t="s">
        <v>575</v>
      </c>
      <c r="M160" s="120" t="s">
        <v>473</v>
      </c>
      <c r="N160" s="103" t="s">
        <v>613</v>
      </c>
      <c r="O160" s="77"/>
      <c r="P160" s="78"/>
      <c r="Q160" s="78">
        <v>41.003</v>
      </c>
      <c r="R160" s="79" t="s">
        <v>614</v>
      </c>
      <c r="S160" s="79"/>
      <c r="T160" s="79"/>
      <c r="U160" s="79"/>
      <c r="V160" s="62" t="s">
        <v>38</v>
      </c>
    </row>
    <row r="161" spans="1:25" ht="15" customHeight="1">
      <c r="A161" s="118">
        <v>160</v>
      </c>
      <c r="B161" s="118" t="str">
        <f>IF(TRIM(C161)="Test",COUNTIF($C$2:C161,"Test"),"")</f>
        <v/>
      </c>
      <c r="C161" s="80" t="s">
        <v>55</v>
      </c>
      <c r="D161" s="76" t="s">
        <v>26</v>
      </c>
      <c r="E161" s="76"/>
      <c r="F161" s="87">
        <v>20260101</v>
      </c>
      <c r="G161" s="76" t="s">
        <v>28</v>
      </c>
      <c r="H161" s="76" t="s">
        <v>29</v>
      </c>
      <c r="I161" s="76" t="s">
        <v>30</v>
      </c>
      <c r="J161" s="76" t="s">
        <v>31</v>
      </c>
      <c r="K161" s="76" t="s">
        <v>32</v>
      </c>
      <c r="L161" s="118" t="s">
        <v>575</v>
      </c>
      <c r="M161" s="120" t="s">
        <v>473</v>
      </c>
      <c r="N161" s="103" t="s">
        <v>615</v>
      </c>
      <c r="O161" s="77"/>
      <c r="P161" s="78"/>
      <c r="Q161" s="78">
        <v>29.792000000000002</v>
      </c>
      <c r="R161" s="79" t="s">
        <v>616</v>
      </c>
      <c r="S161" s="79"/>
      <c r="T161" s="79"/>
      <c r="U161" s="79"/>
      <c r="V161" s="62" t="s">
        <v>38</v>
      </c>
    </row>
    <row r="162" spans="1:25" ht="15" customHeight="1">
      <c r="A162" s="250">
        <v>161</v>
      </c>
      <c r="B162" s="250" t="str">
        <f>IF(TRIM(C162)="Test",COUNTIF($C$2:C162,"Test"),"")</f>
        <v/>
      </c>
      <c r="C162" s="91" t="s">
        <v>55</v>
      </c>
      <c r="D162" s="243" t="s">
        <v>39</v>
      </c>
      <c r="E162" s="243"/>
      <c r="F162" s="244">
        <v>20260101</v>
      </c>
      <c r="G162" s="76" t="s">
        <v>28</v>
      </c>
      <c r="H162" s="76" t="s">
        <v>29</v>
      </c>
      <c r="I162" s="76" t="s">
        <v>30</v>
      </c>
      <c r="J162" s="76" t="s">
        <v>31</v>
      </c>
      <c r="K162" s="76" t="s">
        <v>41</v>
      </c>
      <c r="L162" s="250" t="s">
        <v>575</v>
      </c>
      <c r="M162" s="251" t="s">
        <v>473</v>
      </c>
      <c r="N162" s="165" t="s">
        <v>617</v>
      </c>
      <c r="O162" s="77"/>
      <c r="P162" s="78"/>
      <c r="Q162" s="78">
        <v>34.460999999999999</v>
      </c>
      <c r="R162" s="166" t="s">
        <v>618</v>
      </c>
      <c r="S162" s="166"/>
      <c r="T162" s="166"/>
      <c r="U162" s="166"/>
      <c r="V162" s="62" t="s">
        <v>38</v>
      </c>
    </row>
    <row r="163" spans="1:25" ht="15" customHeight="1">
      <c r="A163" s="116">
        <v>162</v>
      </c>
      <c r="B163" s="116">
        <f>IF(TRIM(C163)="Test",COUNTIF($C$2:C163,"Test"),"")</f>
        <v>115</v>
      </c>
      <c r="C163" s="80" t="s">
        <v>25</v>
      </c>
      <c r="D163" s="76" t="s">
        <v>46</v>
      </c>
      <c r="E163" s="123" t="s">
        <v>39</v>
      </c>
      <c r="F163" s="87">
        <v>20260101</v>
      </c>
      <c r="G163" s="98" t="s">
        <v>47</v>
      </c>
      <c r="H163" s="76" t="s">
        <v>48</v>
      </c>
      <c r="I163" s="76" t="s">
        <v>49</v>
      </c>
      <c r="J163" s="76" t="s">
        <v>50</v>
      </c>
      <c r="K163" s="228" t="s">
        <v>32</v>
      </c>
      <c r="L163" s="139" t="s">
        <v>619</v>
      </c>
      <c r="M163" s="222" t="s">
        <v>620</v>
      </c>
      <c r="N163" s="140" t="s">
        <v>621</v>
      </c>
      <c r="O163" s="238"/>
      <c r="P163" s="78"/>
      <c r="Q163" s="231">
        <v>48.296999999999997</v>
      </c>
      <c r="R163" s="213" t="s">
        <v>622</v>
      </c>
      <c r="S163" s="144"/>
      <c r="T163" s="144" t="s">
        <v>623</v>
      </c>
      <c r="U163" s="144" t="s">
        <v>38</v>
      </c>
      <c r="V163" s="132" t="s">
        <v>624</v>
      </c>
      <c r="W163" s="63" t="s">
        <v>625</v>
      </c>
    </row>
    <row r="164" spans="1:25" ht="15" customHeight="1">
      <c r="A164" s="116">
        <v>163</v>
      </c>
      <c r="B164" s="116">
        <f>IF(TRIM(C164)="Test",COUNTIF($C$2:C164,"Test"),"")</f>
        <v>116</v>
      </c>
      <c r="C164" s="80" t="s">
        <v>25</v>
      </c>
      <c r="D164" s="76" t="s">
        <v>56</v>
      </c>
      <c r="E164" s="76" t="s">
        <v>27</v>
      </c>
      <c r="F164" s="87">
        <v>20260101</v>
      </c>
      <c r="G164" s="98" t="s">
        <v>57</v>
      </c>
      <c r="H164" s="76" t="s">
        <v>29</v>
      </c>
      <c r="I164" s="76" t="s">
        <v>58</v>
      </c>
      <c r="J164" s="76" t="s">
        <v>59</v>
      </c>
      <c r="K164" s="228" t="s">
        <v>41</v>
      </c>
      <c r="L164" s="139" t="s">
        <v>619</v>
      </c>
      <c r="M164" s="76" t="s">
        <v>626</v>
      </c>
      <c r="N164" s="140" t="s">
        <v>627</v>
      </c>
      <c r="O164" s="238"/>
      <c r="P164" s="78"/>
      <c r="Q164" s="231">
        <v>26.042999999999999</v>
      </c>
      <c r="R164" s="144" t="s">
        <v>628</v>
      </c>
      <c r="S164" s="144"/>
      <c r="T164" s="144"/>
      <c r="U164" s="144"/>
      <c r="V164" s="133" t="s">
        <v>629</v>
      </c>
      <c r="W164" s="63" t="s">
        <v>630</v>
      </c>
    </row>
    <row r="165" spans="1:25" ht="15" customHeight="1">
      <c r="A165" s="116">
        <v>164</v>
      </c>
      <c r="B165" s="116">
        <f>IF(TRIM(C165)="Test",COUNTIF($C$2:C165,"Test"),"")</f>
        <v>117</v>
      </c>
      <c r="C165" s="80" t="s">
        <v>25</v>
      </c>
      <c r="D165" s="76" t="s">
        <v>40</v>
      </c>
      <c r="E165" s="76" t="s">
        <v>27</v>
      </c>
      <c r="F165" s="87">
        <v>20260101</v>
      </c>
      <c r="G165" s="98" t="s">
        <v>62</v>
      </c>
      <c r="H165" s="76" t="s">
        <v>48</v>
      </c>
      <c r="I165" s="76" t="s">
        <v>49</v>
      </c>
      <c r="J165" s="76" t="s">
        <v>63</v>
      </c>
      <c r="K165" s="228" t="s">
        <v>32</v>
      </c>
      <c r="L165" s="118" t="s">
        <v>619</v>
      </c>
      <c r="M165" s="76" t="s">
        <v>552</v>
      </c>
      <c r="N165" s="103" t="s">
        <v>631</v>
      </c>
      <c r="O165" s="238"/>
      <c r="P165" s="78"/>
      <c r="Q165" s="231">
        <v>37.286000000000001</v>
      </c>
      <c r="R165" s="79" t="s">
        <v>632</v>
      </c>
      <c r="S165" s="79"/>
      <c r="T165" s="79"/>
      <c r="U165" s="79"/>
      <c r="V165" s="62" t="s">
        <v>38</v>
      </c>
    </row>
    <row r="166" spans="1:25" ht="15" customHeight="1">
      <c r="A166" s="116">
        <v>165</v>
      </c>
      <c r="B166" s="116">
        <f>IF(TRIM(C166)="Test",COUNTIF($C$2:C166,"Test"),"")</f>
        <v>118</v>
      </c>
      <c r="C166" s="80" t="s">
        <v>25</v>
      </c>
      <c r="D166" s="76" t="s">
        <v>70</v>
      </c>
      <c r="E166" s="76" t="s">
        <v>27</v>
      </c>
      <c r="F166" s="87">
        <v>20260101</v>
      </c>
      <c r="G166" s="98" t="s">
        <v>62</v>
      </c>
      <c r="H166" s="76" t="s">
        <v>48</v>
      </c>
      <c r="I166" s="76" t="s">
        <v>49</v>
      </c>
      <c r="J166" s="76" t="s">
        <v>63</v>
      </c>
      <c r="K166" s="228" t="s">
        <v>41</v>
      </c>
      <c r="L166" s="118" t="s">
        <v>619</v>
      </c>
      <c r="M166" s="76" t="s">
        <v>552</v>
      </c>
      <c r="N166" s="103" t="s">
        <v>633</v>
      </c>
      <c r="O166" s="238"/>
      <c r="P166" s="78"/>
      <c r="Q166" s="231">
        <v>28.062000000000001</v>
      </c>
      <c r="R166" s="79" t="s">
        <v>634</v>
      </c>
      <c r="S166" s="79"/>
      <c r="T166" s="79"/>
      <c r="U166" s="79"/>
      <c r="V166" s="62" t="s">
        <v>38</v>
      </c>
    </row>
    <row r="167" spans="1:25" ht="15" customHeight="1">
      <c r="A167" s="116">
        <v>166</v>
      </c>
      <c r="B167" s="116">
        <f>IF(TRIM(C167)="Test",COUNTIF($C$2:C167,"Test"),"")</f>
        <v>119</v>
      </c>
      <c r="C167" s="80" t="s">
        <v>25</v>
      </c>
      <c r="D167" s="76" t="s">
        <v>74</v>
      </c>
      <c r="E167" s="76" t="s">
        <v>27</v>
      </c>
      <c r="F167" s="87">
        <v>20260101</v>
      </c>
      <c r="G167" s="98" t="s">
        <v>75</v>
      </c>
      <c r="H167" s="76" t="s">
        <v>29</v>
      </c>
      <c r="I167" s="76" t="s">
        <v>30</v>
      </c>
      <c r="J167" s="76" t="s">
        <v>31</v>
      </c>
      <c r="K167" s="228" t="s">
        <v>32</v>
      </c>
      <c r="L167" s="118" t="s">
        <v>619</v>
      </c>
      <c r="M167" s="76" t="s">
        <v>552</v>
      </c>
      <c r="N167" s="103" t="s">
        <v>635</v>
      </c>
      <c r="O167" s="238"/>
      <c r="P167" s="78"/>
      <c r="Q167" s="231">
        <v>25.398</v>
      </c>
      <c r="R167" s="79" t="s">
        <v>636</v>
      </c>
      <c r="S167" s="79"/>
      <c r="T167" s="79"/>
      <c r="U167" s="79"/>
      <c r="V167" s="62" t="s">
        <v>38</v>
      </c>
    </row>
    <row r="168" spans="1:25" ht="15" customHeight="1">
      <c r="A168" s="116">
        <v>167</v>
      </c>
      <c r="B168" s="116">
        <f>IF(TRIM(C168)="Test",COUNTIF($C$2:C168,"Test"),"")</f>
        <v>120</v>
      </c>
      <c r="C168" s="95" t="s">
        <v>25</v>
      </c>
      <c r="D168" s="76" t="s">
        <v>78</v>
      </c>
      <c r="E168" s="76" t="s">
        <v>27</v>
      </c>
      <c r="F168" s="87">
        <v>20260101</v>
      </c>
      <c r="G168" s="98" t="s">
        <v>79</v>
      </c>
      <c r="H168" s="76" t="s">
        <v>80</v>
      </c>
      <c r="I168" s="76" t="s">
        <v>81</v>
      </c>
      <c r="J168" s="76" t="s">
        <v>31</v>
      </c>
      <c r="K168" s="228" t="s">
        <v>41</v>
      </c>
      <c r="L168" s="139" t="s">
        <v>619</v>
      </c>
      <c r="M168" s="76" t="s">
        <v>637</v>
      </c>
      <c r="N168" s="140" t="s">
        <v>638</v>
      </c>
      <c r="O168" s="238"/>
      <c r="P168" s="78"/>
      <c r="Q168" s="231">
        <v>46.82</v>
      </c>
      <c r="R168" s="144" t="s">
        <v>639</v>
      </c>
      <c r="S168" s="144"/>
      <c r="T168" s="144"/>
      <c r="U168" s="144"/>
      <c r="V168" s="142" t="s">
        <v>360</v>
      </c>
      <c r="W168" s="133"/>
    </row>
    <row r="169" spans="1:25" ht="15" customHeight="1">
      <c r="A169" s="116">
        <v>168</v>
      </c>
      <c r="B169" s="116">
        <f>IF(TRIM(C169)="Test",COUNTIF($C$2:C169,"Test"),"")</f>
        <v>121</v>
      </c>
      <c r="C169" s="80" t="s">
        <v>25</v>
      </c>
      <c r="D169" s="76" t="s">
        <v>86</v>
      </c>
      <c r="E169" s="76" t="s">
        <v>27</v>
      </c>
      <c r="F169" s="87">
        <v>20260101</v>
      </c>
      <c r="G169" s="98" t="s">
        <v>87</v>
      </c>
      <c r="H169" s="76" t="s">
        <v>48</v>
      </c>
      <c r="I169" s="76" t="s">
        <v>81</v>
      </c>
      <c r="J169" s="76" t="s">
        <v>50</v>
      </c>
      <c r="K169" s="228" t="s">
        <v>32</v>
      </c>
      <c r="L169" s="140" t="s">
        <v>640</v>
      </c>
      <c r="M169" s="76" t="s">
        <v>641</v>
      </c>
      <c r="N169" s="140" t="s">
        <v>642</v>
      </c>
      <c r="O169" s="238"/>
      <c r="P169" s="78"/>
      <c r="Q169" s="231">
        <v>24.308</v>
      </c>
      <c r="R169" s="144" t="s">
        <v>643</v>
      </c>
      <c r="S169" s="144"/>
      <c r="T169" s="144"/>
      <c r="U169" s="144"/>
      <c r="V169" s="148" t="s">
        <v>175</v>
      </c>
      <c r="W169" s="63" t="s">
        <v>644</v>
      </c>
    </row>
    <row r="170" spans="1:25" ht="15" customHeight="1">
      <c r="A170" s="116">
        <v>169</v>
      </c>
      <c r="B170" s="116">
        <f>IF(TRIM(C170)="Test",COUNTIF($C$2:C170,"Test"),"")</f>
        <v>122</v>
      </c>
      <c r="C170" s="80" t="s">
        <v>25</v>
      </c>
      <c r="D170" s="76" t="s">
        <v>90</v>
      </c>
      <c r="E170" s="76" t="s">
        <v>27</v>
      </c>
      <c r="F170" s="87">
        <v>20260101</v>
      </c>
      <c r="G170" s="98" t="s">
        <v>91</v>
      </c>
      <c r="H170" s="76" t="s">
        <v>29</v>
      </c>
      <c r="I170" s="76" t="s">
        <v>92</v>
      </c>
      <c r="J170" s="76" t="s">
        <v>59</v>
      </c>
      <c r="K170" s="228" t="s">
        <v>32</v>
      </c>
      <c r="L170" s="103" t="s">
        <v>645</v>
      </c>
      <c r="M170" s="76" t="s">
        <v>646</v>
      </c>
      <c r="N170" s="103" t="s">
        <v>647</v>
      </c>
      <c r="O170" s="238"/>
      <c r="P170" s="78"/>
      <c r="Q170" s="231">
        <v>42.761000000000003</v>
      </c>
      <c r="R170" s="79" t="s">
        <v>648</v>
      </c>
      <c r="S170" s="79"/>
      <c r="T170" s="79"/>
      <c r="U170" s="79"/>
      <c r="V170" s="62" t="s">
        <v>38</v>
      </c>
    </row>
    <row r="171" spans="1:25" ht="15" customHeight="1">
      <c r="A171" s="116">
        <v>170</v>
      </c>
      <c r="B171" s="116">
        <f>IF(TRIM(C171)="Test",COUNTIF($C$2:C171,"Test"),"")</f>
        <v>123</v>
      </c>
      <c r="C171" s="80" t="s">
        <v>25</v>
      </c>
      <c r="D171" s="76" t="s">
        <v>95</v>
      </c>
      <c r="E171" s="76" t="s">
        <v>27</v>
      </c>
      <c r="F171" s="87">
        <v>20260101</v>
      </c>
      <c r="G171" s="98" t="s">
        <v>96</v>
      </c>
      <c r="H171" s="76" t="s">
        <v>48</v>
      </c>
      <c r="I171" s="76" t="s">
        <v>97</v>
      </c>
      <c r="J171" s="76" t="s">
        <v>98</v>
      </c>
      <c r="K171" s="228" t="s">
        <v>32</v>
      </c>
      <c r="L171" s="139" t="s">
        <v>619</v>
      </c>
      <c r="M171" s="76" t="s">
        <v>637</v>
      </c>
      <c r="N171" s="140" t="s">
        <v>649</v>
      </c>
      <c r="O171" s="238"/>
      <c r="P171" s="78"/>
      <c r="Q171" s="231">
        <v>13.868</v>
      </c>
      <c r="R171" s="144" t="s">
        <v>650</v>
      </c>
      <c r="S171" s="144"/>
      <c r="T171" s="144"/>
      <c r="U171" s="144"/>
      <c r="V171" s="148" t="s">
        <v>259</v>
      </c>
      <c r="W171" s="63" t="s">
        <v>260</v>
      </c>
    </row>
    <row r="172" spans="1:25" ht="15" customHeight="1">
      <c r="A172" s="116">
        <v>171</v>
      </c>
      <c r="B172" s="116">
        <f>IF(TRIM(C172)="Test",COUNTIF($C$2:C172,"Test"),"")</f>
        <v>124</v>
      </c>
      <c r="C172" s="80" t="s">
        <v>25</v>
      </c>
      <c r="D172" s="76" t="s">
        <v>101</v>
      </c>
      <c r="E172" s="76" t="s">
        <v>27</v>
      </c>
      <c r="F172" s="87">
        <v>20260101</v>
      </c>
      <c r="G172" s="98" t="s">
        <v>102</v>
      </c>
      <c r="H172" s="76" t="s">
        <v>29</v>
      </c>
      <c r="I172" s="76" t="s">
        <v>103</v>
      </c>
      <c r="J172" s="76" t="s">
        <v>31</v>
      </c>
      <c r="K172" s="228" t="s">
        <v>32</v>
      </c>
      <c r="L172" s="139" t="s">
        <v>619</v>
      </c>
      <c r="M172" s="76" t="s">
        <v>552</v>
      </c>
      <c r="N172" s="140" t="s">
        <v>651</v>
      </c>
      <c r="O172" s="238"/>
      <c r="P172" s="78"/>
      <c r="Q172" s="231">
        <v>29.367000000000001</v>
      </c>
      <c r="R172" s="144" t="s">
        <v>652</v>
      </c>
      <c r="S172" s="144"/>
      <c r="T172" s="144"/>
      <c r="U172" s="144"/>
      <c r="V172" s="150" t="s">
        <v>653</v>
      </c>
      <c r="W172" s="63" t="s">
        <v>371</v>
      </c>
      <c r="Y172" s="63" t="s">
        <v>372</v>
      </c>
    </row>
    <row r="173" spans="1:25" ht="15" customHeight="1">
      <c r="A173" s="116">
        <v>172</v>
      </c>
      <c r="B173" s="116">
        <f>IF(TRIM(C173)="Test",COUNTIF($C$2:C173,"Test"),"")</f>
        <v>125</v>
      </c>
      <c r="C173" s="80" t="s">
        <v>25</v>
      </c>
      <c r="D173" s="76" t="s">
        <v>108</v>
      </c>
      <c r="E173" s="76" t="s">
        <v>27</v>
      </c>
      <c r="F173" s="87">
        <v>20260101</v>
      </c>
      <c r="G173" s="98" t="s">
        <v>109</v>
      </c>
      <c r="H173" s="76" t="s">
        <v>48</v>
      </c>
      <c r="I173" s="76" t="s">
        <v>81</v>
      </c>
      <c r="J173" s="76" t="s">
        <v>98</v>
      </c>
      <c r="K173" s="228" t="s">
        <v>32</v>
      </c>
      <c r="L173" s="139" t="s">
        <v>619</v>
      </c>
      <c r="M173" s="76" t="s">
        <v>552</v>
      </c>
      <c r="N173" s="140" t="s">
        <v>654</v>
      </c>
      <c r="O173" s="238"/>
      <c r="P173" s="78"/>
      <c r="Q173" s="231">
        <v>35.023000000000003</v>
      </c>
      <c r="R173" s="144" t="s">
        <v>655</v>
      </c>
      <c r="S173" s="144"/>
      <c r="T173" s="144"/>
      <c r="U173" s="144"/>
      <c r="V173" s="148" t="s">
        <v>269</v>
      </c>
      <c r="W173" s="63" t="s">
        <v>260</v>
      </c>
    </row>
    <row r="174" spans="1:25" ht="15" customHeight="1">
      <c r="A174" s="116">
        <v>173</v>
      </c>
      <c r="B174" s="116">
        <f>IF(TRIM(C174)="Test",COUNTIF($C$2:C174,"Test"),"")</f>
        <v>126</v>
      </c>
      <c r="C174" s="80" t="s">
        <v>25</v>
      </c>
      <c r="D174" s="76" t="s">
        <v>112</v>
      </c>
      <c r="E174" s="76" t="s">
        <v>27</v>
      </c>
      <c r="F174" s="87">
        <v>20260101</v>
      </c>
      <c r="G174" s="98" t="s">
        <v>113</v>
      </c>
      <c r="H174" s="76" t="s">
        <v>48</v>
      </c>
      <c r="I174" s="76" t="s">
        <v>49</v>
      </c>
      <c r="J174" s="76" t="s">
        <v>98</v>
      </c>
      <c r="K174" s="228" t="s">
        <v>32</v>
      </c>
      <c r="L174" s="139" t="s">
        <v>619</v>
      </c>
      <c r="M174" s="76" t="s">
        <v>637</v>
      </c>
      <c r="N174" s="140" t="s">
        <v>656</v>
      </c>
      <c r="O174" s="238"/>
      <c r="P174" s="78"/>
      <c r="Q174" s="231">
        <v>21.59</v>
      </c>
      <c r="R174" s="144" t="s">
        <v>657</v>
      </c>
      <c r="S174" s="144"/>
      <c r="T174" s="144"/>
      <c r="U174" s="144"/>
      <c r="V174" s="133" t="s">
        <v>624</v>
      </c>
      <c r="W174" s="63" t="s">
        <v>658</v>
      </c>
    </row>
    <row r="175" spans="1:25" ht="15" customHeight="1">
      <c r="A175" s="116">
        <v>174</v>
      </c>
      <c r="B175" s="116">
        <f>IF(TRIM(C175)="Test",COUNTIF($C$2:C175,"Test"),"")</f>
        <v>127</v>
      </c>
      <c r="C175" s="80" t="s">
        <v>25</v>
      </c>
      <c r="D175" s="76" t="s">
        <v>118</v>
      </c>
      <c r="E175" s="76" t="s">
        <v>27</v>
      </c>
      <c r="F175" s="87">
        <v>20260101</v>
      </c>
      <c r="G175" s="98" t="s">
        <v>119</v>
      </c>
      <c r="H175" s="76" t="s">
        <v>29</v>
      </c>
      <c r="I175" s="76" t="s">
        <v>92</v>
      </c>
      <c r="J175" s="76" t="s">
        <v>31</v>
      </c>
      <c r="K175" s="228" t="s">
        <v>41</v>
      </c>
      <c r="L175" s="139" t="s">
        <v>619</v>
      </c>
      <c r="M175" s="76" t="s">
        <v>552</v>
      </c>
      <c r="N175" s="140" t="s">
        <v>659</v>
      </c>
      <c r="O175" s="238"/>
      <c r="P175" s="78"/>
      <c r="Q175" s="231">
        <v>26.824999999999999</v>
      </c>
      <c r="R175" s="144" t="s">
        <v>660</v>
      </c>
      <c r="S175" s="144"/>
      <c r="T175" s="144"/>
      <c r="U175" s="144"/>
      <c r="V175" s="132" t="s">
        <v>661</v>
      </c>
      <c r="W175" s="63" t="s">
        <v>662</v>
      </c>
    </row>
    <row r="176" spans="1:25" ht="15" customHeight="1">
      <c r="A176" s="116">
        <v>175</v>
      </c>
      <c r="B176" s="116">
        <f>IF(TRIM(C176)="Test",COUNTIF($C$2:C176,"Test"),"")</f>
        <v>128</v>
      </c>
      <c r="C176" s="80" t="s">
        <v>25</v>
      </c>
      <c r="D176" s="76" t="s">
        <v>124</v>
      </c>
      <c r="E176" s="76" t="s">
        <v>27</v>
      </c>
      <c r="F176" s="87">
        <v>20260101</v>
      </c>
      <c r="G176" s="98" t="s">
        <v>125</v>
      </c>
      <c r="H176" s="76" t="s">
        <v>48</v>
      </c>
      <c r="I176" s="76" t="s">
        <v>49</v>
      </c>
      <c r="J176" s="76" t="s">
        <v>50</v>
      </c>
      <c r="K176" s="228" t="s">
        <v>41</v>
      </c>
      <c r="L176" s="118" t="s">
        <v>619</v>
      </c>
      <c r="M176" s="76" t="s">
        <v>552</v>
      </c>
      <c r="N176" s="103" t="s">
        <v>663</v>
      </c>
      <c r="O176" s="238"/>
      <c r="P176" s="78"/>
      <c r="Q176" s="231">
        <v>43.826999999999998</v>
      </c>
      <c r="R176" s="79" t="s">
        <v>664</v>
      </c>
      <c r="S176" s="79"/>
      <c r="T176" s="79"/>
      <c r="U176" s="79"/>
      <c r="V176" s="62" t="s">
        <v>38</v>
      </c>
    </row>
    <row r="177" spans="1:25" ht="15" customHeight="1">
      <c r="A177" s="116">
        <v>176</v>
      </c>
      <c r="B177" s="116">
        <f>IF(TRIM(C177)="Test",COUNTIF($C$2:C177,"Test"),"")</f>
        <v>129</v>
      </c>
      <c r="C177" s="80" t="s">
        <v>25</v>
      </c>
      <c r="D177" s="76" t="s">
        <v>128</v>
      </c>
      <c r="E177" s="76" t="s">
        <v>27</v>
      </c>
      <c r="F177" s="87">
        <v>20260101</v>
      </c>
      <c r="G177" s="98" t="s">
        <v>129</v>
      </c>
      <c r="H177" s="76" t="s">
        <v>48</v>
      </c>
      <c r="I177" s="76" t="s">
        <v>49</v>
      </c>
      <c r="J177" s="76" t="s">
        <v>63</v>
      </c>
      <c r="K177" s="228" t="s">
        <v>32</v>
      </c>
      <c r="L177" s="118" t="s">
        <v>619</v>
      </c>
      <c r="M177" s="76" t="s">
        <v>552</v>
      </c>
      <c r="N177" s="103" t="s">
        <v>665</v>
      </c>
      <c r="O177" s="238"/>
      <c r="P177" s="78"/>
      <c r="Q177" s="231">
        <v>23.498000000000001</v>
      </c>
      <c r="R177" s="79" t="s">
        <v>666</v>
      </c>
      <c r="S177" s="79"/>
      <c r="T177" s="79"/>
      <c r="U177" s="79"/>
      <c r="V177" s="62" t="s">
        <v>38</v>
      </c>
    </row>
    <row r="178" spans="1:25" ht="15" customHeight="1">
      <c r="A178" s="116">
        <v>177</v>
      </c>
      <c r="B178" s="116">
        <f>IF(TRIM(C178)="Test",COUNTIF($C$2:C178,"Test"),"")</f>
        <v>130</v>
      </c>
      <c r="C178" s="80" t="s">
        <v>25</v>
      </c>
      <c r="D178" s="76" t="s">
        <v>134</v>
      </c>
      <c r="E178" s="76" t="s">
        <v>27</v>
      </c>
      <c r="F178" s="87">
        <v>20260101</v>
      </c>
      <c r="G178" s="98" t="s">
        <v>135</v>
      </c>
      <c r="H178" s="76" t="s">
        <v>29</v>
      </c>
      <c r="I178" s="76" t="s">
        <v>30</v>
      </c>
      <c r="J178" s="76" t="s">
        <v>31</v>
      </c>
      <c r="K178" s="228" t="s">
        <v>32</v>
      </c>
      <c r="L178" s="118" t="s">
        <v>619</v>
      </c>
      <c r="M178" s="76" t="s">
        <v>667</v>
      </c>
      <c r="N178" s="103" t="s">
        <v>668</v>
      </c>
      <c r="O178" s="238"/>
      <c r="P178" s="78"/>
      <c r="Q178" s="231">
        <v>40.710999999999999</v>
      </c>
      <c r="R178" s="79" t="s">
        <v>669</v>
      </c>
      <c r="S178" s="79"/>
      <c r="T178" s="79"/>
      <c r="U178" s="79"/>
      <c r="V178" s="62" t="s">
        <v>38</v>
      </c>
    </row>
    <row r="179" spans="1:25" ht="15" customHeight="1">
      <c r="A179" s="116">
        <v>178</v>
      </c>
      <c r="B179" s="116">
        <f>IF(TRIM(C179)="Test",COUNTIF($C$2:C179,"Test"),"")</f>
        <v>131</v>
      </c>
      <c r="C179" s="80" t="s">
        <v>25</v>
      </c>
      <c r="D179" s="76" t="s">
        <v>140</v>
      </c>
      <c r="E179" s="76" t="s">
        <v>27</v>
      </c>
      <c r="F179" s="87">
        <v>20260101</v>
      </c>
      <c r="G179" s="98" t="s">
        <v>141</v>
      </c>
      <c r="H179" s="76" t="s">
        <v>142</v>
      </c>
      <c r="I179" s="76" t="s">
        <v>58</v>
      </c>
      <c r="J179" s="76" t="s">
        <v>59</v>
      </c>
      <c r="K179" s="228"/>
      <c r="L179" s="139" t="s">
        <v>619</v>
      </c>
      <c r="M179" s="76" t="s">
        <v>552</v>
      </c>
      <c r="N179" s="140" t="s">
        <v>670</v>
      </c>
      <c r="O179" s="238"/>
      <c r="P179" s="78"/>
      <c r="Q179" s="231">
        <v>25.863</v>
      </c>
      <c r="R179" s="144" t="s">
        <v>671</v>
      </c>
      <c r="S179" s="144"/>
      <c r="T179" s="144"/>
      <c r="U179" s="144"/>
      <c r="V179" s="142" t="s">
        <v>288</v>
      </c>
      <c r="W179" s="63" t="s">
        <v>289</v>
      </c>
    </row>
    <row r="180" spans="1:25" ht="15" customHeight="1">
      <c r="A180" s="116">
        <v>179</v>
      </c>
      <c r="B180" s="116">
        <f>IF(TRIM(C180)="Test",COUNTIF($C$2:C180,"Test"),"")</f>
        <v>132</v>
      </c>
      <c r="C180" s="80" t="s">
        <v>25</v>
      </c>
      <c r="D180" s="76" t="s">
        <v>145</v>
      </c>
      <c r="E180" s="214" t="s">
        <v>140</v>
      </c>
      <c r="F180" s="87">
        <v>20260101</v>
      </c>
      <c r="G180" s="98" t="s">
        <v>146</v>
      </c>
      <c r="H180" s="76" t="s">
        <v>147</v>
      </c>
      <c r="I180" s="76" t="s">
        <v>148</v>
      </c>
      <c r="J180" s="76" t="s">
        <v>31</v>
      </c>
      <c r="K180" s="228"/>
      <c r="L180" s="118" t="s">
        <v>619</v>
      </c>
      <c r="M180" s="76" t="s">
        <v>552</v>
      </c>
      <c r="N180" s="103" t="s">
        <v>672</v>
      </c>
      <c r="O180" s="238"/>
      <c r="P180" s="78"/>
      <c r="Q180" s="231">
        <v>31.492999999999999</v>
      </c>
      <c r="R180" s="209" t="s">
        <v>673</v>
      </c>
      <c r="S180" s="79"/>
      <c r="T180" s="79" t="s">
        <v>674</v>
      </c>
      <c r="U180" s="79" t="s">
        <v>38</v>
      </c>
      <c r="V180" s="62" t="s">
        <v>409</v>
      </c>
    </row>
    <row r="181" spans="1:25" ht="15" customHeight="1">
      <c r="A181" s="116">
        <v>180</v>
      </c>
      <c r="B181" s="116">
        <f>IF(TRIM(C181)="Test",COUNTIF($C$2:C181,"Test"),"")</f>
        <v>133</v>
      </c>
      <c r="C181" s="80" t="s">
        <v>25</v>
      </c>
      <c r="D181" s="76" t="s">
        <v>153</v>
      </c>
      <c r="E181" s="201" t="s">
        <v>154</v>
      </c>
      <c r="F181" s="87">
        <v>20260101</v>
      </c>
      <c r="G181" s="98" t="s">
        <v>155</v>
      </c>
      <c r="H181" s="76" t="s">
        <v>29</v>
      </c>
      <c r="I181" s="76" t="s">
        <v>30</v>
      </c>
      <c r="J181" s="76" t="s">
        <v>31</v>
      </c>
      <c r="K181" s="228" t="s">
        <v>32</v>
      </c>
      <c r="L181" s="118" t="s">
        <v>619</v>
      </c>
      <c r="M181" s="76" t="s">
        <v>552</v>
      </c>
      <c r="N181" s="103" t="s">
        <v>675</v>
      </c>
      <c r="O181" s="238"/>
      <c r="P181" s="78"/>
      <c r="Q181" s="231">
        <v>41.84</v>
      </c>
      <c r="R181" s="209" t="s">
        <v>676</v>
      </c>
      <c r="S181" s="79"/>
      <c r="T181" s="79" t="s">
        <v>677</v>
      </c>
      <c r="U181" s="79" t="s">
        <v>38</v>
      </c>
      <c r="V181" s="62" t="s">
        <v>38</v>
      </c>
    </row>
    <row r="182" spans="1:25" ht="15" customHeight="1">
      <c r="A182" s="116">
        <v>181</v>
      </c>
      <c r="B182" s="116">
        <f>IF(TRIM(C182)="Test",COUNTIF($C$2:C182,"Test"),"")</f>
        <v>134</v>
      </c>
      <c r="C182" s="80" t="s">
        <v>25</v>
      </c>
      <c r="D182" s="76" t="s">
        <v>162</v>
      </c>
      <c r="E182" s="76" t="s">
        <v>27</v>
      </c>
      <c r="F182" s="87">
        <v>20260101</v>
      </c>
      <c r="G182" s="98" t="s">
        <v>163</v>
      </c>
      <c r="H182" s="76" t="s">
        <v>29</v>
      </c>
      <c r="I182" s="76" t="s">
        <v>164</v>
      </c>
      <c r="J182" s="76" t="s">
        <v>31</v>
      </c>
      <c r="K182" s="228" t="s">
        <v>32</v>
      </c>
      <c r="L182" s="139" t="s">
        <v>619</v>
      </c>
      <c r="M182" s="76" t="s">
        <v>667</v>
      </c>
      <c r="N182" s="140" t="s">
        <v>678</v>
      </c>
      <c r="O182" s="238"/>
      <c r="P182" s="78"/>
      <c r="Q182" s="231" t="s">
        <v>679</v>
      </c>
      <c r="R182" s="144" t="s">
        <v>680</v>
      </c>
      <c r="S182" s="144"/>
      <c r="T182" s="144"/>
      <c r="U182" s="144"/>
      <c r="V182" s="150" t="s">
        <v>681</v>
      </c>
      <c r="W182" s="63" t="s">
        <v>169</v>
      </c>
      <c r="Y182" s="63" t="s">
        <v>170</v>
      </c>
    </row>
    <row r="183" spans="1:25" ht="15" customHeight="1">
      <c r="A183" s="116">
        <v>182</v>
      </c>
      <c r="B183" s="116">
        <f>IF(TRIM(C183)="Test",COUNTIF($C$2:C183,"Test"),"")</f>
        <v>135</v>
      </c>
      <c r="C183" s="80" t="s">
        <v>25</v>
      </c>
      <c r="D183" s="76" t="s">
        <v>171</v>
      </c>
      <c r="E183" s="76" t="s">
        <v>27</v>
      </c>
      <c r="F183" s="87">
        <v>20260101</v>
      </c>
      <c r="G183" s="98" t="s">
        <v>172</v>
      </c>
      <c r="H183" s="76" t="s">
        <v>48</v>
      </c>
      <c r="I183" s="76" t="s">
        <v>81</v>
      </c>
      <c r="J183" s="76" t="s">
        <v>98</v>
      </c>
      <c r="K183" s="228" t="s">
        <v>32</v>
      </c>
      <c r="L183" s="139" t="s">
        <v>619</v>
      </c>
      <c r="M183" s="76" t="s">
        <v>667</v>
      </c>
      <c r="N183" s="140" t="s">
        <v>682</v>
      </c>
      <c r="O183" s="238"/>
      <c r="P183" s="78"/>
      <c r="Q183" s="231">
        <v>18.800999999999998</v>
      </c>
      <c r="R183" s="144" t="s">
        <v>683</v>
      </c>
      <c r="S183" s="144"/>
      <c r="T183" s="144"/>
      <c r="U183" s="144"/>
      <c r="V183" s="149" t="s">
        <v>684</v>
      </c>
      <c r="W183" s="63" t="s">
        <v>685</v>
      </c>
    </row>
    <row r="184" spans="1:25" ht="15" customHeight="1">
      <c r="A184" s="116">
        <v>183</v>
      </c>
      <c r="B184" s="116">
        <f>IF(TRIM(C184)="Test",COUNTIF($C$2:C184,"Test"),"")</f>
        <v>136</v>
      </c>
      <c r="C184" s="80" t="s">
        <v>25</v>
      </c>
      <c r="D184" s="76" t="s">
        <v>177</v>
      </c>
      <c r="E184" s="76" t="s">
        <v>27</v>
      </c>
      <c r="F184" s="87">
        <v>20260101</v>
      </c>
      <c r="G184" s="98" t="s">
        <v>178</v>
      </c>
      <c r="H184" s="76" t="s">
        <v>29</v>
      </c>
      <c r="I184" s="76" t="s">
        <v>30</v>
      </c>
      <c r="J184" s="76" t="s">
        <v>31</v>
      </c>
      <c r="K184" s="228" t="s">
        <v>32</v>
      </c>
      <c r="L184" s="76" t="s">
        <v>619</v>
      </c>
      <c r="M184" s="76" t="s">
        <v>552</v>
      </c>
      <c r="N184" s="103" t="s">
        <v>686</v>
      </c>
      <c r="O184" s="238"/>
      <c r="P184" s="78"/>
      <c r="Q184" s="231">
        <v>30.940999999999999</v>
      </c>
      <c r="R184" s="79" t="s">
        <v>687</v>
      </c>
      <c r="S184" s="79"/>
      <c r="T184" s="79"/>
      <c r="U184" s="79"/>
      <c r="V184" s="62" t="s">
        <v>38</v>
      </c>
    </row>
    <row r="185" spans="1:25" ht="15" customHeight="1">
      <c r="A185" s="116">
        <v>184</v>
      </c>
      <c r="B185" s="116">
        <f>IF(TRIM(C185)="Test",COUNTIF($C$2:C185,"Test"),"")</f>
        <v>137</v>
      </c>
      <c r="C185" s="80" t="s">
        <v>25</v>
      </c>
      <c r="D185" s="76" t="s">
        <v>184</v>
      </c>
      <c r="E185" s="76" t="s">
        <v>27</v>
      </c>
      <c r="F185" s="87">
        <v>20260101</v>
      </c>
      <c r="G185" s="98" t="s">
        <v>185</v>
      </c>
      <c r="H185" s="76" t="s">
        <v>29</v>
      </c>
      <c r="I185" s="76" t="s">
        <v>92</v>
      </c>
      <c r="J185" s="76" t="s">
        <v>31</v>
      </c>
      <c r="K185" s="228" t="s">
        <v>32</v>
      </c>
      <c r="L185" s="118" t="s">
        <v>619</v>
      </c>
      <c r="M185" s="76" t="s">
        <v>552</v>
      </c>
      <c r="N185" s="103" t="s">
        <v>688</v>
      </c>
      <c r="O185" s="238"/>
      <c r="P185" s="78"/>
      <c r="Q185" s="231">
        <v>32.835000000000001</v>
      </c>
      <c r="R185" s="79" t="s">
        <v>689</v>
      </c>
      <c r="S185" s="79"/>
      <c r="T185" s="79"/>
      <c r="U185" s="79"/>
      <c r="V185" s="62" t="s">
        <v>38</v>
      </c>
    </row>
    <row r="186" spans="1:25" ht="15" customHeight="1">
      <c r="A186" s="116">
        <v>185</v>
      </c>
      <c r="B186" s="116">
        <f>IF(TRIM(C186)="Test",COUNTIF($C$2:C186,"Test"),"")</f>
        <v>138</v>
      </c>
      <c r="C186" s="80" t="s">
        <v>25</v>
      </c>
      <c r="D186" s="76" t="s">
        <v>154</v>
      </c>
      <c r="E186" s="76" t="s">
        <v>27</v>
      </c>
      <c r="F186" s="87">
        <v>20260101</v>
      </c>
      <c r="G186" s="98" t="s">
        <v>190</v>
      </c>
      <c r="H186" s="76" t="s">
        <v>48</v>
      </c>
      <c r="I186" s="76" t="s">
        <v>49</v>
      </c>
      <c r="J186" s="76" t="s">
        <v>98</v>
      </c>
      <c r="K186" s="228" t="s">
        <v>41</v>
      </c>
      <c r="L186" s="118" t="s">
        <v>619</v>
      </c>
      <c r="M186" s="76" t="s">
        <v>552</v>
      </c>
      <c r="N186" s="103" t="s">
        <v>690</v>
      </c>
      <c r="O186" s="238"/>
      <c r="P186" s="78"/>
      <c r="Q186" s="231" t="s">
        <v>691</v>
      </c>
      <c r="R186" s="79" t="s">
        <v>692</v>
      </c>
      <c r="S186" s="79"/>
      <c r="T186" s="79"/>
      <c r="U186" s="79"/>
      <c r="V186" s="62" t="s">
        <v>38</v>
      </c>
    </row>
    <row r="187" spans="1:25" ht="15" customHeight="1">
      <c r="A187" s="116">
        <v>186</v>
      </c>
      <c r="B187" s="116">
        <f>IF(TRIM(C187)="Test",COUNTIF($C$2:C187,"Test"),"")</f>
        <v>139</v>
      </c>
      <c r="C187" s="80" t="s">
        <v>25</v>
      </c>
      <c r="D187" s="76" t="s">
        <v>194</v>
      </c>
      <c r="E187" s="76" t="s">
        <v>27</v>
      </c>
      <c r="F187" s="87">
        <v>20260101</v>
      </c>
      <c r="G187" s="98" t="s">
        <v>195</v>
      </c>
      <c r="H187" s="76" t="s">
        <v>48</v>
      </c>
      <c r="I187" s="76" t="s">
        <v>81</v>
      </c>
      <c r="J187" s="76" t="s">
        <v>63</v>
      </c>
      <c r="K187" s="228" t="s">
        <v>32</v>
      </c>
      <c r="L187" s="139" t="s">
        <v>619</v>
      </c>
      <c r="M187" s="76" t="s">
        <v>552</v>
      </c>
      <c r="N187" s="140" t="s">
        <v>693</v>
      </c>
      <c r="O187" s="238"/>
      <c r="P187" s="78"/>
      <c r="Q187" s="231">
        <v>28.407</v>
      </c>
      <c r="R187" s="144" t="s">
        <v>694</v>
      </c>
      <c r="S187" s="144"/>
      <c r="T187" s="144"/>
      <c r="U187" s="144"/>
      <c r="V187" s="148" t="s">
        <v>311</v>
      </c>
      <c r="W187" s="63" t="s">
        <v>695</v>
      </c>
    </row>
    <row r="188" spans="1:25" ht="15" customHeight="1">
      <c r="A188" s="116">
        <v>187</v>
      </c>
      <c r="B188" s="116">
        <f>IF(TRIM(C188)="Test",COUNTIF($C$2:C188,"Test"),"")</f>
        <v>140</v>
      </c>
      <c r="C188" s="80" t="s">
        <v>25</v>
      </c>
      <c r="D188" s="76" t="s">
        <v>200</v>
      </c>
      <c r="E188" s="76" t="s">
        <v>27</v>
      </c>
      <c r="F188" s="87">
        <v>20260101</v>
      </c>
      <c r="G188" s="98" t="s">
        <v>201</v>
      </c>
      <c r="H188" s="76" t="s">
        <v>48</v>
      </c>
      <c r="I188" s="76" t="s">
        <v>81</v>
      </c>
      <c r="J188" s="76" t="s">
        <v>98</v>
      </c>
      <c r="K188" s="228" t="s">
        <v>32</v>
      </c>
      <c r="L188" s="140" t="s">
        <v>619</v>
      </c>
      <c r="M188" s="76" t="s">
        <v>552</v>
      </c>
      <c r="N188" s="140" t="s">
        <v>696</v>
      </c>
      <c r="O188" s="238"/>
      <c r="P188" s="78"/>
      <c r="Q188" s="231">
        <v>28.515999999999998</v>
      </c>
      <c r="R188" s="144" t="s">
        <v>697</v>
      </c>
      <c r="S188" s="144"/>
      <c r="T188" s="144"/>
      <c r="U188" s="144"/>
      <c r="V188" s="148" t="s">
        <v>316</v>
      </c>
      <c r="W188" s="63" t="s">
        <v>698</v>
      </c>
    </row>
    <row r="189" spans="1:25" ht="15" customHeight="1">
      <c r="A189" s="116">
        <v>188</v>
      </c>
      <c r="B189" s="116">
        <f>IF(TRIM(C189)="Test",COUNTIF($C$2:C189,"Test"),"")</f>
        <v>141</v>
      </c>
      <c r="C189" s="80" t="s">
        <v>25</v>
      </c>
      <c r="D189" s="76" t="s">
        <v>205</v>
      </c>
      <c r="E189" s="214" t="s">
        <v>699</v>
      </c>
      <c r="F189" s="87">
        <v>20260101</v>
      </c>
      <c r="G189" s="98" t="s">
        <v>206</v>
      </c>
      <c r="H189" s="76" t="s">
        <v>207</v>
      </c>
      <c r="I189" s="76"/>
      <c r="J189" s="76" t="s">
        <v>208</v>
      </c>
      <c r="K189" s="228" t="s">
        <v>32</v>
      </c>
      <c r="L189" s="139" t="s">
        <v>619</v>
      </c>
      <c r="M189" s="76" t="s">
        <v>552</v>
      </c>
      <c r="N189" s="140" t="s">
        <v>700</v>
      </c>
      <c r="O189" s="238"/>
      <c r="P189" s="78"/>
      <c r="Q189" s="231">
        <v>33.835000000000001</v>
      </c>
      <c r="R189" s="213" t="s">
        <v>701</v>
      </c>
      <c r="S189" s="144"/>
      <c r="T189" s="144" t="s">
        <v>702</v>
      </c>
      <c r="U189" s="79" t="s">
        <v>38</v>
      </c>
      <c r="V189" s="150" t="s">
        <v>521</v>
      </c>
    </row>
    <row r="190" spans="1:25" ht="15" customHeight="1">
      <c r="A190" s="116">
        <v>189</v>
      </c>
      <c r="B190" s="116">
        <f>IF(TRIM(C190)="Test",COUNTIF($C$2:C190,"Test"),"")</f>
        <v>142</v>
      </c>
      <c r="C190" s="80" t="s">
        <v>25</v>
      </c>
      <c r="D190" s="76" t="s">
        <v>213</v>
      </c>
      <c r="E190" s="76" t="s">
        <v>27</v>
      </c>
      <c r="F190" s="87">
        <v>20260101</v>
      </c>
      <c r="G190" s="98" t="s">
        <v>214</v>
      </c>
      <c r="H190" s="76" t="s">
        <v>29</v>
      </c>
      <c r="I190" s="76" t="s">
        <v>30</v>
      </c>
      <c r="J190" s="76" t="s">
        <v>31</v>
      </c>
      <c r="K190" s="228" t="s">
        <v>32</v>
      </c>
      <c r="L190" s="118" t="s">
        <v>619</v>
      </c>
      <c r="M190" s="76" t="s">
        <v>552</v>
      </c>
      <c r="N190" s="103" t="s">
        <v>703</v>
      </c>
      <c r="O190" s="238"/>
      <c r="P190" s="78"/>
      <c r="Q190" s="231">
        <v>41.19</v>
      </c>
      <c r="R190" s="79" t="s">
        <v>704</v>
      </c>
      <c r="S190" s="79"/>
      <c r="T190" s="79"/>
      <c r="U190" s="79"/>
      <c r="V190" s="62" t="s">
        <v>38</v>
      </c>
    </row>
    <row r="191" spans="1:25" ht="15" customHeight="1">
      <c r="A191" s="116">
        <v>190</v>
      </c>
      <c r="B191" s="116">
        <f>IF(TRIM(C191)="Test",COUNTIF($C$2:C191,"Test"),"")</f>
        <v>143</v>
      </c>
      <c r="C191" s="80" t="s">
        <v>25</v>
      </c>
      <c r="D191" s="76" t="s">
        <v>218</v>
      </c>
      <c r="E191" s="76" t="s">
        <v>27</v>
      </c>
      <c r="F191" s="87">
        <v>20260101</v>
      </c>
      <c r="G191" s="98" t="s">
        <v>219</v>
      </c>
      <c r="H191" s="76" t="s">
        <v>29</v>
      </c>
      <c r="I191" s="76" t="s">
        <v>30</v>
      </c>
      <c r="J191" s="76" t="s">
        <v>31</v>
      </c>
      <c r="K191" s="228" t="s">
        <v>32</v>
      </c>
      <c r="L191" s="118" t="s">
        <v>619</v>
      </c>
      <c r="M191" s="76" t="s">
        <v>705</v>
      </c>
      <c r="N191" s="103" t="s">
        <v>706</v>
      </c>
      <c r="O191" s="238"/>
      <c r="P191" s="78"/>
      <c r="Q191" s="231">
        <v>57.225000000000001</v>
      </c>
      <c r="R191" s="79" t="s">
        <v>707</v>
      </c>
      <c r="S191" s="79"/>
      <c r="T191" s="79"/>
      <c r="U191" s="79"/>
      <c r="V191" s="62" t="s">
        <v>38</v>
      </c>
    </row>
    <row r="192" spans="1:25" ht="15" customHeight="1">
      <c r="A192" s="116">
        <v>191</v>
      </c>
      <c r="B192" s="116">
        <f>IF(TRIM(C192)="Test",COUNTIF($C$2:C192,"Test"),"")</f>
        <v>144</v>
      </c>
      <c r="C192" s="80" t="s">
        <v>25</v>
      </c>
      <c r="D192" s="76" t="s">
        <v>222</v>
      </c>
      <c r="E192" s="76" t="s">
        <v>27</v>
      </c>
      <c r="F192" s="87">
        <v>20260101</v>
      </c>
      <c r="G192" s="98" t="s">
        <v>223</v>
      </c>
      <c r="H192" s="76" t="s">
        <v>80</v>
      </c>
      <c r="I192" s="76" t="s">
        <v>81</v>
      </c>
      <c r="J192" s="76" t="s">
        <v>59</v>
      </c>
      <c r="K192" s="228" t="s">
        <v>32</v>
      </c>
      <c r="L192" s="118" t="s">
        <v>619</v>
      </c>
      <c r="M192" s="76" t="s">
        <v>552</v>
      </c>
      <c r="N192" s="103" t="s">
        <v>708</v>
      </c>
      <c r="O192" s="238"/>
      <c r="P192" s="78"/>
      <c r="Q192" s="231">
        <v>14.93</v>
      </c>
      <c r="R192" s="79" t="s">
        <v>709</v>
      </c>
      <c r="S192" s="79"/>
      <c r="T192" s="79"/>
      <c r="U192" s="79"/>
      <c r="V192" s="62" t="s">
        <v>38</v>
      </c>
    </row>
    <row r="193" spans="1:23" ht="15" customHeight="1">
      <c r="A193" s="116">
        <v>192</v>
      </c>
      <c r="B193" s="116">
        <f>IF(TRIM(C193)="Test",COUNTIF($C$2:C193,"Test"),"")</f>
        <v>145</v>
      </c>
      <c r="C193" s="80" t="s">
        <v>25</v>
      </c>
      <c r="D193" s="76" t="s">
        <v>26</v>
      </c>
      <c r="E193" s="76" t="s">
        <v>27</v>
      </c>
      <c r="F193" s="87">
        <v>20260101</v>
      </c>
      <c r="G193" s="98" t="s">
        <v>28</v>
      </c>
      <c r="H193" s="76" t="s">
        <v>29</v>
      </c>
      <c r="I193" s="76" t="s">
        <v>30</v>
      </c>
      <c r="J193" s="76" t="s">
        <v>31</v>
      </c>
      <c r="K193" s="228" t="s">
        <v>32</v>
      </c>
      <c r="L193" s="76" t="s">
        <v>619</v>
      </c>
      <c r="M193" s="76" t="s">
        <v>667</v>
      </c>
      <c r="N193" s="102" t="s">
        <v>710</v>
      </c>
      <c r="O193" s="238"/>
      <c r="P193" s="78"/>
      <c r="Q193" s="231">
        <v>31.466000000000001</v>
      </c>
      <c r="R193" s="79" t="s">
        <v>711</v>
      </c>
      <c r="S193" s="79"/>
      <c r="T193" s="79"/>
      <c r="U193" s="79"/>
      <c r="V193" s="62" t="s">
        <v>38</v>
      </c>
    </row>
    <row r="194" spans="1:23" ht="15" customHeight="1">
      <c r="A194" s="116">
        <v>193</v>
      </c>
      <c r="B194" s="116">
        <f>IF(TRIM(C194)="Test",COUNTIF($C$2:C194,"Test"),"")</f>
        <v>146</v>
      </c>
      <c r="C194" s="80" t="s">
        <v>25</v>
      </c>
      <c r="D194" s="76" t="s">
        <v>39</v>
      </c>
      <c r="E194" s="214" t="s">
        <v>40</v>
      </c>
      <c r="F194" s="87">
        <v>20260101</v>
      </c>
      <c r="G194" s="98" t="s">
        <v>28</v>
      </c>
      <c r="H194" s="76" t="s">
        <v>29</v>
      </c>
      <c r="I194" s="76" t="s">
        <v>30</v>
      </c>
      <c r="J194" s="76" t="s">
        <v>31</v>
      </c>
      <c r="K194" s="228" t="s">
        <v>41</v>
      </c>
      <c r="L194" s="118" t="s">
        <v>619</v>
      </c>
      <c r="M194" s="76" t="s">
        <v>552</v>
      </c>
      <c r="N194" s="103" t="s">
        <v>712</v>
      </c>
      <c r="O194" s="238"/>
      <c r="P194" s="78"/>
      <c r="Q194" s="231">
        <v>51.448999999999998</v>
      </c>
      <c r="R194" s="209" t="s">
        <v>713</v>
      </c>
      <c r="S194" s="79"/>
      <c r="T194" s="217" t="s">
        <v>714</v>
      </c>
      <c r="U194" s="79" t="s">
        <v>38</v>
      </c>
      <c r="V194" s="62" t="s">
        <v>38</v>
      </c>
    </row>
    <row r="195" spans="1:23" ht="15" customHeight="1">
      <c r="A195" s="116">
        <v>194</v>
      </c>
      <c r="B195" s="116">
        <f>IF(TRIM(C195)="Test",COUNTIF($C$2:C195,"Test"),"")</f>
        <v>147</v>
      </c>
      <c r="C195" s="80" t="s">
        <v>25</v>
      </c>
      <c r="D195" s="76" t="s">
        <v>46</v>
      </c>
      <c r="E195" s="123" t="s">
        <v>39</v>
      </c>
      <c r="F195" s="87">
        <v>20260101</v>
      </c>
      <c r="G195" s="98" t="s">
        <v>47</v>
      </c>
      <c r="H195" s="76" t="s">
        <v>48</v>
      </c>
      <c r="I195" s="76" t="s">
        <v>49</v>
      </c>
      <c r="J195" s="76" t="s">
        <v>50</v>
      </c>
      <c r="K195" s="228" t="s">
        <v>32</v>
      </c>
      <c r="L195" s="118" t="s">
        <v>619</v>
      </c>
      <c r="M195" s="221" t="s">
        <v>715</v>
      </c>
      <c r="N195" s="103" t="s">
        <v>716</v>
      </c>
      <c r="O195" s="238"/>
      <c r="P195" s="78"/>
      <c r="Q195" s="231">
        <v>25.364000000000001</v>
      </c>
      <c r="R195" s="209" t="s">
        <v>717</v>
      </c>
      <c r="S195" s="79"/>
      <c r="T195" s="79" t="s">
        <v>718</v>
      </c>
      <c r="U195" s="79" t="s">
        <v>38</v>
      </c>
      <c r="V195" s="62" t="s">
        <v>38</v>
      </c>
    </row>
    <row r="196" spans="1:23" ht="15" customHeight="1">
      <c r="A196" s="116">
        <v>195</v>
      </c>
      <c r="B196" s="116">
        <f>IF(TRIM(C196)="Test",COUNTIF($C$2:C196,"Test"),"")</f>
        <v>148</v>
      </c>
      <c r="C196" s="80" t="s">
        <v>25</v>
      </c>
      <c r="D196" s="76" t="s">
        <v>56</v>
      </c>
      <c r="E196" s="76" t="s">
        <v>27</v>
      </c>
      <c r="F196" s="87">
        <v>20260101</v>
      </c>
      <c r="G196" s="98" t="s">
        <v>57</v>
      </c>
      <c r="H196" s="76" t="s">
        <v>29</v>
      </c>
      <c r="I196" s="76" t="s">
        <v>58</v>
      </c>
      <c r="J196" s="76" t="s">
        <v>59</v>
      </c>
      <c r="K196" s="228" t="s">
        <v>41</v>
      </c>
      <c r="L196" s="139" t="s">
        <v>619</v>
      </c>
      <c r="M196" s="76" t="s">
        <v>705</v>
      </c>
      <c r="N196" s="140" t="s">
        <v>719</v>
      </c>
      <c r="O196" s="238"/>
      <c r="P196" s="78"/>
      <c r="Q196" s="231">
        <v>29.102</v>
      </c>
      <c r="R196" s="144" t="s">
        <v>720</v>
      </c>
      <c r="S196" s="144"/>
      <c r="T196" s="144"/>
      <c r="U196" s="144"/>
      <c r="V196" s="163" t="s">
        <v>721</v>
      </c>
      <c r="W196" s="63" t="s">
        <v>722</v>
      </c>
    </row>
    <row r="197" spans="1:23" ht="15" customHeight="1">
      <c r="A197" s="116">
        <v>196</v>
      </c>
      <c r="B197" s="116">
        <f>IF(TRIM(C197)="Test",COUNTIF($C$2:C197,"Test"),"")</f>
        <v>149</v>
      </c>
      <c r="C197" s="80" t="s">
        <v>25</v>
      </c>
      <c r="D197" s="76" t="s">
        <v>40</v>
      </c>
      <c r="E197" s="76" t="s">
        <v>27</v>
      </c>
      <c r="F197" s="87">
        <v>20260101</v>
      </c>
      <c r="G197" s="98" t="s">
        <v>62</v>
      </c>
      <c r="H197" s="76" t="s">
        <v>48</v>
      </c>
      <c r="I197" s="76" t="s">
        <v>49</v>
      </c>
      <c r="J197" s="76" t="s">
        <v>63</v>
      </c>
      <c r="K197" s="228" t="s">
        <v>32</v>
      </c>
      <c r="L197" s="118" t="s">
        <v>619</v>
      </c>
      <c r="M197" s="76" t="s">
        <v>552</v>
      </c>
      <c r="N197" s="103" t="s">
        <v>723</v>
      </c>
      <c r="O197" s="238"/>
      <c r="P197" s="78"/>
      <c r="Q197" s="231">
        <v>35.545999999999999</v>
      </c>
      <c r="R197" s="79" t="s">
        <v>724</v>
      </c>
      <c r="S197" s="79"/>
      <c r="T197" s="79"/>
      <c r="U197" s="79"/>
      <c r="V197" s="62" t="s">
        <v>38</v>
      </c>
    </row>
    <row r="198" spans="1:23" ht="15" customHeight="1">
      <c r="A198" s="116">
        <v>197</v>
      </c>
      <c r="B198" s="116">
        <f>IF(TRIM(C198)="Test",COUNTIF($C$2:C198,"Test"),"")</f>
        <v>150</v>
      </c>
      <c r="C198" s="80" t="s">
        <v>25</v>
      </c>
      <c r="D198" s="76" t="s">
        <v>70</v>
      </c>
      <c r="E198" s="76" t="s">
        <v>27</v>
      </c>
      <c r="F198" s="87">
        <v>20260101</v>
      </c>
      <c r="G198" s="98" t="s">
        <v>62</v>
      </c>
      <c r="H198" s="76" t="s">
        <v>48</v>
      </c>
      <c r="I198" s="76" t="s">
        <v>49</v>
      </c>
      <c r="J198" s="76" t="s">
        <v>63</v>
      </c>
      <c r="K198" s="228" t="s">
        <v>41</v>
      </c>
      <c r="L198" s="76" t="s">
        <v>640</v>
      </c>
      <c r="M198" s="76" t="s">
        <v>552</v>
      </c>
      <c r="N198" s="104" t="s">
        <v>725</v>
      </c>
      <c r="O198" s="238"/>
      <c r="P198" s="78"/>
      <c r="Q198" s="231">
        <v>41.606999999999999</v>
      </c>
      <c r="R198" s="79" t="s">
        <v>726</v>
      </c>
      <c r="S198" s="79"/>
      <c r="T198" s="79"/>
      <c r="U198" s="79"/>
      <c r="V198" s="62" t="s">
        <v>38</v>
      </c>
    </row>
    <row r="199" spans="1:23" ht="15" customHeight="1">
      <c r="A199" s="116">
        <v>198</v>
      </c>
      <c r="B199" s="116">
        <f>IF(TRIM(C199)="Test",COUNTIF($C$2:C199,"Test"),"")</f>
        <v>151</v>
      </c>
      <c r="C199" s="80" t="s">
        <v>25</v>
      </c>
      <c r="D199" s="76" t="s">
        <v>74</v>
      </c>
      <c r="E199" s="76" t="s">
        <v>27</v>
      </c>
      <c r="F199" s="87">
        <v>20260101</v>
      </c>
      <c r="G199" s="98" t="s">
        <v>75</v>
      </c>
      <c r="H199" s="76" t="s">
        <v>29</v>
      </c>
      <c r="I199" s="76" t="s">
        <v>30</v>
      </c>
      <c r="J199" s="76" t="s">
        <v>31</v>
      </c>
      <c r="K199" s="228" t="s">
        <v>32</v>
      </c>
      <c r="L199" s="76" t="s">
        <v>640</v>
      </c>
      <c r="M199" s="76" t="s">
        <v>105</v>
      </c>
      <c r="N199" s="103" t="s">
        <v>727</v>
      </c>
      <c r="O199" s="238"/>
      <c r="P199" s="78"/>
      <c r="Q199" s="231">
        <v>58.122</v>
      </c>
      <c r="R199" s="79" t="s">
        <v>728</v>
      </c>
      <c r="S199" s="79"/>
      <c r="T199" s="79"/>
      <c r="U199" s="79"/>
      <c r="V199" s="62" t="s">
        <v>38</v>
      </c>
    </row>
    <row r="200" spans="1:23" ht="15" customHeight="1">
      <c r="A200" s="116">
        <v>199</v>
      </c>
      <c r="B200" s="116">
        <f>IF(TRIM(C200)="Test",COUNTIF($C$2:C200,"Test"),"")</f>
        <v>152</v>
      </c>
      <c r="C200" s="95" t="s">
        <v>25</v>
      </c>
      <c r="D200" s="76" t="s">
        <v>78</v>
      </c>
      <c r="E200" s="76" t="s">
        <v>27</v>
      </c>
      <c r="F200" s="87">
        <v>20260101</v>
      </c>
      <c r="G200" s="98" t="s">
        <v>79</v>
      </c>
      <c r="H200" s="76" t="s">
        <v>80</v>
      </c>
      <c r="I200" s="76" t="s">
        <v>81</v>
      </c>
      <c r="J200" s="76" t="s">
        <v>31</v>
      </c>
      <c r="K200" s="228" t="s">
        <v>41</v>
      </c>
      <c r="L200" s="76" t="s">
        <v>640</v>
      </c>
      <c r="M200" s="76" t="s">
        <v>105</v>
      </c>
      <c r="N200" s="140" t="s">
        <v>729</v>
      </c>
      <c r="O200" s="238"/>
      <c r="P200" s="78"/>
      <c r="Q200" s="231">
        <v>26.125</v>
      </c>
      <c r="R200" s="144" t="s">
        <v>730</v>
      </c>
      <c r="S200" s="144"/>
      <c r="T200" s="144"/>
      <c r="U200" s="144"/>
      <c r="V200" s="142" t="s">
        <v>360</v>
      </c>
      <c r="W200" s="133"/>
    </row>
    <row r="201" spans="1:23" ht="15" customHeight="1">
      <c r="A201" s="116">
        <v>200</v>
      </c>
      <c r="B201" s="116">
        <f>IF(TRIM(C201)="Test",COUNTIF($C$2:C201,"Test"),"")</f>
        <v>153</v>
      </c>
      <c r="C201" s="80" t="s">
        <v>25</v>
      </c>
      <c r="D201" s="76" t="s">
        <v>86</v>
      </c>
      <c r="E201" s="76" t="s">
        <v>27</v>
      </c>
      <c r="F201" s="87">
        <v>20260101</v>
      </c>
      <c r="G201" s="98" t="s">
        <v>87</v>
      </c>
      <c r="H201" s="76" t="s">
        <v>48</v>
      </c>
      <c r="I201" s="76" t="s">
        <v>81</v>
      </c>
      <c r="J201" s="76" t="s">
        <v>50</v>
      </c>
      <c r="K201" s="228" t="s">
        <v>32</v>
      </c>
      <c r="L201" s="76" t="s">
        <v>640</v>
      </c>
      <c r="M201" s="76" t="s">
        <v>731</v>
      </c>
      <c r="N201" s="140" t="s">
        <v>732</v>
      </c>
      <c r="O201" s="238"/>
      <c r="P201" s="78"/>
      <c r="Q201" s="231">
        <v>27.62</v>
      </c>
      <c r="R201" s="144" t="s">
        <v>733</v>
      </c>
      <c r="S201" s="144"/>
      <c r="T201" s="144"/>
      <c r="U201" s="144"/>
      <c r="V201" s="143" t="s">
        <v>175</v>
      </c>
      <c r="W201" s="63" t="s">
        <v>644</v>
      </c>
    </row>
    <row r="202" spans="1:23" ht="15" customHeight="1">
      <c r="A202" s="116">
        <v>201</v>
      </c>
      <c r="B202" s="116">
        <f>IF(TRIM(C202)="Test",COUNTIF($C$2:C202,"Test"),"")</f>
        <v>154</v>
      </c>
      <c r="C202" s="80" t="s">
        <v>25</v>
      </c>
      <c r="D202" s="76" t="s">
        <v>90</v>
      </c>
      <c r="E202" s="76" t="s">
        <v>27</v>
      </c>
      <c r="F202" s="87">
        <v>20260101</v>
      </c>
      <c r="G202" s="98" t="s">
        <v>91</v>
      </c>
      <c r="H202" s="76" t="s">
        <v>29</v>
      </c>
      <c r="I202" s="76" t="s">
        <v>92</v>
      </c>
      <c r="J202" s="76" t="s">
        <v>59</v>
      </c>
      <c r="K202" s="228" t="s">
        <v>32</v>
      </c>
      <c r="L202" s="76" t="s">
        <v>640</v>
      </c>
      <c r="M202" s="76" t="s">
        <v>734</v>
      </c>
      <c r="N202" s="103" t="s">
        <v>735</v>
      </c>
      <c r="O202" s="238"/>
      <c r="P202" s="78"/>
      <c r="Q202" s="231">
        <v>45.442</v>
      </c>
      <c r="R202" s="79" t="s">
        <v>736</v>
      </c>
      <c r="S202" s="79"/>
      <c r="T202" s="79"/>
      <c r="U202" s="79"/>
      <c r="V202" s="62" t="s">
        <v>38</v>
      </c>
    </row>
    <row r="203" spans="1:23" ht="15" customHeight="1">
      <c r="A203" s="116">
        <v>202</v>
      </c>
      <c r="B203" s="116">
        <f>IF(TRIM(C203)="Test",COUNTIF($C$2:C203,"Test"),"")</f>
        <v>155</v>
      </c>
      <c r="C203" s="80" t="s">
        <v>25</v>
      </c>
      <c r="D203" s="76" t="s">
        <v>95</v>
      </c>
      <c r="E203" s="76" t="s">
        <v>27</v>
      </c>
      <c r="F203" s="87">
        <v>20260101</v>
      </c>
      <c r="G203" s="98" t="s">
        <v>96</v>
      </c>
      <c r="H203" s="76" t="s">
        <v>48</v>
      </c>
      <c r="I203" s="76" t="s">
        <v>97</v>
      </c>
      <c r="J203" s="76" t="s">
        <v>98</v>
      </c>
      <c r="K203" s="228" t="s">
        <v>32</v>
      </c>
      <c r="L203" s="76" t="s">
        <v>640</v>
      </c>
      <c r="M203" s="76" t="s">
        <v>552</v>
      </c>
      <c r="N203" s="140" t="s">
        <v>737</v>
      </c>
      <c r="O203" s="238"/>
      <c r="P203" s="78"/>
      <c r="Q203" s="231">
        <v>28.396000000000001</v>
      </c>
      <c r="R203" s="144" t="s">
        <v>738</v>
      </c>
      <c r="S203" s="144"/>
      <c r="T203" s="144"/>
      <c r="U203" s="144"/>
      <c r="V203" s="148" t="s">
        <v>259</v>
      </c>
      <c r="W203" s="63" t="s">
        <v>260</v>
      </c>
    </row>
    <row r="204" spans="1:23" ht="15" customHeight="1">
      <c r="A204" s="116">
        <v>203</v>
      </c>
      <c r="B204" s="116">
        <f>IF(TRIM(C204)="Test",COUNTIF($C$2:C204,"Test"),"")</f>
        <v>156</v>
      </c>
      <c r="C204" s="80" t="s">
        <v>25</v>
      </c>
      <c r="D204" s="76" t="s">
        <v>101</v>
      </c>
      <c r="E204" s="76" t="s">
        <v>27</v>
      </c>
      <c r="F204" s="87">
        <v>20260101</v>
      </c>
      <c r="G204" s="98" t="s">
        <v>102</v>
      </c>
      <c r="H204" s="76" t="s">
        <v>29</v>
      </c>
      <c r="I204" s="76" t="s">
        <v>103</v>
      </c>
      <c r="J204" s="76" t="s">
        <v>31</v>
      </c>
      <c r="K204" s="228" t="s">
        <v>32</v>
      </c>
      <c r="L204" s="76" t="s">
        <v>640</v>
      </c>
      <c r="M204" s="76" t="s">
        <v>739</v>
      </c>
      <c r="N204" s="140" t="s">
        <v>740</v>
      </c>
      <c r="O204" s="238"/>
      <c r="P204" s="78"/>
      <c r="Q204" s="231">
        <v>45.634999999999998</v>
      </c>
      <c r="R204" s="144" t="s">
        <v>741</v>
      </c>
      <c r="S204" s="144"/>
      <c r="T204" s="144"/>
      <c r="U204" s="144"/>
      <c r="V204" s="150" t="s">
        <v>742</v>
      </c>
    </row>
    <row r="205" spans="1:23" ht="15" customHeight="1">
      <c r="A205" s="116">
        <v>204</v>
      </c>
      <c r="B205" s="116">
        <f>IF(TRIM(C205)="Test",COUNTIF($C$2:C205,"Test"),"")</f>
        <v>157</v>
      </c>
      <c r="C205" s="80" t="s">
        <v>25</v>
      </c>
      <c r="D205" s="76" t="s">
        <v>108</v>
      </c>
      <c r="E205" s="76" t="s">
        <v>27</v>
      </c>
      <c r="F205" s="87">
        <v>20260101</v>
      </c>
      <c r="G205" s="98" t="s">
        <v>109</v>
      </c>
      <c r="H205" s="76" t="s">
        <v>48</v>
      </c>
      <c r="I205" s="76" t="s">
        <v>81</v>
      </c>
      <c r="J205" s="76" t="s">
        <v>98</v>
      </c>
      <c r="K205" s="228" t="s">
        <v>32</v>
      </c>
      <c r="L205" s="76" t="s">
        <v>640</v>
      </c>
      <c r="M205" s="76" t="s">
        <v>552</v>
      </c>
      <c r="N205" s="140" t="s">
        <v>743</v>
      </c>
      <c r="O205" s="238"/>
      <c r="P205" s="78"/>
      <c r="Q205" s="231">
        <v>28.221</v>
      </c>
      <c r="R205" s="144" t="s">
        <v>744</v>
      </c>
      <c r="S205" s="144"/>
      <c r="T205" s="144"/>
      <c r="U205" s="144"/>
      <c r="V205" s="148" t="s">
        <v>269</v>
      </c>
      <c r="W205" s="63" t="s">
        <v>260</v>
      </c>
    </row>
    <row r="206" spans="1:23" ht="15" customHeight="1">
      <c r="A206" s="116">
        <v>205</v>
      </c>
      <c r="B206" s="116">
        <f>IF(TRIM(C206)="Test",COUNTIF($C$2:C206,"Test"),"")</f>
        <v>158</v>
      </c>
      <c r="C206" s="80" t="s">
        <v>25</v>
      </c>
      <c r="D206" s="76" t="s">
        <v>112</v>
      </c>
      <c r="E206" s="76" t="s">
        <v>27</v>
      </c>
      <c r="F206" s="87">
        <v>20260101</v>
      </c>
      <c r="G206" s="98" t="s">
        <v>113</v>
      </c>
      <c r="H206" s="76" t="s">
        <v>48</v>
      </c>
      <c r="I206" s="76" t="s">
        <v>49</v>
      </c>
      <c r="J206" s="76" t="s">
        <v>98</v>
      </c>
      <c r="K206" s="228" t="s">
        <v>32</v>
      </c>
      <c r="L206" s="76" t="s">
        <v>640</v>
      </c>
      <c r="M206" s="76" t="s">
        <v>525</v>
      </c>
      <c r="N206" s="102" t="s">
        <v>745</v>
      </c>
      <c r="O206" s="238"/>
      <c r="P206" s="78"/>
      <c r="Q206" s="231">
        <v>20.814</v>
      </c>
      <c r="R206" s="79" t="s">
        <v>746</v>
      </c>
      <c r="S206" s="79"/>
      <c r="T206" s="79"/>
      <c r="U206" s="79"/>
      <c r="V206" s="63" t="s">
        <v>38</v>
      </c>
    </row>
    <row r="207" spans="1:23" ht="15" customHeight="1">
      <c r="A207" s="116">
        <v>206</v>
      </c>
      <c r="B207" s="116">
        <f>IF(TRIM(C207)="Test",COUNTIF($C$2:C207,"Test"),"")</f>
        <v>159</v>
      </c>
      <c r="C207" s="80" t="s">
        <v>25</v>
      </c>
      <c r="D207" s="76" t="s">
        <v>118</v>
      </c>
      <c r="E207" s="76" t="s">
        <v>27</v>
      </c>
      <c r="F207" s="87">
        <v>20260101</v>
      </c>
      <c r="G207" s="98" t="s">
        <v>119</v>
      </c>
      <c r="H207" s="76" t="s">
        <v>29</v>
      </c>
      <c r="I207" s="76" t="s">
        <v>92</v>
      </c>
      <c r="J207" s="76" t="s">
        <v>31</v>
      </c>
      <c r="K207" s="228" t="s">
        <v>41</v>
      </c>
      <c r="L207" s="76" t="s">
        <v>640</v>
      </c>
      <c r="M207" s="76" t="s">
        <v>552</v>
      </c>
      <c r="N207" s="103" t="s">
        <v>747</v>
      </c>
      <c r="O207" s="238"/>
      <c r="P207" s="78"/>
      <c r="Q207" s="231">
        <v>34.673000000000002</v>
      </c>
      <c r="R207" s="79" t="s">
        <v>748</v>
      </c>
      <c r="S207" s="79"/>
      <c r="T207" s="79"/>
      <c r="U207" s="79"/>
      <c r="V207" s="62" t="s">
        <v>38</v>
      </c>
    </row>
    <row r="208" spans="1:23" ht="15" customHeight="1">
      <c r="A208" s="116">
        <v>207</v>
      </c>
      <c r="B208" s="116">
        <f>IF(TRIM(C208)="Test",COUNTIF($C$2:C208,"Test"),"")</f>
        <v>160</v>
      </c>
      <c r="C208" s="80" t="s">
        <v>25</v>
      </c>
      <c r="D208" s="76" t="s">
        <v>124</v>
      </c>
      <c r="E208" s="76" t="s">
        <v>27</v>
      </c>
      <c r="F208" s="87">
        <v>20260101</v>
      </c>
      <c r="G208" s="98" t="s">
        <v>125</v>
      </c>
      <c r="H208" s="76" t="s">
        <v>48</v>
      </c>
      <c r="I208" s="76" t="s">
        <v>49</v>
      </c>
      <c r="J208" s="76" t="s">
        <v>50</v>
      </c>
      <c r="K208" s="228" t="s">
        <v>41</v>
      </c>
      <c r="L208" s="76" t="s">
        <v>640</v>
      </c>
      <c r="M208" s="76" t="s">
        <v>552</v>
      </c>
      <c r="N208" s="103" t="s">
        <v>749</v>
      </c>
      <c r="O208" s="238"/>
      <c r="P208" s="78"/>
      <c r="Q208" s="231">
        <v>29.481999999999999</v>
      </c>
      <c r="R208" s="79" t="s">
        <v>750</v>
      </c>
      <c r="S208" s="79"/>
      <c r="T208" s="79"/>
      <c r="U208" s="79"/>
      <c r="V208" s="62" t="s">
        <v>38</v>
      </c>
    </row>
    <row r="209" spans="1:23" ht="15" customHeight="1">
      <c r="A209" s="116">
        <v>208</v>
      </c>
      <c r="B209" s="116">
        <f>IF(TRIM(C209)="Test",COUNTIF($C$2:C209,"Test"),"")</f>
        <v>161</v>
      </c>
      <c r="C209" s="80" t="s">
        <v>25</v>
      </c>
      <c r="D209" s="76" t="s">
        <v>128</v>
      </c>
      <c r="E209" s="76" t="s">
        <v>27</v>
      </c>
      <c r="F209" s="87">
        <v>20260101</v>
      </c>
      <c r="G209" s="98" t="s">
        <v>129</v>
      </c>
      <c r="H209" s="76" t="s">
        <v>48</v>
      </c>
      <c r="I209" s="76" t="s">
        <v>49</v>
      </c>
      <c r="J209" s="76" t="s">
        <v>63</v>
      </c>
      <c r="K209" s="228" t="s">
        <v>32</v>
      </c>
      <c r="L209" s="76" t="s">
        <v>640</v>
      </c>
      <c r="M209" s="76" t="s">
        <v>552</v>
      </c>
      <c r="N209" s="103" t="s">
        <v>751</v>
      </c>
      <c r="O209" s="238"/>
      <c r="P209" s="78"/>
      <c r="Q209" s="231">
        <v>28.302</v>
      </c>
      <c r="R209" s="79" t="s">
        <v>752</v>
      </c>
      <c r="S209" s="79"/>
      <c r="T209" s="79"/>
      <c r="U209" s="79"/>
      <c r="V209" s="62" t="s">
        <v>38</v>
      </c>
    </row>
    <row r="210" spans="1:23" ht="15" customHeight="1">
      <c r="A210" s="116">
        <v>209</v>
      </c>
      <c r="B210" s="116">
        <f>IF(TRIM(C210)="Test",COUNTIF($C$2:C210,"Test"),"")</f>
        <v>162</v>
      </c>
      <c r="C210" s="80" t="s">
        <v>25</v>
      </c>
      <c r="D210" s="76" t="s">
        <v>134</v>
      </c>
      <c r="E210" s="76" t="s">
        <v>27</v>
      </c>
      <c r="F210" s="87">
        <v>20260101</v>
      </c>
      <c r="G210" s="98" t="s">
        <v>135</v>
      </c>
      <c r="H210" s="76" t="s">
        <v>29</v>
      </c>
      <c r="I210" s="76" t="s">
        <v>30</v>
      </c>
      <c r="J210" s="76" t="s">
        <v>31</v>
      </c>
      <c r="K210" s="228" t="s">
        <v>32</v>
      </c>
      <c r="L210" s="76" t="s">
        <v>640</v>
      </c>
      <c r="M210" s="76" t="s">
        <v>753</v>
      </c>
      <c r="N210" s="103" t="s">
        <v>754</v>
      </c>
      <c r="O210" s="238"/>
      <c r="P210" s="78"/>
      <c r="Q210" s="231" t="s">
        <v>755</v>
      </c>
      <c r="R210" s="79" t="s">
        <v>756</v>
      </c>
      <c r="S210" s="79"/>
      <c r="T210" s="79"/>
      <c r="U210" s="79"/>
      <c r="V210" s="62" t="s">
        <v>38</v>
      </c>
    </row>
    <row r="211" spans="1:23" ht="15" customHeight="1">
      <c r="A211" s="116">
        <v>210</v>
      </c>
      <c r="B211" s="116">
        <f>IF(TRIM(C211)="Test",COUNTIF($C$2:C211,"Test"),"")</f>
        <v>163</v>
      </c>
      <c r="C211" s="80" t="s">
        <v>25</v>
      </c>
      <c r="D211" s="76" t="s">
        <v>140</v>
      </c>
      <c r="E211" s="76" t="s">
        <v>27</v>
      </c>
      <c r="F211" s="87">
        <v>20260101</v>
      </c>
      <c r="G211" s="98" t="s">
        <v>141</v>
      </c>
      <c r="H211" s="76" t="s">
        <v>142</v>
      </c>
      <c r="I211" s="76" t="s">
        <v>58</v>
      </c>
      <c r="J211" s="76" t="s">
        <v>59</v>
      </c>
      <c r="K211" s="228"/>
      <c r="L211" s="76" t="s">
        <v>640</v>
      </c>
      <c r="M211" s="76" t="s">
        <v>552</v>
      </c>
      <c r="N211" s="140" t="s">
        <v>757</v>
      </c>
      <c r="O211" s="238"/>
      <c r="P211" s="78"/>
      <c r="Q211" s="231">
        <v>23.587</v>
      </c>
      <c r="R211" s="144" t="s">
        <v>758</v>
      </c>
      <c r="S211" s="144"/>
      <c r="T211" s="144"/>
      <c r="U211" s="144"/>
      <c r="V211" s="142" t="s">
        <v>288</v>
      </c>
      <c r="W211" s="63" t="s">
        <v>289</v>
      </c>
    </row>
    <row r="212" spans="1:23" ht="15" customHeight="1">
      <c r="A212" s="116">
        <v>211</v>
      </c>
      <c r="B212" s="116">
        <f>IF(TRIM(C212)="Test",COUNTIF($C$2:C212,"Test"),"")</f>
        <v>164</v>
      </c>
      <c r="C212" s="80" t="s">
        <v>25</v>
      </c>
      <c r="D212" s="76" t="s">
        <v>145</v>
      </c>
      <c r="E212" s="214" t="s">
        <v>90</v>
      </c>
      <c r="F212" s="87">
        <v>20260101</v>
      </c>
      <c r="G212" s="98" t="s">
        <v>146</v>
      </c>
      <c r="H212" s="76" t="s">
        <v>147</v>
      </c>
      <c r="I212" s="76" t="s">
        <v>148</v>
      </c>
      <c r="J212" s="76" t="s">
        <v>31</v>
      </c>
      <c r="K212" s="228"/>
      <c r="L212" s="76" t="s">
        <v>640</v>
      </c>
      <c r="M212" s="76" t="s">
        <v>552</v>
      </c>
      <c r="N212" s="103" t="s">
        <v>759</v>
      </c>
      <c r="O212" s="238"/>
      <c r="P212" s="78"/>
      <c r="Q212" s="231">
        <v>35.737000000000002</v>
      </c>
      <c r="R212" s="209" t="s">
        <v>760</v>
      </c>
      <c r="S212" s="79"/>
      <c r="T212" s="223" t="s">
        <v>761</v>
      </c>
      <c r="U212" s="79" t="s">
        <v>38</v>
      </c>
      <c r="V212" s="62" t="s">
        <v>38</v>
      </c>
    </row>
    <row r="213" spans="1:23" ht="15" customHeight="1">
      <c r="A213" s="116">
        <v>212</v>
      </c>
      <c r="B213" s="116">
        <f>IF(TRIM(C213)="Test",COUNTIF($C$2:C213,"Test"),"")</f>
        <v>165</v>
      </c>
      <c r="C213" s="80" t="s">
        <v>25</v>
      </c>
      <c r="D213" s="76" t="s">
        <v>153</v>
      </c>
      <c r="E213" s="123" t="s">
        <v>154</v>
      </c>
      <c r="F213" s="87">
        <v>20260101</v>
      </c>
      <c r="G213" s="98" t="s">
        <v>155</v>
      </c>
      <c r="H213" s="76" t="s">
        <v>29</v>
      </c>
      <c r="I213" s="76" t="s">
        <v>30</v>
      </c>
      <c r="J213" s="76" t="s">
        <v>31</v>
      </c>
      <c r="K213" s="228" t="s">
        <v>32</v>
      </c>
      <c r="L213" s="76" t="s">
        <v>640</v>
      </c>
      <c r="M213" s="76" t="s">
        <v>105</v>
      </c>
      <c r="N213" s="103" t="s">
        <v>762</v>
      </c>
      <c r="O213" s="238"/>
      <c r="P213" s="78"/>
      <c r="Q213" s="231" t="s">
        <v>763</v>
      </c>
      <c r="R213" s="209" t="s">
        <v>764</v>
      </c>
      <c r="S213" s="79"/>
      <c r="T213" s="223" t="s">
        <v>765</v>
      </c>
      <c r="U213" s="79" t="s">
        <v>38</v>
      </c>
      <c r="V213" s="62" t="s">
        <v>38</v>
      </c>
    </row>
    <row r="214" spans="1:23" ht="15" customHeight="1">
      <c r="A214" s="116">
        <v>213</v>
      </c>
      <c r="B214" s="116">
        <f>IF(TRIM(C214)="Test",COUNTIF($C$2:C214,"Test"),"")</f>
        <v>166</v>
      </c>
      <c r="C214" s="80" t="s">
        <v>25</v>
      </c>
      <c r="D214" s="76" t="s">
        <v>162</v>
      </c>
      <c r="E214" s="76" t="s">
        <v>27</v>
      </c>
      <c r="F214" s="87">
        <v>20260101</v>
      </c>
      <c r="G214" s="98" t="s">
        <v>163</v>
      </c>
      <c r="H214" s="76" t="s">
        <v>29</v>
      </c>
      <c r="I214" s="76" t="s">
        <v>164</v>
      </c>
      <c r="J214" s="76" t="s">
        <v>31</v>
      </c>
      <c r="K214" s="228" t="s">
        <v>32</v>
      </c>
      <c r="L214" s="76" t="s">
        <v>640</v>
      </c>
      <c r="M214" s="76" t="s">
        <v>105</v>
      </c>
      <c r="N214" s="140" t="s">
        <v>766</v>
      </c>
      <c r="O214" s="238"/>
      <c r="P214" s="78"/>
      <c r="Q214" s="231">
        <v>47.442</v>
      </c>
      <c r="R214" s="144" t="s">
        <v>767</v>
      </c>
      <c r="S214" s="144"/>
      <c r="T214" s="224"/>
      <c r="U214" s="144"/>
      <c r="V214" s="133" t="s">
        <v>768</v>
      </c>
      <c r="W214" s="63" t="s">
        <v>769</v>
      </c>
    </row>
    <row r="215" spans="1:23" ht="15" customHeight="1">
      <c r="A215" s="116">
        <v>214</v>
      </c>
      <c r="B215" s="116">
        <f>IF(TRIM(C215)="Test",COUNTIF($C$2:C215,"Test"),"")</f>
        <v>167</v>
      </c>
      <c r="C215" s="80" t="s">
        <v>25</v>
      </c>
      <c r="D215" s="76" t="s">
        <v>171</v>
      </c>
      <c r="E215" s="76" t="s">
        <v>27</v>
      </c>
      <c r="F215" s="87">
        <v>20260101</v>
      </c>
      <c r="G215" s="98" t="s">
        <v>172</v>
      </c>
      <c r="H215" s="76" t="s">
        <v>48</v>
      </c>
      <c r="I215" s="76" t="s">
        <v>81</v>
      </c>
      <c r="J215" s="76" t="s">
        <v>98</v>
      </c>
      <c r="K215" s="228" t="s">
        <v>32</v>
      </c>
      <c r="L215" s="76" t="s">
        <v>640</v>
      </c>
      <c r="M215" s="76" t="s">
        <v>105</v>
      </c>
      <c r="N215" s="140" t="s">
        <v>770</v>
      </c>
      <c r="O215" s="238"/>
      <c r="P215" s="78"/>
      <c r="Q215" s="231">
        <v>23.827000000000002</v>
      </c>
      <c r="R215" s="144" t="s">
        <v>771</v>
      </c>
      <c r="S215" s="144"/>
      <c r="T215" s="224"/>
      <c r="U215" s="144"/>
      <c r="V215" s="148" t="s">
        <v>772</v>
      </c>
      <c r="W215" s="63" t="s">
        <v>773</v>
      </c>
    </row>
    <row r="216" spans="1:23" ht="15" customHeight="1">
      <c r="A216" s="116">
        <v>215</v>
      </c>
      <c r="B216" s="116">
        <f>IF(TRIM(C216)="Test",COUNTIF($C$2:C216,"Test"),"")</f>
        <v>168</v>
      </c>
      <c r="C216" s="80" t="s">
        <v>25</v>
      </c>
      <c r="D216" s="76" t="s">
        <v>177</v>
      </c>
      <c r="E216" s="76" t="s">
        <v>27</v>
      </c>
      <c r="F216" s="87">
        <v>20260101</v>
      </c>
      <c r="G216" s="98" t="s">
        <v>178</v>
      </c>
      <c r="H216" s="76" t="s">
        <v>29</v>
      </c>
      <c r="I216" s="76" t="s">
        <v>30</v>
      </c>
      <c r="J216" s="76" t="s">
        <v>31</v>
      </c>
      <c r="K216" s="228" t="s">
        <v>32</v>
      </c>
      <c r="L216" s="76" t="s">
        <v>640</v>
      </c>
      <c r="M216" s="76" t="s">
        <v>105</v>
      </c>
      <c r="N216" s="103" t="s">
        <v>774</v>
      </c>
      <c r="O216" s="238"/>
      <c r="P216" s="78"/>
      <c r="Q216" s="231" t="s">
        <v>775</v>
      </c>
      <c r="R216" s="79" t="s">
        <v>776</v>
      </c>
      <c r="S216" s="79"/>
      <c r="T216" s="123"/>
      <c r="U216" s="79"/>
      <c r="V216" s="62" t="s">
        <v>38</v>
      </c>
    </row>
    <row r="217" spans="1:23" ht="15" customHeight="1">
      <c r="A217" s="116">
        <v>216</v>
      </c>
      <c r="B217" s="116">
        <f>IF(TRIM(C217)="Test",COUNTIF($C$2:C217,"Test"),"")</f>
        <v>169</v>
      </c>
      <c r="C217" s="80" t="s">
        <v>25</v>
      </c>
      <c r="D217" s="76" t="s">
        <v>184</v>
      </c>
      <c r="E217" s="76" t="s">
        <v>27</v>
      </c>
      <c r="F217" s="87">
        <v>20260101</v>
      </c>
      <c r="G217" s="98" t="s">
        <v>185</v>
      </c>
      <c r="H217" s="76" t="s">
        <v>29</v>
      </c>
      <c r="I217" s="76" t="s">
        <v>92</v>
      </c>
      <c r="J217" s="76" t="s">
        <v>31</v>
      </c>
      <c r="K217" s="228" t="s">
        <v>32</v>
      </c>
      <c r="L217" s="76" t="s">
        <v>640</v>
      </c>
      <c r="M217" s="76" t="s">
        <v>105</v>
      </c>
      <c r="N217" s="103" t="s">
        <v>777</v>
      </c>
      <c r="O217" s="238"/>
      <c r="P217" s="78"/>
      <c r="Q217" s="231" t="s">
        <v>778</v>
      </c>
      <c r="R217" s="79" t="s">
        <v>779</v>
      </c>
      <c r="S217" s="79"/>
      <c r="T217" s="224"/>
      <c r="U217" s="79"/>
      <c r="V217" s="62" t="s">
        <v>38</v>
      </c>
    </row>
    <row r="218" spans="1:23" ht="15" customHeight="1">
      <c r="A218" s="116">
        <v>217</v>
      </c>
      <c r="B218" s="116">
        <f>IF(TRIM(C218)="Test",COUNTIF($C$2:C218,"Test"),"")</f>
        <v>170</v>
      </c>
      <c r="C218" s="80" t="s">
        <v>25</v>
      </c>
      <c r="D218" s="76" t="s">
        <v>154</v>
      </c>
      <c r="E218" s="76" t="s">
        <v>27</v>
      </c>
      <c r="F218" s="87">
        <v>20260101</v>
      </c>
      <c r="G218" s="98" t="s">
        <v>190</v>
      </c>
      <c r="H218" s="76" t="s">
        <v>48</v>
      </c>
      <c r="I218" s="76" t="s">
        <v>49</v>
      </c>
      <c r="J218" s="76" t="s">
        <v>98</v>
      </c>
      <c r="K218" s="228" t="s">
        <v>41</v>
      </c>
      <c r="L218" s="76" t="s">
        <v>640</v>
      </c>
      <c r="M218" s="76" t="s">
        <v>552</v>
      </c>
      <c r="N218" s="103" t="s">
        <v>780</v>
      </c>
      <c r="O218" s="238"/>
      <c r="P218" s="78"/>
      <c r="Q218" s="231">
        <v>31.143999999999998</v>
      </c>
      <c r="R218" s="79" t="s">
        <v>781</v>
      </c>
      <c r="S218" s="79"/>
      <c r="T218" s="224"/>
      <c r="U218" s="79"/>
      <c r="V218" s="62" t="s">
        <v>38</v>
      </c>
    </row>
    <row r="219" spans="1:23" ht="15" customHeight="1">
      <c r="A219" s="116">
        <v>218</v>
      </c>
      <c r="B219" s="116">
        <f>IF(TRIM(C219)="Test",COUNTIF($C$2:C219,"Test"),"")</f>
        <v>171</v>
      </c>
      <c r="C219" s="80" t="s">
        <v>25</v>
      </c>
      <c r="D219" s="76" t="s">
        <v>194</v>
      </c>
      <c r="E219" s="76" t="s">
        <v>27</v>
      </c>
      <c r="F219" s="87">
        <v>20260101</v>
      </c>
      <c r="G219" s="98" t="s">
        <v>195</v>
      </c>
      <c r="H219" s="76" t="s">
        <v>48</v>
      </c>
      <c r="I219" s="76" t="s">
        <v>81</v>
      </c>
      <c r="J219" s="76" t="s">
        <v>63</v>
      </c>
      <c r="K219" s="228" t="s">
        <v>32</v>
      </c>
      <c r="L219" s="76" t="s">
        <v>640</v>
      </c>
      <c r="M219" s="76" t="s">
        <v>552</v>
      </c>
      <c r="N219" s="140" t="s">
        <v>782</v>
      </c>
      <c r="O219" s="238"/>
      <c r="P219" s="78"/>
      <c r="Q219" s="231">
        <v>27.57</v>
      </c>
      <c r="R219" s="144" t="s">
        <v>783</v>
      </c>
      <c r="S219" s="144"/>
      <c r="T219" s="224"/>
      <c r="U219" s="144"/>
      <c r="V219" s="148" t="s">
        <v>311</v>
      </c>
      <c r="W219" s="63" t="s">
        <v>784</v>
      </c>
    </row>
    <row r="220" spans="1:23" ht="15" customHeight="1">
      <c r="A220" s="116">
        <v>219</v>
      </c>
      <c r="B220" s="116">
        <f>IF(TRIM(C220)="Test",COUNTIF($C$2:C220,"Test"),"")</f>
        <v>172</v>
      </c>
      <c r="C220" s="80" t="s">
        <v>25</v>
      </c>
      <c r="D220" s="76" t="s">
        <v>200</v>
      </c>
      <c r="E220" s="76" t="s">
        <v>27</v>
      </c>
      <c r="F220" s="87">
        <v>20260101</v>
      </c>
      <c r="G220" s="98" t="s">
        <v>201</v>
      </c>
      <c r="H220" s="76" t="s">
        <v>48</v>
      </c>
      <c r="I220" s="76" t="s">
        <v>81</v>
      </c>
      <c r="J220" s="76" t="s">
        <v>98</v>
      </c>
      <c r="K220" s="228" t="s">
        <v>32</v>
      </c>
      <c r="L220" s="76" t="s">
        <v>640</v>
      </c>
      <c r="M220" s="76" t="s">
        <v>105</v>
      </c>
      <c r="N220" s="140" t="s">
        <v>785</v>
      </c>
      <c r="O220" s="238"/>
      <c r="P220" s="78"/>
      <c r="Q220" s="231">
        <v>29.805</v>
      </c>
      <c r="R220" s="144" t="s">
        <v>786</v>
      </c>
      <c r="S220" s="144"/>
      <c r="T220" s="224"/>
      <c r="U220" s="144"/>
      <c r="V220" s="148" t="s">
        <v>316</v>
      </c>
      <c r="W220" s="63" t="s">
        <v>787</v>
      </c>
    </row>
    <row r="221" spans="1:23" ht="15" customHeight="1">
      <c r="A221" s="116">
        <v>220</v>
      </c>
      <c r="B221" s="116">
        <f>IF(TRIM(C221)="Test",COUNTIF($C$2:C221,"Test"),"")</f>
        <v>173</v>
      </c>
      <c r="C221" s="80" t="s">
        <v>25</v>
      </c>
      <c r="D221" s="76" t="s">
        <v>205</v>
      </c>
      <c r="E221" s="76" t="s">
        <v>27</v>
      </c>
      <c r="F221" s="87">
        <v>20260101</v>
      </c>
      <c r="G221" s="98" t="s">
        <v>206</v>
      </c>
      <c r="H221" s="76" t="s">
        <v>207</v>
      </c>
      <c r="I221" s="76"/>
      <c r="J221" s="76" t="s">
        <v>208</v>
      </c>
      <c r="K221" s="228" t="s">
        <v>32</v>
      </c>
      <c r="L221" s="76" t="s">
        <v>640</v>
      </c>
      <c r="M221" s="76" t="s">
        <v>552</v>
      </c>
      <c r="N221" s="140" t="s">
        <v>788</v>
      </c>
      <c r="O221" s="238"/>
      <c r="P221" s="78"/>
      <c r="Q221" s="231">
        <v>47.915999999999997</v>
      </c>
      <c r="R221" s="144" t="s">
        <v>789</v>
      </c>
      <c r="S221" s="144"/>
      <c r="T221" s="224"/>
      <c r="U221" s="144"/>
      <c r="V221" s="142" t="s">
        <v>790</v>
      </c>
      <c r="W221" s="63" t="s">
        <v>212</v>
      </c>
    </row>
    <row r="222" spans="1:23" ht="15" customHeight="1">
      <c r="A222" s="116">
        <v>221</v>
      </c>
      <c r="B222" s="116">
        <f>IF(TRIM(C222)="Test",COUNTIF($C$2:C222,"Test"),"")</f>
        <v>174</v>
      </c>
      <c r="C222" s="80" t="s">
        <v>25</v>
      </c>
      <c r="D222" s="76" t="s">
        <v>213</v>
      </c>
      <c r="E222" s="76" t="s">
        <v>27</v>
      </c>
      <c r="F222" s="87">
        <v>20260101</v>
      </c>
      <c r="G222" s="98" t="s">
        <v>214</v>
      </c>
      <c r="H222" s="76" t="s">
        <v>29</v>
      </c>
      <c r="I222" s="76" t="s">
        <v>30</v>
      </c>
      <c r="J222" s="76" t="s">
        <v>31</v>
      </c>
      <c r="K222" s="228" t="s">
        <v>32</v>
      </c>
      <c r="L222" s="76" t="s">
        <v>640</v>
      </c>
      <c r="M222" s="76" t="s">
        <v>552</v>
      </c>
      <c r="N222" s="103" t="s">
        <v>791</v>
      </c>
      <c r="O222" s="238"/>
      <c r="P222" s="78"/>
      <c r="Q222" s="231">
        <v>54.956000000000003</v>
      </c>
      <c r="R222" s="79" t="s">
        <v>792</v>
      </c>
      <c r="S222" s="79"/>
      <c r="T222" s="79"/>
      <c r="U222" s="79"/>
      <c r="V222" s="62" t="s">
        <v>38</v>
      </c>
    </row>
    <row r="223" spans="1:23" ht="15" customHeight="1">
      <c r="A223" s="116">
        <v>222</v>
      </c>
      <c r="B223" s="116">
        <f>IF(TRIM(C223)="Test",COUNTIF($C$2:C223,"Test"),"")</f>
        <v>175</v>
      </c>
      <c r="C223" s="80" t="s">
        <v>25</v>
      </c>
      <c r="D223" s="76" t="s">
        <v>218</v>
      </c>
      <c r="E223" s="76" t="s">
        <v>27</v>
      </c>
      <c r="F223" s="87">
        <v>20260101</v>
      </c>
      <c r="G223" s="98" t="s">
        <v>219</v>
      </c>
      <c r="H223" s="76" t="s">
        <v>29</v>
      </c>
      <c r="I223" s="76" t="s">
        <v>30</v>
      </c>
      <c r="J223" s="76" t="s">
        <v>31</v>
      </c>
      <c r="K223" s="228" t="s">
        <v>32</v>
      </c>
      <c r="L223" s="76" t="s">
        <v>640</v>
      </c>
      <c r="M223" s="76" t="s">
        <v>739</v>
      </c>
      <c r="N223" s="103" t="s">
        <v>793</v>
      </c>
      <c r="O223" s="238"/>
      <c r="P223" s="78"/>
      <c r="Q223" s="231">
        <v>39.4</v>
      </c>
      <c r="R223" s="79" t="s">
        <v>794</v>
      </c>
      <c r="S223" s="79"/>
      <c r="T223" s="79"/>
      <c r="U223" s="79"/>
      <c r="V223" s="62" t="s">
        <v>38</v>
      </c>
    </row>
    <row r="224" spans="1:23" ht="15" customHeight="1">
      <c r="A224" s="116">
        <v>223</v>
      </c>
      <c r="B224" s="116">
        <f>IF(TRIM(C224)="Test",COUNTIF($C$2:C224,"Test"),"")</f>
        <v>176</v>
      </c>
      <c r="C224" s="80" t="s">
        <v>25</v>
      </c>
      <c r="D224" s="76" t="s">
        <v>222</v>
      </c>
      <c r="E224" s="76" t="s">
        <v>27</v>
      </c>
      <c r="F224" s="87">
        <v>20260101</v>
      </c>
      <c r="G224" s="98" t="s">
        <v>223</v>
      </c>
      <c r="H224" s="76" t="s">
        <v>80</v>
      </c>
      <c r="I224" s="76" t="s">
        <v>81</v>
      </c>
      <c r="J224" s="76" t="s">
        <v>59</v>
      </c>
      <c r="K224" s="228" t="s">
        <v>32</v>
      </c>
      <c r="L224" s="76" t="s">
        <v>640</v>
      </c>
      <c r="M224" s="76" t="s">
        <v>739</v>
      </c>
      <c r="N224" s="103" t="s">
        <v>795</v>
      </c>
      <c r="O224" s="238"/>
      <c r="P224" s="78"/>
      <c r="Q224" s="231">
        <v>27.334</v>
      </c>
      <c r="R224" s="79" t="s">
        <v>796</v>
      </c>
      <c r="S224" s="79"/>
      <c r="T224" s="79"/>
      <c r="U224" s="79"/>
      <c r="V224" s="62" t="s">
        <v>38</v>
      </c>
    </row>
    <row r="225" spans="1:23" ht="15" customHeight="1">
      <c r="A225" s="116">
        <v>224</v>
      </c>
      <c r="B225" s="116">
        <f>IF(TRIM(C225)="Test",COUNTIF($C$2:C225,"Test"),"")</f>
        <v>177</v>
      </c>
      <c r="C225" s="80" t="s">
        <v>25</v>
      </c>
      <c r="D225" s="76" t="s">
        <v>26</v>
      </c>
      <c r="E225" s="76" t="s">
        <v>27</v>
      </c>
      <c r="F225" s="87">
        <v>20260101</v>
      </c>
      <c r="G225" s="98" t="s">
        <v>28</v>
      </c>
      <c r="H225" s="76" t="s">
        <v>29</v>
      </c>
      <c r="I225" s="76" t="s">
        <v>30</v>
      </c>
      <c r="J225" s="76" t="s">
        <v>31</v>
      </c>
      <c r="K225" s="228" t="s">
        <v>32</v>
      </c>
      <c r="L225" s="76" t="s">
        <v>640</v>
      </c>
      <c r="M225" s="76" t="s">
        <v>105</v>
      </c>
      <c r="N225" s="103" t="s">
        <v>797</v>
      </c>
      <c r="O225" s="238"/>
      <c r="P225" s="78"/>
      <c r="Q225" s="231">
        <v>40.029000000000003</v>
      </c>
      <c r="R225" s="79" t="s">
        <v>798</v>
      </c>
      <c r="S225" s="79"/>
      <c r="T225" s="79"/>
      <c r="U225" s="79"/>
      <c r="V225" s="62" t="s">
        <v>38</v>
      </c>
    </row>
    <row r="226" spans="1:23" ht="15" customHeight="1">
      <c r="A226" s="116">
        <v>225</v>
      </c>
      <c r="B226" s="116">
        <f>IF(TRIM(C226)="Test",COUNTIF($C$2:C226,"Test"),"")</f>
        <v>178</v>
      </c>
      <c r="C226" s="80" t="s">
        <v>25</v>
      </c>
      <c r="D226" s="76" t="s">
        <v>39</v>
      </c>
      <c r="E226" s="214" t="s">
        <v>40</v>
      </c>
      <c r="F226" s="87">
        <v>20260101</v>
      </c>
      <c r="G226" s="98" t="s">
        <v>28</v>
      </c>
      <c r="H226" s="76" t="s">
        <v>29</v>
      </c>
      <c r="I226" s="76" t="s">
        <v>30</v>
      </c>
      <c r="J226" s="76" t="s">
        <v>31</v>
      </c>
      <c r="K226" s="228" t="s">
        <v>41</v>
      </c>
      <c r="L226" s="76" t="s">
        <v>640</v>
      </c>
      <c r="M226" s="76" t="s">
        <v>105</v>
      </c>
      <c r="N226" s="103" t="s">
        <v>799</v>
      </c>
      <c r="O226" s="238"/>
      <c r="P226" s="78"/>
      <c r="Q226" s="231">
        <v>30.815999999999999</v>
      </c>
      <c r="R226" s="209" t="s">
        <v>800</v>
      </c>
      <c r="S226" s="79"/>
      <c r="T226" s="79" t="s">
        <v>801</v>
      </c>
      <c r="U226" s="79" t="s">
        <v>38</v>
      </c>
      <c r="V226" s="62" t="s">
        <v>38</v>
      </c>
    </row>
    <row r="227" spans="1:23" ht="15" customHeight="1">
      <c r="A227" s="116">
        <v>226</v>
      </c>
      <c r="B227" s="116">
        <f>IF(TRIM(C227)="Test",COUNTIF($C$2:C227,"Test"),"")</f>
        <v>179</v>
      </c>
      <c r="C227" s="80" t="s">
        <v>25</v>
      </c>
      <c r="D227" s="76" t="s">
        <v>46</v>
      </c>
      <c r="E227" s="76" t="s">
        <v>27</v>
      </c>
      <c r="F227" s="87">
        <v>20260101</v>
      </c>
      <c r="G227" s="98" t="s">
        <v>47</v>
      </c>
      <c r="H227" s="76" t="s">
        <v>48</v>
      </c>
      <c r="I227" s="76" t="s">
        <v>49</v>
      </c>
      <c r="J227" s="76" t="s">
        <v>50</v>
      </c>
      <c r="K227" s="228" t="s">
        <v>32</v>
      </c>
      <c r="L227" s="76" t="s">
        <v>640</v>
      </c>
      <c r="M227" s="76" t="s">
        <v>802</v>
      </c>
      <c r="N227" s="140" t="s">
        <v>803</v>
      </c>
      <c r="O227" s="238"/>
      <c r="P227" s="78"/>
      <c r="Q227" s="231">
        <v>25.492999999999999</v>
      </c>
      <c r="R227" s="144" t="s">
        <v>804</v>
      </c>
      <c r="S227" s="144"/>
      <c r="T227" s="144"/>
      <c r="U227" s="144"/>
      <c r="V227" s="143" t="s">
        <v>175</v>
      </c>
      <c r="W227" s="63" t="s">
        <v>805</v>
      </c>
    </row>
    <row r="228" spans="1:23" ht="15" customHeight="1">
      <c r="A228" s="116">
        <v>227</v>
      </c>
      <c r="B228" s="116">
        <f>IF(TRIM(C228)="Test",COUNTIF($C$2:C228,"Test"),"")</f>
        <v>180</v>
      </c>
      <c r="C228" s="80" t="s">
        <v>25</v>
      </c>
      <c r="D228" s="76" t="s">
        <v>56</v>
      </c>
      <c r="E228" s="76" t="s">
        <v>27</v>
      </c>
      <c r="F228" s="87">
        <v>20260101</v>
      </c>
      <c r="G228" s="98" t="s">
        <v>57</v>
      </c>
      <c r="H228" s="76" t="s">
        <v>29</v>
      </c>
      <c r="I228" s="76" t="s">
        <v>58</v>
      </c>
      <c r="J228" s="76" t="s">
        <v>59</v>
      </c>
      <c r="K228" s="228" t="s">
        <v>41</v>
      </c>
      <c r="L228" s="76" t="s">
        <v>640</v>
      </c>
      <c r="M228" s="76" t="s">
        <v>806</v>
      </c>
      <c r="N228" s="103" t="s">
        <v>807</v>
      </c>
      <c r="O228" s="238"/>
      <c r="P228" s="78"/>
      <c r="Q228" s="231">
        <v>40.981999999999999</v>
      </c>
      <c r="R228" s="79" t="s">
        <v>808</v>
      </c>
      <c r="S228" s="79"/>
      <c r="T228" s="79"/>
      <c r="U228" s="79"/>
      <c r="V228" s="63" t="s">
        <v>38</v>
      </c>
    </row>
    <row r="229" spans="1:23" ht="15" customHeight="1">
      <c r="A229" s="116">
        <v>228</v>
      </c>
      <c r="B229" s="116">
        <f>IF(TRIM(C229)="Test",COUNTIF($C$2:C229,"Test"),"")</f>
        <v>181</v>
      </c>
      <c r="C229" s="80" t="s">
        <v>25</v>
      </c>
      <c r="D229" s="76" t="s">
        <v>40</v>
      </c>
      <c r="E229" s="76" t="s">
        <v>27</v>
      </c>
      <c r="F229" s="87">
        <v>20260101</v>
      </c>
      <c r="G229" s="98" t="s">
        <v>62</v>
      </c>
      <c r="H229" s="76" t="s">
        <v>48</v>
      </c>
      <c r="I229" s="76" t="s">
        <v>49</v>
      </c>
      <c r="J229" s="76" t="s">
        <v>63</v>
      </c>
      <c r="K229" s="228" t="s">
        <v>32</v>
      </c>
      <c r="L229" s="76" t="s">
        <v>640</v>
      </c>
      <c r="M229" s="76" t="s">
        <v>552</v>
      </c>
      <c r="N229" s="103" t="s">
        <v>809</v>
      </c>
      <c r="O229" s="238"/>
      <c r="P229" s="78"/>
      <c r="Q229" s="231">
        <v>22.773</v>
      </c>
      <c r="R229" s="79" t="s">
        <v>810</v>
      </c>
      <c r="S229" s="79"/>
      <c r="T229" s="79"/>
      <c r="U229" s="79"/>
      <c r="V229" s="62" t="s">
        <v>38</v>
      </c>
    </row>
    <row r="230" spans="1:23" ht="15" customHeight="1">
      <c r="A230" s="116">
        <v>229</v>
      </c>
      <c r="B230" s="116">
        <f>IF(TRIM(C230)="Test",COUNTIF($C$2:C230,"Test"),"")</f>
        <v>182</v>
      </c>
      <c r="C230" s="80" t="s">
        <v>25</v>
      </c>
      <c r="D230" s="76" t="s">
        <v>70</v>
      </c>
      <c r="E230" s="76" t="s">
        <v>27</v>
      </c>
      <c r="F230" s="87">
        <v>20260101</v>
      </c>
      <c r="G230" s="98" t="s">
        <v>62</v>
      </c>
      <c r="H230" s="76" t="s">
        <v>48</v>
      </c>
      <c r="I230" s="76" t="s">
        <v>49</v>
      </c>
      <c r="J230" s="76" t="s">
        <v>63</v>
      </c>
      <c r="K230" s="228" t="s">
        <v>41</v>
      </c>
      <c r="L230" s="76" t="s">
        <v>640</v>
      </c>
      <c r="M230" s="76" t="s">
        <v>552</v>
      </c>
      <c r="N230" s="103" t="s">
        <v>811</v>
      </c>
      <c r="O230" s="238"/>
      <c r="P230" s="78"/>
      <c r="Q230" s="231">
        <v>39.356999999999999</v>
      </c>
      <c r="R230" s="79" t="s">
        <v>812</v>
      </c>
      <c r="S230" s="79"/>
      <c r="T230" s="79"/>
      <c r="U230" s="79"/>
      <c r="V230" s="62" t="s">
        <v>38</v>
      </c>
    </row>
    <row r="231" spans="1:23" ht="15" customHeight="1">
      <c r="A231" s="116">
        <v>230</v>
      </c>
      <c r="B231" s="116">
        <f>IF(TRIM(C231)="Test",COUNTIF($C$2:C231,"Test"),"")</f>
        <v>183</v>
      </c>
      <c r="C231" s="80" t="s">
        <v>25</v>
      </c>
      <c r="D231" s="76" t="s">
        <v>74</v>
      </c>
      <c r="E231" s="76" t="s">
        <v>27</v>
      </c>
      <c r="F231" s="87">
        <v>20260101</v>
      </c>
      <c r="G231" s="98" t="s">
        <v>75</v>
      </c>
      <c r="H231" s="76" t="s">
        <v>29</v>
      </c>
      <c r="I231" s="76" t="s">
        <v>30</v>
      </c>
      <c r="J231" s="76" t="s">
        <v>31</v>
      </c>
      <c r="K231" s="228" t="s">
        <v>32</v>
      </c>
      <c r="L231" s="76" t="s">
        <v>640</v>
      </c>
      <c r="M231" s="76" t="s">
        <v>552</v>
      </c>
      <c r="N231" s="103" t="s">
        <v>813</v>
      </c>
      <c r="O231" s="238"/>
      <c r="P231" s="78"/>
      <c r="Q231" s="231">
        <v>58.844000000000001</v>
      </c>
      <c r="R231" s="79" t="s">
        <v>814</v>
      </c>
      <c r="S231" s="79"/>
      <c r="T231" s="79"/>
      <c r="U231" s="79"/>
      <c r="V231" s="62" t="s">
        <v>38</v>
      </c>
    </row>
    <row r="232" spans="1:23" ht="15" customHeight="1">
      <c r="A232" s="116">
        <v>231</v>
      </c>
      <c r="B232" s="116">
        <f>IF(TRIM(C232)="Test",COUNTIF($C$2:C232,"Test"),"")</f>
        <v>184</v>
      </c>
      <c r="C232" s="95" t="s">
        <v>25</v>
      </c>
      <c r="D232" s="76" t="s">
        <v>78</v>
      </c>
      <c r="E232" s="76" t="s">
        <v>27</v>
      </c>
      <c r="F232" s="87">
        <v>20260101</v>
      </c>
      <c r="G232" s="98" t="s">
        <v>79</v>
      </c>
      <c r="H232" s="76" t="s">
        <v>80</v>
      </c>
      <c r="I232" s="76" t="s">
        <v>81</v>
      </c>
      <c r="J232" s="76" t="s">
        <v>31</v>
      </c>
      <c r="K232" s="228" t="s">
        <v>41</v>
      </c>
      <c r="L232" s="76" t="s">
        <v>640</v>
      </c>
      <c r="M232" s="76" t="s">
        <v>105</v>
      </c>
      <c r="N232" s="140" t="s">
        <v>815</v>
      </c>
      <c r="O232" s="239"/>
      <c r="P232" s="80"/>
      <c r="Q232" s="232" t="s">
        <v>816</v>
      </c>
      <c r="R232" s="76" t="s">
        <v>817</v>
      </c>
      <c r="S232" s="76"/>
      <c r="T232" s="76"/>
      <c r="U232" s="76"/>
      <c r="V232" s="142" t="s">
        <v>360</v>
      </c>
      <c r="W232" s="133"/>
    </row>
    <row r="233" spans="1:23" ht="15" customHeight="1">
      <c r="A233" s="116">
        <v>232</v>
      </c>
      <c r="B233" s="116">
        <f>IF(TRIM(C233)="Test",COUNTIF($C$2:C233,"Test"),"")</f>
        <v>185</v>
      </c>
      <c r="C233" s="80" t="s">
        <v>25</v>
      </c>
      <c r="D233" s="76" t="s">
        <v>86</v>
      </c>
      <c r="E233" s="76" t="s">
        <v>27</v>
      </c>
      <c r="F233" s="87">
        <v>20260101</v>
      </c>
      <c r="G233" s="98" t="s">
        <v>87</v>
      </c>
      <c r="H233" s="76" t="s">
        <v>48</v>
      </c>
      <c r="I233" s="76" t="s">
        <v>81</v>
      </c>
      <c r="J233" s="76" t="s">
        <v>50</v>
      </c>
      <c r="K233" s="228" t="s">
        <v>32</v>
      </c>
      <c r="L233" s="76" t="s">
        <v>640</v>
      </c>
      <c r="M233" s="76" t="s">
        <v>552</v>
      </c>
      <c r="N233" s="140" t="s">
        <v>818</v>
      </c>
      <c r="O233" s="238"/>
      <c r="P233" s="78"/>
      <c r="Q233" s="231">
        <v>26.629000000000001</v>
      </c>
      <c r="R233" s="144" t="s">
        <v>819</v>
      </c>
      <c r="S233" s="144"/>
      <c r="T233" s="144"/>
      <c r="U233" s="144"/>
      <c r="V233" s="148" t="s">
        <v>316</v>
      </c>
      <c r="W233" s="63" t="s">
        <v>820</v>
      </c>
    </row>
    <row r="234" spans="1:23" ht="15" customHeight="1">
      <c r="A234" s="116">
        <v>233</v>
      </c>
      <c r="B234" s="116">
        <f>IF(TRIM(C234)="Test",COUNTIF($C$2:C234,"Test"),"")</f>
        <v>186</v>
      </c>
      <c r="C234" s="80" t="s">
        <v>25</v>
      </c>
      <c r="D234" s="76" t="s">
        <v>90</v>
      </c>
      <c r="E234" s="76" t="s">
        <v>27</v>
      </c>
      <c r="F234" s="87">
        <v>20260101</v>
      </c>
      <c r="G234" s="98" t="s">
        <v>91</v>
      </c>
      <c r="H234" s="76" t="s">
        <v>29</v>
      </c>
      <c r="I234" s="76" t="s">
        <v>92</v>
      </c>
      <c r="J234" s="76" t="s">
        <v>59</v>
      </c>
      <c r="K234" s="228" t="s">
        <v>32</v>
      </c>
      <c r="L234" s="76" t="s">
        <v>821</v>
      </c>
      <c r="M234" s="76" t="s">
        <v>822</v>
      </c>
      <c r="N234" s="103" t="s">
        <v>823</v>
      </c>
      <c r="O234" s="238"/>
      <c r="P234" s="78"/>
      <c r="Q234" s="231">
        <v>45.283000000000001</v>
      </c>
      <c r="R234" s="79" t="s">
        <v>824</v>
      </c>
      <c r="S234" s="79"/>
      <c r="T234" s="79"/>
      <c r="U234" s="79"/>
      <c r="V234" s="62" t="s">
        <v>38</v>
      </c>
    </row>
    <row r="235" spans="1:23" ht="15" customHeight="1">
      <c r="A235" s="116">
        <v>234</v>
      </c>
      <c r="B235" s="116">
        <f>IF(TRIM(C235)="Test",COUNTIF($C$2:C235,"Test"),"")</f>
        <v>187</v>
      </c>
      <c r="C235" s="80" t="s">
        <v>25</v>
      </c>
      <c r="D235" s="76" t="s">
        <v>95</v>
      </c>
      <c r="E235" s="76" t="s">
        <v>27</v>
      </c>
      <c r="F235" s="87">
        <v>20260101</v>
      </c>
      <c r="G235" s="98" t="s">
        <v>96</v>
      </c>
      <c r="H235" s="76" t="s">
        <v>48</v>
      </c>
      <c r="I235" s="76" t="s">
        <v>97</v>
      </c>
      <c r="J235" s="76" t="s">
        <v>98</v>
      </c>
      <c r="K235" s="228" t="s">
        <v>32</v>
      </c>
      <c r="L235" s="76" t="s">
        <v>821</v>
      </c>
      <c r="M235" s="76" t="s">
        <v>822</v>
      </c>
      <c r="N235" s="103" t="s">
        <v>825</v>
      </c>
      <c r="O235" s="238"/>
      <c r="P235" s="78"/>
      <c r="Q235" s="231">
        <v>30.802</v>
      </c>
      <c r="R235" s="79" t="s">
        <v>826</v>
      </c>
      <c r="S235" s="79"/>
      <c r="T235" s="79"/>
      <c r="U235" s="79"/>
      <c r="V235" s="62" t="s">
        <v>38</v>
      </c>
    </row>
    <row r="236" spans="1:23" ht="15" customHeight="1">
      <c r="A236" s="116">
        <v>235</v>
      </c>
      <c r="B236" s="116">
        <f>IF(TRIM(C236)="Test",COUNTIF($C$2:C236,"Test"),"")</f>
        <v>188</v>
      </c>
      <c r="C236" s="80" t="s">
        <v>25</v>
      </c>
      <c r="D236" s="76" t="s">
        <v>101</v>
      </c>
      <c r="E236" s="76" t="s">
        <v>27</v>
      </c>
      <c r="F236" s="87">
        <v>20260101</v>
      </c>
      <c r="G236" s="98" t="s">
        <v>102</v>
      </c>
      <c r="H236" s="76" t="s">
        <v>29</v>
      </c>
      <c r="I236" s="76" t="s">
        <v>103</v>
      </c>
      <c r="J236" s="76" t="s">
        <v>31</v>
      </c>
      <c r="K236" s="228" t="s">
        <v>32</v>
      </c>
      <c r="L236" s="76" t="s">
        <v>821</v>
      </c>
      <c r="M236" s="76" t="s">
        <v>822</v>
      </c>
      <c r="N236" s="103" t="s">
        <v>827</v>
      </c>
      <c r="O236" s="238"/>
      <c r="P236" s="78"/>
      <c r="Q236" s="231">
        <v>16.350999999999999</v>
      </c>
      <c r="R236" s="79" t="s">
        <v>828</v>
      </c>
      <c r="S236" s="79"/>
      <c r="T236" s="79"/>
      <c r="U236" s="79"/>
      <c r="V236" s="62" t="s">
        <v>38</v>
      </c>
    </row>
    <row r="237" spans="1:23" ht="15" customHeight="1">
      <c r="A237" s="122">
        <v>236</v>
      </c>
      <c r="B237" s="122" t="str">
        <f>IF(TRIM(C237)="Test",COUNTIF($C$2:C237,"Test"),"")</f>
        <v/>
      </c>
      <c r="C237" s="262" t="s">
        <v>829</v>
      </c>
      <c r="D237" s="93" t="s">
        <v>108</v>
      </c>
      <c r="E237" s="93"/>
      <c r="F237" s="94">
        <v>20260101</v>
      </c>
      <c r="G237" s="76" t="s">
        <v>109</v>
      </c>
      <c r="H237" s="76" t="s">
        <v>48</v>
      </c>
      <c r="I237" s="76" t="s">
        <v>81</v>
      </c>
      <c r="J237" s="76" t="s">
        <v>98</v>
      </c>
      <c r="K237" s="76" t="s">
        <v>32</v>
      </c>
      <c r="L237" s="93" t="s">
        <v>821</v>
      </c>
      <c r="M237" s="240" t="s">
        <v>552</v>
      </c>
      <c r="N237" s="276" t="s">
        <v>830</v>
      </c>
      <c r="O237" s="77"/>
      <c r="P237" s="78"/>
      <c r="Q237" s="78">
        <v>18.332000000000001</v>
      </c>
      <c r="R237" s="269" t="s">
        <v>831</v>
      </c>
      <c r="S237" s="269"/>
      <c r="T237" s="269"/>
      <c r="U237" s="269"/>
      <c r="V237" s="143" t="s">
        <v>269</v>
      </c>
      <c r="W237" s="63" t="s">
        <v>260</v>
      </c>
    </row>
    <row r="238" spans="1:23" ht="15" customHeight="1">
      <c r="A238" s="116">
        <v>237</v>
      </c>
      <c r="B238" s="116" t="str">
        <f>IF(TRIM(C238)="Test",COUNTIF($C$2:C238,"Test"),"")</f>
        <v/>
      </c>
      <c r="C238" s="80" t="s">
        <v>829</v>
      </c>
      <c r="D238" s="76" t="s">
        <v>112</v>
      </c>
      <c r="E238" s="76"/>
      <c r="F238" s="87">
        <v>20260101</v>
      </c>
      <c r="G238" s="76" t="s">
        <v>113</v>
      </c>
      <c r="H238" s="76" t="s">
        <v>48</v>
      </c>
      <c r="I238" s="76" t="s">
        <v>49</v>
      </c>
      <c r="J238" s="76" t="s">
        <v>98</v>
      </c>
      <c r="K238" s="76" t="s">
        <v>32</v>
      </c>
      <c r="L238" s="76" t="s">
        <v>821</v>
      </c>
      <c r="M238" s="98" t="s">
        <v>552</v>
      </c>
      <c r="N238" s="103" t="s">
        <v>832</v>
      </c>
      <c r="O238" s="77"/>
      <c r="P238" s="78"/>
      <c r="Q238" s="78">
        <v>20.314</v>
      </c>
      <c r="R238" s="79" t="s">
        <v>833</v>
      </c>
      <c r="S238" s="79"/>
      <c r="T238" s="79"/>
      <c r="U238" s="79"/>
      <c r="V238" s="63" t="s">
        <v>38</v>
      </c>
    </row>
    <row r="239" spans="1:23" ht="15" customHeight="1">
      <c r="A239" s="116">
        <v>238</v>
      </c>
      <c r="B239" s="116" t="str">
        <f>IF(TRIM(C239)="Test",COUNTIF($C$2:C239,"Test"),"")</f>
        <v/>
      </c>
      <c r="C239" s="80" t="s">
        <v>829</v>
      </c>
      <c r="D239" s="76" t="s">
        <v>118</v>
      </c>
      <c r="E239" s="76"/>
      <c r="F239" s="87">
        <v>20260101</v>
      </c>
      <c r="G239" s="76" t="s">
        <v>119</v>
      </c>
      <c r="H239" s="76" t="s">
        <v>29</v>
      </c>
      <c r="I239" s="76" t="s">
        <v>92</v>
      </c>
      <c r="J239" s="76" t="s">
        <v>31</v>
      </c>
      <c r="K239" s="76" t="s">
        <v>41</v>
      </c>
      <c r="L239" s="76" t="s">
        <v>821</v>
      </c>
      <c r="M239" s="98" t="s">
        <v>552</v>
      </c>
      <c r="N239" s="103" t="s">
        <v>834</v>
      </c>
      <c r="O239" s="77"/>
      <c r="P239" s="78"/>
      <c r="Q239" s="78">
        <v>59.500999999999998</v>
      </c>
      <c r="R239" s="79" t="s">
        <v>835</v>
      </c>
      <c r="S239" s="79"/>
      <c r="T239" s="79"/>
      <c r="U239" s="79"/>
      <c r="V239" s="62" t="s">
        <v>38</v>
      </c>
    </row>
    <row r="240" spans="1:23" ht="15" customHeight="1">
      <c r="A240" s="116">
        <v>239</v>
      </c>
      <c r="B240" s="116" t="str">
        <f>IF(TRIM(C240)="Test",COUNTIF($C$2:C240,"Test"),"")</f>
        <v/>
      </c>
      <c r="C240" s="80" t="s">
        <v>829</v>
      </c>
      <c r="D240" s="76" t="s">
        <v>124</v>
      </c>
      <c r="E240" s="76"/>
      <c r="F240" s="87">
        <v>20260101</v>
      </c>
      <c r="G240" s="76" t="s">
        <v>125</v>
      </c>
      <c r="H240" s="76" t="s">
        <v>48</v>
      </c>
      <c r="I240" s="76" t="s">
        <v>49</v>
      </c>
      <c r="J240" s="76" t="s">
        <v>50</v>
      </c>
      <c r="K240" s="76" t="s">
        <v>41</v>
      </c>
      <c r="L240" s="76" t="s">
        <v>821</v>
      </c>
      <c r="M240" s="98" t="s">
        <v>552</v>
      </c>
      <c r="N240" s="103" t="s">
        <v>836</v>
      </c>
      <c r="O240" s="77"/>
      <c r="P240" s="78"/>
      <c r="Q240" s="78">
        <v>29.885999999999999</v>
      </c>
      <c r="R240" s="79" t="s">
        <v>837</v>
      </c>
      <c r="S240" s="79"/>
      <c r="T240" s="79"/>
      <c r="U240" s="79"/>
      <c r="V240" s="62" t="s">
        <v>38</v>
      </c>
    </row>
    <row r="241" spans="1:24" ht="15" customHeight="1">
      <c r="A241" s="116">
        <v>240</v>
      </c>
      <c r="B241" s="116" t="str">
        <f>IF(TRIM(C241)="Test",COUNTIF($C$2:C241,"Test"),"")</f>
        <v/>
      </c>
      <c r="C241" s="80" t="s">
        <v>829</v>
      </c>
      <c r="D241" s="76" t="s">
        <v>128</v>
      </c>
      <c r="E241" s="76"/>
      <c r="F241" s="87">
        <v>20260101</v>
      </c>
      <c r="G241" s="76" t="s">
        <v>129</v>
      </c>
      <c r="H241" s="76" t="s">
        <v>48</v>
      </c>
      <c r="I241" s="76" t="s">
        <v>49</v>
      </c>
      <c r="J241" s="76" t="s">
        <v>63</v>
      </c>
      <c r="K241" s="76" t="s">
        <v>32</v>
      </c>
      <c r="L241" s="76" t="s">
        <v>821</v>
      </c>
      <c r="M241" s="98" t="s">
        <v>552</v>
      </c>
      <c r="N241" s="103" t="s">
        <v>838</v>
      </c>
      <c r="O241" s="77"/>
      <c r="P241" s="78"/>
      <c r="Q241" s="78">
        <v>35.643000000000001</v>
      </c>
      <c r="R241" s="79" t="s">
        <v>839</v>
      </c>
      <c r="S241" s="79"/>
      <c r="T241" s="79"/>
      <c r="U241" s="79"/>
      <c r="V241" s="62" t="s">
        <v>38</v>
      </c>
    </row>
    <row r="242" spans="1:24" ht="15" customHeight="1">
      <c r="A242" s="242">
        <v>241</v>
      </c>
      <c r="B242" s="242" t="str">
        <f>IF(TRIM(C242)="Test",COUNTIF($C$2:C242,"Test"),"")</f>
        <v/>
      </c>
      <c r="C242" s="91" t="s">
        <v>829</v>
      </c>
      <c r="D242" s="243" t="s">
        <v>134</v>
      </c>
      <c r="E242" s="243"/>
      <c r="F242" s="244">
        <v>20260101</v>
      </c>
      <c r="G242" s="76" t="s">
        <v>135</v>
      </c>
      <c r="H242" s="76" t="s">
        <v>29</v>
      </c>
      <c r="I242" s="76" t="s">
        <v>30</v>
      </c>
      <c r="J242" s="76" t="s">
        <v>31</v>
      </c>
      <c r="K242" s="76" t="s">
        <v>32</v>
      </c>
      <c r="L242" s="243" t="s">
        <v>821</v>
      </c>
      <c r="M242" s="99" t="s">
        <v>105</v>
      </c>
      <c r="N242" s="165" t="s">
        <v>840</v>
      </c>
      <c r="O242" s="77"/>
      <c r="P242" s="78"/>
      <c r="Q242" s="78">
        <v>35.287999999999997</v>
      </c>
      <c r="R242" s="166" t="s">
        <v>841</v>
      </c>
      <c r="S242" s="166"/>
      <c r="T242" s="166"/>
      <c r="U242" s="166"/>
      <c r="V242" s="62" t="s">
        <v>38</v>
      </c>
    </row>
    <row r="243" spans="1:24" ht="14.25" customHeight="1">
      <c r="A243" s="116">
        <v>242</v>
      </c>
      <c r="B243" s="116">
        <f>IF(TRIM(C243)="Test",COUNTIF($C$2:C243,"Test"),"")</f>
        <v>189</v>
      </c>
      <c r="C243" s="80" t="s">
        <v>25</v>
      </c>
      <c r="D243" s="76" t="s">
        <v>140</v>
      </c>
      <c r="E243" s="76" t="s">
        <v>27</v>
      </c>
      <c r="F243" s="87">
        <v>20260101</v>
      </c>
      <c r="G243" s="98" t="s">
        <v>141</v>
      </c>
      <c r="H243" s="76" t="s">
        <v>142</v>
      </c>
      <c r="I243" s="76" t="s">
        <v>58</v>
      </c>
      <c r="J243" s="76" t="s">
        <v>59</v>
      </c>
      <c r="K243" s="228"/>
      <c r="L243" s="140" t="s">
        <v>842</v>
      </c>
      <c r="M243" s="76" t="s">
        <v>552</v>
      </c>
      <c r="N243" s="140" t="s">
        <v>843</v>
      </c>
      <c r="O243" s="238"/>
      <c r="P243" s="78"/>
      <c r="Q243" s="231">
        <v>14.874000000000001</v>
      </c>
      <c r="R243" s="144" t="s">
        <v>844</v>
      </c>
      <c r="S243" s="144"/>
      <c r="T243" s="144"/>
      <c r="U243" s="144"/>
      <c r="V243" s="142" t="s">
        <v>288</v>
      </c>
      <c r="W243" s="63" t="s">
        <v>289</v>
      </c>
    </row>
    <row r="244" spans="1:24" ht="15" customHeight="1">
      <c r="A244" s="116">
        <v>243</v>
      </c>
      <c r="B244" s="116">
        <f>IF(TRIM(C244)="Test",COUNTIF($C$2:C244,"Test"),"")</f>
        <v>190</v>
      </c>
      <c r="C244" s="80" t="s">
        <v>25</v>
      </c>
      <c r="D244" s="76" t="s">
        <v>145</v>
      </c>
      <c r="E244" s="214" t="s">
        <v>90</v>
      </c>
      <c r="F244" s="87">
        <v>20260101</v>
      </c>
      <c r="G244" s="98" t="s">
        <v>146</v>
      </c>
      <c r="H244" s="76" t="s">
        <v>147</v>
      </c>
      <c r="I244" s="76" t="s">
        <v>148</v>
      </c>
      <c r="J244" s="76" t="s">
        <v>31</v>
      </c>
      <c r="K244" s="228"/>
      <c r="L244" s="139" t="s">
        <v>845</v>
      </c>
      <c r="M244" s="76"/>
      <c r="N244" s="140" t="s">
        <v>846</v>
      </c>
      <c r="O244" s="238"/>
      <c r="P244" s="78"/>
      <c r="Q244" s="231">
        <v>17.283999999999999</v>
      </c>
      <c r="R244" s="213" t="s">
        <v>847</v>
      </c>
      <c r="S244" s="144"/>
      <c r="T244" s="144" t="s">
        <v>848</v>
      </c>
      <c r="U244" s="79" t="s">
        <v>38</v>
      </c>
      <c r="V244" s="133" t="s">
        <v>849</v>
      </c>
      <c r="W244" s="63" t="s">
        <v>850</v>
      </c>
    </row>
    <row r="245" spans="1:24" ht="15" customHeight="1">
      <c r="A245" s="116">
        <v>244</v>
      </c>
      <c r="B245" s="116">
        <f>IF(TRIM(C245)="Test",COUNTIF($C$2:C245,"Test"),"")</f>
        <v>191</v>
      </c>
      <c r="C245" s="80" t="s">
        <v>25</v>
      </c>
      <c r="D245" s="76" t="s">
        <v>153</v>
      </c>
      <c r="E245" s="76" t="s">
        <v>27</v>
      </c>
      <c r="F245" s="87">
        <v>20260101</v>
      </c>
      <c r="G245" s="98" t="s">
        <v>155</v>
      </c>
      <c r="H245" s="76" t="s">
        <v>29</v>
      </c>
      <c r="I245" s="76" t="s">
        <v>30</v>
      </c>
      <c r="J245" s="76" t="s">
        <v>31</v>
      </c>
      <c r="K245" s="228" t="s">
        <v>32</v>
      </c>
      <c r="L245" s="103" t="s">
        <v>845</v>
      </c>
      <c r="M245" s="76" t="s">
        <v>851</v>
      </c>
      <c r="N245" s="104" t="s">
        <v>852</v>
      </c>
      <c r="O245" s="238"/>
      <c r="P245" s="78"/>
      <c r="Q245" s="231">
        <v>28.422000000000001</v>
      </c>
      <c r="R245" s="79" t="s">
        <v>853</v>
      </c>
      <c r="S245" s="79"/>
      <c r="T245" s="79"/>
      <c r="U245" s="79"/>
      <c r="V245" s="62" t="s">
        <v>38</v>
      </c>
    </row>
    <row r="246" spans="1:24" ht="15" customHeight="1">
      <c r="A246" s="116">
        <v>245</v>
      </c>
      <c r="B246" s="116">
        <f>IF(TRIM(C246)="Test",COUNTIF($C$2:C246,"Test"),"")</f>
        <v>192</v>
      </c>
      <c r="C246" s="80" t="s">
        <v>25</v>
      </c>
      <c r="D246" s="76" t="s">
        <v>162</v>
      </c>
      <c r="E246" s="225" t="s">
        <v>699</v>
      </c>
      <c r="F246" s="87">
        <v>20260101</v>
      </c>
      <c r="G246" s="98" t="s">
        <v>163</v>
      </c>
      <c r="H246" s="76" t="s">
        <v>29</v>
      </c>
      <c r="I246" s="76" t="s">
        <v>164</v>
      </c>
      <c r="J246" s="76" t="s">
        <v>31</v>
      </c>
      <c r="K246" s="228" t="s">
        <v>32</v>
      </c>
      <c r="L246" s="118" t="s">
        <v>845</v>
      </c>
      <c r="M246" s="76"/>
      <c r="N246" s="103" t="s">
        <v>854</v>
      </c>
      <c r="O246" s="238"/>
      <c r="P246" s="78"/>
      <c r="Q246" s="231">
        <v>13.775</v>
      </c>
      <c r="R246" s="209" t="s">
        <v>855</v>
      </c>
      <c r="S246" s="79"/>
      <c r="T246" s="79" t="s">
        <v>702</v>
      </c>
      <c r="U246" s="79"/>
      <c r="V246" s="63" t="s">
        <v>38</v>
      </c>
    </row>
    <row r="247" spans="1:24" ht="15" customHeight="1">
      <c r="A247" s="116">
        <v>246</v>
      </c>
      <c r="B247" s="116">
        <f>IF(TRIM(C247)="Test",COUNTIF($C$2:C247,"Test"),"")</f>
        <v>193</v>
      </c>
      <c r="C247" s="80" t="s">
        <v>25</v>
      </c>
      <c r="D247" s="76" t="s">
        <v>171</v>
      </c>
      <c r="E247" s="76" t="s">
        <v>27</v>
      </c>
      <c r="F247" s="87">
        <v>20260101</v>
      </c>
      <c r="G247" s="98" t="s">
        <v>172</v>
      </c>
      <c r="H247" s="76" t="s">
        <v>48</v>
      </c>
      <c r="I247" s="76" t="s">
        <v>81</v>
      </c>
      <c r="J247" s="76" t="s">
        <v>98</v>
      </c>
      <c r="K247" s="228" t="s">
        <v>32</v>
      </c>
      <c r="L247" s="139" t="s">
        <v>845</v>
      </c>
      <c r="M247" s="76" t="s">
        <v>851</v>
      </c>
      <c r="N247" s="140" t="s">
        <v>856</v>
      </c>
      <c r="O247" s="238"/>
      <c r="P247" s="78"/>
      <c r="Q247" s="231">
        <v>46.674999999999997</v>
      </c>
      <c r="R247" s="144" t="s">
        <v>857</v>
      </c>
      <c r="S247" s="144"/>
      <c r="T247" s="144"/>
      <c r="U247" s="144"/>
      <c r="V247" s="148" t="s">
        <v>858</v>
      </c>
      <c r="W247" s="63" t="s">
        <v>773</v>
      </c>
    </row>
    <row r="248" spans="1:24" ht="15" customHeight="1">
      <c r="A248" s="116">
        <v>247</v>
      </c>
      <c r="B248" s="116">
        <f>IF(TRIM(C248)="Test",COUNTIF($C$2:C248,"Test"),"")</f>
        <v>194</v>
      </c>
      <c r="C248" s="80" t="s">
        <v>25</v>
      </c>
      <c r="D248" s="76" t="s">
        <v>177</v>
      </c>
      <c r="E248" s="76" t="s">
        <v>27</v>
      </c>
      <c r="F248" s="87">
        <v>20260101</v>
      </c>
      <c r="G248" s="98" t="s">
        <v>178</v>
      </c>
      <c r="H248" s="76" t="s">
        <v>29</v>
      </c>
      <c r="I248" s="76" t="s">
        <v>30</v>
      </c>
      <c r="J248" s="76" t="s">
        <v>31</v>
      </c>
      <c r="K248" s="228" t="s">
        <v>32</v>
      </c>
      <c r="L248" s="103" t="s">
        <v>845</v>
      </c>
      <c r="M248" s="76" t="s">
        <v>851</v>
      </c>
      <c r="N248" s="104" t="s">
        <v>859</v>
      </c>
      <c r="O248" s="238"/>
      <c r="P248" s="78"/>
      <c r="Q248" s="231" t="s">
        <v>860</v>
      </c>
      <c r="R248" s="79" t="s">
        <v>861</v>
      </c>
      <c r="S248" s="79"/>
      <c r="T248" s="79"/>
      <c r="U248" s="79"/>
      <c r="V248" s="62" t="s">
        <v>38</v>
      </c>
    </row>
    <row r="249" spans="1:24" ht="15" customHeight="1">
      <c r="A249" s="116">
        <v>248</v>
      </c>
      <c r="B249" s="116">
        <f>IF(TRIM(C249)="Test",COUNTIF($C$2:C249,"Test"),"")</f>
        <v>195</v>
      </c>
      <c r="C249" s="80" t="s">
        <v>25</v>
      </c>
      <c r="D249" s="76" t="s">
        <v>184</v>
      </c>
      <c r="E249" s="76" t="s">
        <v>27</v>
      </c>
      <c r="F249" s="87">
        <v>20260101</v>
      </c>
      <c r="G249" s="98" t="s">
        <v>185</v>
      </c>
      <c r="H249" s="76" t="s">
        <v>29</v>
      </c>
      <c r="I249" s="76" t="s">
        <v>92</v>
      </c>
      <c r="J249" s="76" t="s">
        <v>31</v>
      </c>
      <c r="K249" s="228" t="s">
        <v>32</v>
      </c>
      <c r="L249" s="140" t="s">
        <v>845</v>
      </c>
      <c r="M249" s="76" t="s">
        <v>851</v>
      </c>
      <c r="N249" s="140" t="s">
        <v>862</v>
      </c>
      <c r="O249" s="238"/>
      <c r="P249" s="78"/>
      <c r="Q249" s="231">
        <v>18.417999999999999</v>
      </c>
      <c r="R249" s="144" t="s">
        <v>863</v>
      </c>
      <c r="S249" s="144"/>
      <c r="T249" s="144"/>
      <c r="U249" s="144"/>
      <c r="V249" s="132" t="s">
        <v>864</v>
      </c>
      <c r="W249" s="63" t="s">
        <v>865</v>
      </c>
    </row>
    <row r="250" spans="1:24" ht="15" customHeight="1">
      <c r="A250" s="116">
        <v>249</v>
      </c>
      <c r="B250" s="116">
        <f>IF(TRIM(C250)="Test",COUNTIF($C$2:C250,"Test"),"")</f>
        <v>196</v>
      </c>
      <c r="C250" s="80" t="s">
        <v>25</v>
      </c>
      <c r="D250" s="76" t="s">
        <v>154</v>
      </c>
      <c r="E250" s="76" t="s">
        <v>27</v>
      </c>
      <c r="F250" s="87">
        <v>20260101</v>
      </c>
      <c r="G250" s="98" t="s">
        <v>190</v>
      </c>
      <c r="H250" s="76" t="s">
        <v>48</v>
      </c>
      <c r="I250" s="76" t="s">
        <v>49</v>
      </c>
      <c r="J250" s="76" t="s">
        <v>98</v>
      </c>
      <c r="K250" s="228" t="s">
        <v>41</v>
      </c>
      <c r="L250" s="118" t="s">
        <v>845</v>
      </c>
      <c r="M250" s="76"/>
      <c r="N250" s="103" t="s">
        <v>866</v>
      </c>
      <c r="O250" s="238"/>
      <c r="P250" s="78"/>
      <c r="Q250" s="231">
        <v>16.021999999999998</v>
      </c>
      <c r="R250" s="79" t="s">
        <v>867</v>
      </c>
      <c r="S250" s="79"/>
      <c r="T250" s="79"/>
      <c r="U250" s="79"/>
      <c r="V250" s="62" t="s">
        <v>38</v>
      </c>
    </row>
    <row r="251" spans="1:24" ht="15" customHeight="1">
      <c r="A251" s="116">
        <v>250</v>
      </c>
      <c r="B251" s="116">
        <f>IF(TRIM(C251)="Test",COUNTIF($C$2:C251,"Test"),"")</f>
        <v>197</v>
      </c>
      <c r="C251" s="80" t="s">
        <v>25</v>
      </c>
      <c r="D251" s="76" t="s">
        <v>194</v>
      </c>
      <c r="E251" s="76" t="s">
        <v>27</v>
      </c>
      <c r="F251" s="87">
        <v>20260101</v>
      </c>
      <c r="G251" s="98" t="s">
        <v>195</v>
      </c>
      <c r="H251" s="76" t="s">
        <v>48</v>
      </c>
      <c r="I251" s="76" t="s">
        <v>81</v>
      </c>
      <c r="J251" s="76" t="s">
        <v>63</v>
      </c>
      <c r="K251" s="228" t="s">
        <v>32</v>
      </c>
      <c r="L251" s="139" t="s">
        <v>845</v>
      </c>
      <c r="M251" s="76"/>
      <c r="N251" s="140" t="s">
        <v>868</v>
      </c>
      <c r="O251" s="238"/>
      <c r="P251" s="78"/>
      <c r="Q251" s="231">
        <v>43.88</v>
      </c>
      <c r="R251" s="144" t="s">
        <v>869</v>
      </c>
      <c r="S251" s="144"/>
      <c r="T251" s="144"/>
      <c r="U251" s="144"/>
      <c r="V251" s="148" t="s">
        <v>311</v>
      </c>
      <c r="W251" s="63" t="s">
        <v>784</v>
      </c>
    </row>
    <row r="252" spans="1:24" ht="15" customHeight="1">
      <c r="A252" s="116">
        <v>251</v>
      </c>
      <c r="B252" s="116">
        <f>IF(TRIM(C252)="Test",COUNTIF($C$2:C252,"Test"),"")</f>
        <v>198</v>
      </c>
      <c r="C252" s="80" t="s">
        <v>25</v>
      </c>
      <c r="D252" s="76" t="s">
        <v>200</v>
      </c>
      <c r="E252" s="76" t="s">
        <v>27</v>
      </c>
      <c r="F252" s="87">
        <v>20260101</v>
      </c>
      <c r="G252" s="98" t="s">
        <v>201</v>
      </c>
      <c r="H252" s="76" t="s">
        <v>48</v>
      </c>
      <c r="I252" s="76" t="s">
        <v>81</v>
      </c>
      <c r="J252" s="76" t="s">
        <v>98</v>
      </c>
      <c r="K252" s="228" t="s">
        <v>32</v>
      </c>
      <c r="L252" s="118" t="s">
        <v>870</v>
      </c>
      <c r="M252" s="76" t="s">
        <v>495</v>
      </c>
      <c r="N252" s="103" t="s">
        <v>871</v>
      </c>
      <c r="O252" s="238"/>
      <c r="P252" s="78"/>
      <c r="Q252" s="231">
        <v>27.042999999999999</v>
      </c>
      <c r="R252" s="79" t="s">
        <v>872</v>
      </c>
      <c r="S252" s="79"/>
      <c r="T252" s="79"/>
      <c r="U252" s="79"/>
      <c r="V252" s="62" t="s">
        <v>38</v>
      </c>
      <c r="X252" s="79" t="s">
        <v>872</v>
      </c>
    </row>
    <row r="253" spans="1:24" ht="15" customHeight="1">
      <c r="A253" s="116">
        <v>257</v>
      </c>
      <c r="B253" s="116">
        <f>IF(TRIM(C253)="Test",COUNTIF($C$2:C253,"Test"),"")</f>
        <v>199</v>
      </c>
      <c r="C253" s="80" t="s">
        <v>25</v>
      </c>
      <c r="D253" s="76" t="s">
        <v>39</v>
      </c>
      <c r="E253" s="214" t="s">
        <v>40</v>
      </c>
      <c r="F253" s="87">
        <v>20260101</v>
      </c>
      <c r="G253" s="98" t="s">
        <v>28</v>
      </c>
      <c r="H253" s="76" t="s">
        <v>29</v>
      </c>
      <c r="I253" s="76" t="s">
        <v>30</v>
      </c>
      <c r="J253" s="76" t="s">
        <v>31</v>
      </c>
      <c r="K253" s="228" t="s">
        <v>41</v>
      </c>
      <c r="L253" s="118" t="s">
        <v>870</v>
      </c>
      <c r="M253" s="76" t="s">
        <v>495</v>
      </c>
      <c r="N253" s="103" t="s">
        <v>873</v>
      </c>
      <c r="O253" s="238"/>
      <c r="P253" s="78"/>
      <c r="Q253" s="231">
        <v>41.517000000000003</v>
      </c>
      <c r="R253" s="209" t="s">
        <v>874</v>
      </c>
      <c r="S253" s="79"/>
      <c r="T253" s="79" t="s">
        <v>875</v>
      </c>
      <c r="U253" s="79" t="s">
        <v>38</v>
      </c>
      <c r="V253" s="62" t="s">
        <v>38</v>
      </c>
    </row>
    <row r="254" spans="1:24" ht="15" customHeight="1">
      <c r="A254" s="116">
        <v>258</v>
      </c>
      <c r="B254" s="116">
        <f>IF(TRIM(C254)="Test",COUNTIF($C$2:C254,"Test"),"")</f>
        <v>200</v>
      </c>
      <c r="C254" s="80" t="s">
        <v>25</v>
      </c>
      <c r="D254" s="76" t="s">
        <v>46</v>
      </c>
      <c r="E254" s="123" t="s">
        <v>39</v>
      </c>
      <c r="F254" s="87">
        <v>20260101</v>
      </c>
      <c r="G254" s="98" t="s">
        <v>47</v>
      </c>
      <c r="H254" s="76" t="s">
        <v>48</v>
      </c>
      <c r="I254" s="76" t="s">
        <v>49</v>
      </c>
      <c r="J254" s="76" t="s">
        <v>50</v>
      </c>
      <c r="K254" s="228" t="s">
        <v>32</v>
      </c>
      <c r="L254" s="139" t="s">
        <v>870</v>
      </c>
      <c r="M254" s="76" t="s">
        <v>495</v>
      </c>
      <c r="N254" s="140" t="s">
        <v>876</v>
      </c>
      <c r="O254" s="238"/>
      <c r="P254" s="78"/>
      <c r="Q254" s="231">
        <v>38.323999999999998</v>
      </c>
      <c r="R254" s="213" t="s">
        <v>877</v>
      </c>
      <c r="S254" s="144"/>
      <c r="T254" s="144" t="s">
        <v>878</v>
      </c>
      <c r="U254" s="144" t="s">
        <v>38</v>
      </c>
      <c r="V254" s="132" t="s">
        <v>879</v>
      </c>
      <c r="W254" s="63" t="s">
        <v>880</v>
      </c>
    </row>
    <row r="255" spans="1:24" ht="15" customHeight="1">
      <c r="A255" s="116">
        <v>259</v>
      </c>
      <c r="B255" s="116">
        <f>IF(TRIM(C255)="Test",COUNTIF($C$2:C255,"Test"),"")</f>
        <v>201</v>
      </c>
      <c r="C255" s="80" t="s">
        <v>25</v>
      </c>
      <c r="D255" s="76" t="s">
        <v>56</v>
      </c>
      <c r="E255" s="76" t="s">
        <v>27</v>
      </c>
      <c r="F255" s="87">
        <v>20260101</v>
      </c>
      <c r="G255" s="98" t="s">
        <v>57</v>
      </c>
      <c r="H255" s="76" t="s">
        <v>29</v>
      </c>
      <c r="I255" s="76" t="s">
        <v>58</v>
      </c>
      <c r="J255" s="76" t="s">
        <v>59</v>
      </c>
      <c r="K255" s="228" t="s">
        <v>41</v>
      </c>
      <c r="L255" s="118" t="s">
        <v>870</v>
      </c>
      <c r="M255" s="76" t="s">
        <v>495</v>
      </c>
      <c r="N255" s="103" t="s">
        <v>881</v>
      </c>
      <c r="O255" s="238"/>
      <c r="P255" s="78"/>
      <c r="Q255" s="231">
        <v>20.71</v>
      </c>
      <c r="R255" s="79" t="s">
        <v>882</v>
      </c>
      <c r="S255" s="79"/>
      <c r="T255" s="79"/>
      <c r="U255" s="79"/>
      <c r="V255" s="63" t="s">
        <v>38</v>
      </c>
    </row>
    <row r="256" spans="1:24" ht="15" customHeight="1">
      <c r="A256" s="116">
        <v>261</v>
      </c>
      <c r="B256" s="116">
        <f>IF(TRIM(C256)="Test",COUNTIF($C$2:C256,"Test"),"")</f>
        <v>202</v>
      </c>
      <c r="C256" s="80" t="s">
        <v>25</v>
      </c>
      <c r="D256" s="76" t="s">
        <v>70</v>
      </c>
      <c r="E256" s="76" t="s">
        <v>27</v>
      </c>
      <c r="F256" s="87">
        <v>20260101</v>
      </c>
      <c r="G256" s="98" t="s">
        <v>62</v>
      </c>
      <c r="H256" s="76" t="s">
        <v>48</v>
      </c>
      <c r="I256" s="76" t="s">
        <v>49</v>
      </c>
      <c r="J256" s="76" t="s">
        <v>63</v>
      </c>
      <c r="K256" s="228" t="s">
        <v>41</v>
      </c>
      <c r="L256" s="118" t="s">
        <v>870</v>
      </c>
      <c r="M256" s="76" t="s">
        <v>495</v>
      </c>
      <c r="N256" s="103" t="s">
        <v>883</v>
      </c>
      <c r="O256" s="238"/>
      <c r="P256" s="78"/>
      <c r="Q256" s="231">
        <v>28.024999999999999</v>
      </c>
      <c r="R256" s="79" t="s">
        <v>884</v>
      </c>
      <c r="S256" s="79"/>
      <c r="T256" s="79"/>
      <c r="U256" s="79"/>
      <c r="V256" s="62" t="s">
        <v>38</v>
      </c>
    </row>
    <row r="257" spans="1:23" ht="15" customHeight="1">
      <c r="A257" s="116">
        <v>262</v>
      </c>
      <c r="B257" s="116">
        <f>IF(TRIM(C257)="Test",COUNTIF($C$2:C257,"Test"),"")</f>
        <v>203</v>
      </c>
      <c r="C257" s="80" t="s">
        <v>25</v>
      </c>
      <c r="D257" s="76" t="s">
        <v>74</v>
      </c>
      <c r="E257" s="76" t="s">
        <v>27</v>
      </c>
      <c r="F257" s="87">
        <v>20260101</v>
      </c>
      <c r="G257" s="98" t="s">
        <v>75</v>
      </c>
      <c r="H257" s="76" t="s">
        <v>29</v>
      </c>
      <c r="I257" s="76" t="s">
        <v>30</v>
      </c>
      <c r="J257" s="76" t="s">
        <v>31</v>
      </c>
      <c r="K257" s="228" t="s">
        <v>32</v>
      </c>
      <c r="L257" s="118" t="s">
        <v>870</v>
      </c>
      <c r="M257" s="76" t="s">
        <v>495</v>
      </c>
      <c r="N257" s="103" t="s">
        <v>885</v>
      </c>
      <c r="O257" s="238"/>
      <c r="P257" s="78"/>
      <c r="Q257" s="231">
        <v>20.663</v>
      </c>
      <c r="R257" s="79" t="s">
        <v>886</v>
      </c>
      <c r="S257" s="79"/>
      <c r="T257" s="79"/>
      <c r="U257" s="79"/>
      <c r="V257" s="62" t="s">
        <v>38</v>
      </c>
    </row>
    <row r="258" spans="1:23" ht="15" customHeight="1">
      <c r="A258" s="116">
        <v>263</v>
      </c>
      <c r="B258" s="116">
        <f>IF(TRIM(C258)="Test",COUNTIF($C$2:C258,"Test"),"")</f>
        <v>204</v>
      </c>
      <c r="C258" s="95" t="s">
        <v>25</v>
      </c>
      <c r="D258" s="76" t="s">
        <v>78</v>
      </c>
      <c r="E258" s="76" t="s">
        <v>27</v>
      </c>
      <c r="F258" s="87">
        <v>20260101</v>
      </c>
      <c r="G258" s="98" t="s">
        <v>79</v>
      </c>
      <c r="H258" s="76" t="s">
        <v>80</v>
      </c>
      <c r="I258" s="76" t="s">
        <v>81</v>
      </c>
      <c r="J258" s="76" t="s">
        <v>31</v>
      </c>
      <c r="K258" s="228" t="s">
        <v>41</v>
      </c>
      <c r="L258" s="139" t="s">
        <v>870</v>
      </c>
      <c r="M258" s="76" t="s">
        <v>495</v>
      </c>
      <c r="N258" s="140" t="s">
        <v>887</v>
      </c>
      <c r="O258" s="238"/>
      <c r="P258" s="78"/>
      <c r="Q258" s="231">
        <v>34.561</v>
      </c>
      <c r="R258" s="138" t="s">
        <v>888</v>
      </c>
      <c r="S258" s="138"/>
      <c r="T258" s="138"/>
      <c r="U258" s="138"/>
      <c r="V258" s="147" t="s">
        <v>38</v>
      </c>
      <c r="W258" s="133"/>
    </row>
    <row r="259" spans="1:23" ht="15" customHeight="1">
      <c r="A259" s="116">
        <v>264</v>
      </c>
      <c r="B259" s="116">
        <f>IF(TRIM(C259)="Test",COUNTIF($C$2:C259,"Test"),"")</f>
        <v>205</v>
      </c>
      <c r="C259" s="80" t="s">
        <v>25</v>
      </c>
      <c r="D259" s="76" t="s">
        <v>86</v>
      </c>
      <c r="E259" s="76" t="s">
        <v>27</v>
      </c>
      <c r="F259" s="87">
        <v>20260101</v>
      </c>
      <c r="G259" s="98" t="s">
        <v>87</v>
      </c>
      <c r="H259" s="76" t="s">
        <v>48</v>
      </c>
      <c r="I259" s="76" t="s">
        <v>81</v>
      </c>
      <c r="J259" s="76" t="s">
        <v>50</v>
      </c>
      <c r="K259" s="228" t="s">
        <v>32</v>
      </c>
      <c r="L259" s="118" t="s">
        <v>870</v>
      </c>
      <c r="M259" s="76" t="s">
        <v>495</v>
      </c>
      <c r="N259" s="103" t="s">
        <v>889</v>
      </c>
      <c r="O259" s="238"/>
      <c r="P259" s="78"/>
      <c r="Q259" s="231">
        <v>32.130000000000003</v>
      </c>
      <c r="R259" s="79" t="s">
        <v>890</v>
      </c>
      <c r="S259" s="79"/>
      <c r="T259" s="79"/>
      <c r="U259" s="79"/>
      <c r="V259" s="62" t="s">
        <v>38</v>
      </c>
    </row>
    <row r="260" spans="1:23" ht="15" customHeight="1">
      <c r="A260" s="141">
        <v>265</v>
      </c>
      <c r="B260" s="168">
        <f>IF(TRIM(C260)="Test",COUNTIF($C$2:C260,"Test"),"")</f>
        <v>206</v>
      </c>
      <c r="C260" s="102" t="s">
        <v>25</v>
      </c>
      <c r="D260" s="76" t="s">
        <v>90</v>
      </c>
      <c r="E260" s="76" t="s">
        <v>27</v>
      </c>
      <c r="F260" s="87">
        <v>20260101</v>
      </c>
      <c r="G260" s="98" t="s">
        <v>91</v>
      </c>
      <c r="H260" s="76" t="s">
        <v>29</v>
      </c>
      <c r="I260" s="76" t="s">
        <v>92</v>
      </c>
      <c r="J260" s="76" t="s">
        <v>59</v>
      </c>
      <c r="K260" s="228" t="s">
        <v>32</v>
      </c>
      <c r="L260" s="139" t="s">
        <v>870</v>
      </c>
      <c r="M260" s="76" t="s">
        <v>495</v>
      </c>
      <c r="N260" s="140" t="s">
        <v>891</v>
      </c>
      <c r="O260" s="238"/>
      <c r="P260" s="78"/>
      <c r="Q260" s="231">
        <v>28.417000000000002</v>
      </c>
      <c r="R260" s="144" t="s">
        <v>892</v>
      </c>
      <c r="S260" s="144"/>
      <c r="T260" s="144"/>
      <c r="U260" s="144"/>
      <c r="V260" s="150" t="s">
        <v>893</v>
      </c>
      <c r="W260" s="63" t="s">
        <v>894</v>
      </c>
    </row>
    <row r="261" spans="1:23" ht="15" customHeight="1">
      <c r="A261" s="116">
        <v>266</v>
      </c>
      <c r="B261" s="116">
        <f>IF(TRIM(C261)="Test",COUNTIF($C$2:C261,"Test"),"")</f>
        <v>207</v>
      </c>
      <c r="C261" s="80" t="s">
        <v>25</v>
      </c>
      <c r="D261" s="76" t="s">
        <v>95</v>
      </c>
      <c r="E261" s="76" t="s">
        <v>27</v>
      </c>
      <c r="F261" s="87">
        <v>20260101</v>
      </c>
      <c r="G261" s="98" t="s">
        <v>96</v>
      </c>
      <c r="H261" s="76" t="s">
        <v>48</v>
      </c>
      <c r="I261" s="76" t="s">
        <v>97</v>
      </c>
      <c r="J261" s="76" t="s">
        <v>98</v>
      </c>
      <c r="K261" s="228" t="s">
        <v>32</v>
      </c>
      <c r="L261" s="118" t="s">
        <v>870</v>
      </c>
      <c r="M261" s="76" t="s">
        <v>495</v>
      </c>
      <c r="N261" s="103" t="s">
        <v>895</v>
      </c>
      <c r="O261" s="238"/>
      <c r="P261" s="78"/>
      <c r="Q261" s="231">
        <v>49.402000000000001</v>
      </c>
      <c r="R261" s="79" t="s">
        <v>896</v>
      </c>
      <c r="S261" s="79"/>
      <c r="T261" s="79"/>
      <c r="U261" s="79"/>
      <c r="V261" s="62" t="s">
        <v>38</v>
      </c>
    </row>
    <row r="262" spans="1:23" ht="15" customHeight="1">
      <c r="A262" s="116">
        <v>267</v>
      </c>
      <c r="B262" s="116">
        <f>IF(TRIM(C262)="Test",COUNTIF($C$2:C262,"Test"),"")</f>
        <v>208</v>
      </c>
      <c r="C262" s="80" t="s">
        <v>25</v>
      </c>
      <c r="D262" s="76" t="s">
        <v>101</v>
      </c>
      <c r="E262" s="76" t="s">
        <v>27</v>
      </c>
      <c r="F262" s="87">
        <v>20260101</v>
      </c>
      <c r="G262" s="98" t="s">
        <v>102</v>
      </c>
      <c r="H262" s="76" t="s">
        <v>29</v>
      </c>
      <c r="I262" s="76" t="s">
        <v>103</v>
      </c>
      <c r="J262" s="76" t="s">
        <v>31</v>
      </c>
      <c r="K262" s="228" t="s">
        <v>32</v>
      </c>
      <c r="L262" s="118" t="s">
        <v>870</v>
      </c>
      <c r="M262" s="76" t="s">
        <v>495</v>
      </c>
      <c r="N262" s="103" t="s">
        <v>897</v>
      </c>
      <c r="O262" s="238"/>
      <c r="P262" s="78"/>
      <c r="Q262" s="231">
        <v>10.117000000000001</v>
      </c>
      <c r="R262" s="79" t="s">
        <v>898</v>
      </c>
      <c r="S262" s="79"/>
      <c r="T262" s="79"/>
      <c r="U262" s="79"/>
      <c r="V262" s="62" t="s">
        <v>38</v>
      </c>
    </row>
    <row r="263" spans="1:23" ht="15" customHeight="1">
      <c r="A263" s="116">
        <v>269</v>
      </c>
      <c r="B263" s="116">
        <f>IF(TRIM(C263)="Test",COUNTIF($C$2:C263,"Test"),"")</f>
        <v>209</v>
      </c>
      <c r="C263" s="80" t="s">
        <v>25</v>
      </c>
      <c r="D263" s="76" t="s">
        <v>112</v>
      </c>
      <c r="E263" s="76" t="s">
        <v>27</v>
      </c>
      <c r="F263" s="87">
        <v>20260101</v>
      </c>
      <c r="G263" s="98" t="s">
        <v>113</v>
      </c>
      <c r="H263" s="76" t="s">
        <v>48</v>
      </c>
      <c r="I263" s="76" t="s">
        <v>49</v>
      </c>
      <c r="J263" s="76" t="s">
        <v>98</v>
      </c>
      <c r="K263" s="228" t="s">
        <v>32</v>
      </c>
      <c r="L263" s="139" t="s">
        <v>870</v>
      </c>
      <c r="M263" s="76" t="s">
        <v>495</v>
      </c>
      <c r="N263" s="140" t="s">
        <v>899</v>
      </c>
      <c r="O263" s="238"/>
      <c r="P263" s="78"/>
      <c r="Q263" s="231">
        <v>32.935000000000002</v>
      </c>
      <c r="R263" s="144" t="s">
        <v>900</v>
      </c>
      <c r="S263" s="144"/>
      <c r="T263" s="144"/>
      <c r="U263" s="144"/>
      <c r="V263" s="133" t="s">
        <v>879</v>
      </c>
      <c r="W263" s="63" t="s">
        <v>880</v>
      </c>
    </row>
    <row r="264" spans="1:23" ht="15" customHeight="1">
      <c r="A264" s="116">
        <v>271</v>
      </c>
      <c r="B264" s="116">
        <f>IF(TRIM(C264)="Test",COUNTIF($C$2:C264,"Test"),"")</f>
        <v>210</v>
      </c>
      <c r="C264" s="80" t="s">
        <v>25</v>
      </c>
      <c r="D264" s="76" t="s">
        <v>124</v>
      </c>
      <c r="E264" s="76" t="s">
        <v>27</v>
      </c>
      <c r="F264" s="87">
        <v>20260101</v>
      </c>
      <c r="G264" s="98" t="s">
        <v>125</v>
      </c>
      <c r="H264" s="76" t="s">
        <v>48</v>
      </c>
      <c r="I264" s="76" t="s">
        <v>49</v>
      </c>
      <c r="J264" s="76" t="s">
        <v>50</v>
      </c>
      <c r="K264" s="228" t="s">
        <v>41</v>
      </c>
      <c r="L264" s="118" t="s">
        <v>870</v>
      </c>
      <c r="M264" s="76" t="s">
        <v>495</v>
      </c>
      <c r="N264" s="103" t="s">
        <v>901</v>
      </c>
      <c r="O264" s="238"/>
      <c r="P264" s="78"/>
      <c r="Q264" s="231">
        <v>17.062999999999999</v>
      </c>
      <c r="R264" s="79" t="s">
        <v>902</v>
      </c>
      <c r="S264" s="79"/>
      <c r="T264" s="79"/>
      <c r="U264" s="79"/>
      <c r="V264" s="62" t="s">
        <v>38</v>
      </c>
    </row>
    <row r="265" spans="1:23" ht="15" customHeight="1">
      <c r="A265" s="116">
        <v>273</v>
      </c>
      <c r="B265" s="116">
        <f>IF(TRIM(C265)="Test",COUNTIF($C$2:C265,"Test"),"")</f>
        <v>211</v>
      </c>
      <c r="C265" s="80" t="s">
        <v>25</v>
      </c>
      <c r="D265" s="76" t="s">
        <v>134</v>
      </c>
      <c r="E265" s="76" t="s">
        <v>27</v>
      </c>
      <c r="F265" s="87">
        <v>20260101</v>
      </c>
      <c r="G265" s="98" t="s">
        <v>135</v>
      </c>
      <c r="H265" s="76" t="s">
        <v>29</v>
      </c>
      <c r="I265" s="76" t="s">
        <v>30</v>
      </c>
      <c r="J265" s="76" t="s">
        <v>31</v>
      </c>
      <c r="K265" s="228" t="s">
        <v>32</v>
      </c>
      <c r="L265" s="118" t="s">
        <v>870</v>
      </c>
      <c r="M265" s="76" t="s">
        <v>495</v>
      </c>
      <c r="N265" s="103" t="s">
        <v>903</v>
      </c>
      <c r="O265" s="238"/>
      <c r="P265" s="78"/>
      <c r="Q265" s="231">
        <v>29.704000000000001</v>
      </c>
      <c r="R265" s="79" t="s">
        <v>904</v>
      </c>
      <c r="S265" s="79"/>
      <c r="T265" s="79"/>
      <c r="U265" s="79"/>
      <c r="V265" s="62" t="s">
        <v>38</v>
      </c>
    </row>
    <row r="266" spans="1:23" ht="15" customHeight="1">
      <c r="A266" s="116">
        <v>274</v>
      </c>
      <c r="B266" s="116">
        <f>IF(TRIM(C266)="Test",COUNTIF($C$2:C266,"Test"),"")</f>
        <v>212</v>
      </c>
      <c r="C266" s="80" t="s">
        <v>25</v>
      </c>
      <c r="D266" s="76" t="s">
        <v>140</v>
      </c>
      <c r="E266" s="76" t="s">
        <v>27</v>
      </c>
      <c r="F266" s="87">
        <v>20260101</v>
      </c>
      <c r="G266" s="98" t="s">
        <v>141</v>
      </c>
      <c r="H266" s="76" t="s">
        <v>142</v>
      </c>
      <c r="I266" s="76" t="s">
        <v>58</v>
      </c>
      <c r="J266" s="76" t="s">
        <v>59</v>
      </c>
      <c r="K266" s="228"/>
      <c r="L266" s="139" t="s">
        <v>870</v>
      </c>
      <c r="M266" s="76" t="s">
        <v>495</v>
      </c>
      <c r="N266" s="140" t="s">
        <v>905</v>
      </c>
      <c r="O266" s="238"/>
      <c r="P266" s="78"/>
      <c r="Q266" s="231">
        <v>27.233000000000001</v>
      </c>
      <c r="R266" s="144" t="s">
        <v>906</v>
      </c>
      <c r="S266" s="144"/>
      <c r="T266" s="144"/>
      <c r="U266" s="144"/>
      <c r="V266" s="133" t="s">
        <v>907</v>
      </c>
      <c r="W266" s="63" t="s">
        <v>908</v>
      </c>
    </row>
    <row r="267" spans="1:23" ht="15" customHeight="1">
      <c r="A267" s="116">
        <v>276</v>
      </c>
      <c r="B267" s="116">
        <f>IF(TRIM(C267)="Test",COUNTIF($C$2:C267,"Test"),"")</f>
        <v>213</v>
      </c>
      <c r="C267" s="80" t="s">
        <v>25</v>
      </c>
      <c r="D267" s="76" t="s">
        <v>153</v>
      </c>
      <c r="E267" s="123" t="s">
        <v>154</v>
      </c>
      <c r="F267" s="87">
        <v>20260101</v>
      </c>
      <c r="G267" s="98" t="s">
        <v>155</v>
      </c>
      <c r="H267" s="76" t="s">
        <v>29</v>
      </c>
      <c r="I267" s="76" t="s">
        <v>30</v>
      </c>
      <c r="J267" s="76" t="s">
        <v>31</v>
      </c>
      <c r="K267" s="228" t="s">
        <v>32</v>
      </c>
      <c r="L267" s="105" t="s">
        <v>870</v>
      </c>
      <c r="M267" s="76" t="s">
        <v>418</v>
      </c>
      <c r="N267" s="103" t="s">
        <v>909</v>
      </c>
      <c r="O267" s="238"/>
      <c r="P267" s="78"/>
      <c r="Q267" s="231">
        <v>48.875</v>
      </c>
      <c r="R267" s="209" t="s">
        <v>910</v>
      </c>
      <c r="S267" s="79"/>
      <c r="T267" s="79" t="s">
        <v>911</v>
      </c>
      <c r="U267" s="79" t="s">
        <v>38</v>
      </c>
      <c r="V267" s="62" t="s">
        <v>38</v>
      </c>
    </row>
    <row r="268" spans="1:23" ht="15" customHeight="1">
      <c r="A268" s="116">
        <v>282</v>
      </c>
      <c r="B268" s="116">
        <f>IF(TRIM(C268)="Test",COUNTIF($C$2:C268,"Test"),"")</f>
        <v>214</v>
      </c>
      <c r="C268" s="80" t="s">
        <v>25</v>
      </c>
      <c r="D268" s="76" t="s">
        <v>194</v>
      </c>
      <c r="E268" s="76" t="s">
        <v>27</v>
      </c>
      <c r="F268" s="87">
        <v>20260101</v>
      </c>
      <c r="G268" s="98" t="s">
        <v>195</v>
      </c>
      <c r="H268" s="76" t="s">
        <v>48</v>
      </c>
      <c r="I268" s="76" t="s">
        <v>81</v>
      </c>
      <c r="J268" s="76" t="s">
        <v>63</v>
      </c>
      <c r="K268" s="228" t="s">
        <v>32</v>
      </c>
      <c r="L268" s="139" t="s">
        <v>912</v>
      </c>
      <c r="M268" s="76" t="s">
        <v>913</v>
      </c>
      <c r="N268" s="140" t="s">
        <v>914</v>
      </c>
      <c r="O268" s="238"/>
      <c r="P268" s="78"/>
      <c r="Q268" s="231">
        <v>21.779</v>
      </c>
      <c r="R268" s="144" t="s">
        <v>915</v>
      </c>
      <c r="S268" s="144"/>
      <c r="T268" s="144"/>
      <c r="U268" s="144"/>
      <c r="V268" s="148" t="s">
        <v>311</v>
      </c>
      <c r="W268" s="63" t="s">
        <v>916</v>
      </c>
    </row>
    <row r="269" spans="1:23" ht="15" customHeight="1">
      <c r="A269" s="116">
        <v>283</v>
      </c>
      <c r="B269" s="116">
        <f>IF(TRIM(C269)="Test",COUNTIF($C$2:C269,"Test"),"")</f>
        <v>215</v>
      </c>
      <c r="C269" s="80" t="s">
        <v>25</v>
      </c>
      <c r="D269" s="76" t="s">
        <v>200</v>
      </c>
      <c r="E269" s="76" t="s">
        <v>27</v>
      </c>
      <c r="F269" s="87">
        <v>20260101</v>
      </c>
      <c r="G269" s="98" t="s">
        <v>201</v>
      </c>
      <c r="H269" s="76" t="s">
        <v>48</v>
      </c>
      <c r="I269" s="76" t="s">
        <v>81</v>
      </c>
      <c r="J269" s="76" t="s">
        <v>98</v>
      </c>
      <c r="K269" s="228" t="s">
        <v>32</v>
      </c>
      <c r="L269" s="139" t="s">
        <v>912</v>
      </c>
      <c r="M269" s="76" t="s">
        <v>913</v>
      </c>
      <c r="N269" s="140" t="s">
        <v>917</v>
      </c>
      <c r="O269" s="238"/>
      <c r="P269" s="78"/>
      <c r="Q269" s="231">
        <v>27.236000000000001</v>
      </c>
      <c r="R269" s="144" t="s">
        <v>918</v>
      </c>
      <c r="S269" s="144"/>
      <c r="T269" s="144"/>
      <c r="U269" s="144"/>
      <c r="V269" s="148" t="s">
        <v>316</v>
      </c>
      <c r="W269" s="63" t="s">
        <v>919</v>
      </c>
    </row>
    <row r="270" spans="1:23" ht="15" customHeight="1">
      <c r="A270" s="116">
        <v>284</v>
      </c>
      <c r="B270" s="116">
        <f>IF(TRIM(C270)="Test",COUNTIF($C$2:C270,"Test"),"")</f>
        <v>216</v>
      </c>
      <c r="C270" s="80" t="s">
        <v>25</v>
      </c>
      <c r="D270" s="76" t="s">
        <v>205</v>
      </c>
      <c r="E270" s="123" t="s">
        <v>699</v>
      </c>
      <c r="F270" s="87">
        <v>20260101</v>
      </c>
      <c r="G270" s="98" t="s">
        <v>206</v>
      </c>
      <c r="H270" s="76" t="s">
        <v>207</v>
      </c>
      <c r="I270" s="76"/>
      <c r="J270" s="76" t="s">
        <v>208</v>
      </c>
      <c r="K270" s="228" t="s">
        <v>32</v>
      </c>
      <c r="L270" s="139" t="s">
        <v>912</v>
      </c>
      <c r="M270" s="76" t="s">
        <v>913</v>
      </c>
      <c r="N270" s="140" t="s">
        <v>920</v>
      </c>
      <c r="O270" s="238"/>
      <c r="P270" s="78"/>
      <c r="Q270" s="231">
        <v>35.680999999999997</v>
      </c>
      <c r="R270" s="213" t="s">
        <v>921</v>
      </c>
      <c r="S270" s="144"/>
      <c r="T270" s="144" t="s">
        <v>702</v>
      </c>
      <c r="U270" s="144"/>
      <c r="V270" s="142" t="s">
        <v>790</v>
      </c>
      <c r="W270" s="63" t="s">
        <v>212</v>
      </c>
    </row>
    <row r="271" spans="1:23" ht="15" customHeight="1">
      <c r="A271" s="116">
        <v>285</v>
      </c>
      <c r="B271" s="116">
        <f>IF(TRIM(C271)="Test",COUNTIF($C$2:C271,"Test"),"")</f>
        <v>217</v>
      </c>
      <c r="C271" s="80" t="s">
        <v>25</v>
      </c>
      <c r="D271" s="76" t="s">
        <v>213</v>
      </c>
      <c r="E271" s="76" t="s">
        <v>27</v>
      </c>
      <c r="F271" s="87">
        <v>20260101</v>
      </c>
      <c r="G271" s="98" t="s">
        <v>214</v>
      </c>
      <c r="H271" s="76" t="s">
        <v>29</v>
      </c>
      <c r="I271" s="76" t="s">
        <v>30</v>
      </c>
      <c r="J271" s="76" t="s">
        <v>31</v>
      </c>
      <c r="K271" s="228" t="s">
        <v>32</v>
      </c>
      <c r="L271" s="118" t="s">
        <v>912</v>
      </c>
      <c r="M271" s="76" t="s">
        <v>913</v>
      </c>
      <c r="N271" s="103" t="s">
        <v>922</v>
      </c>
      <c r="O271" s="238"/>
      <c r="P271" s="78"/>
      <c r="Q271" s="231">
        <v>39.03</v>
      </c>
      <c r="R271" s="79" t="s">
        <v>923</v>
      </c>
      <c r="S271" s="79"/>
      <c r="T271" s="79"/>
      <c r="U271" s="79"/>
      <c r="V271" s="62" t="s">
        <v>38</v>
      </c>
    </row>
    <row r="272" spans="1:23" ht="15" customHeight="1">
      <c r="A272" s="116">
        <v>286</v>
      </c>
      <c r="B272" s="116">
        <f>IF(TRIM(C272)="Test",COUNTIF($C$2:C272,"Test"),"")</f>
        <v>218</v>
      </c>
      <c r="C272" s="80" t="s">
        <v>25</v>
      </c>
      <c r="D272" s="76" t="s">
        <v>218</v>
      </c>
      <c r="E272" s="76" t="s">
        <v>27</v>
      </c>
      <c r="F272" s="87">
        <v>20260101</v>
      </c>
      <c r="G272" s="98" t="s">
        <v>219</v>
      </c>
      <c r="H272" s="76" t="s">
        <v>29</v>
      </c>
      <c r="I272" s="76" t="s">
        <v>30</v>
      </c>
      <c r="J272" s="76" t="s">
        <v>31</v>
      </c>
      <c r="K272" s="228" t="s">
        <v>32</v>
      </c>
      <c r="L272" s="118" t="s">
        <v>912</v>
      </c>
      <c r="M272" s="76" t="s">
        <v>913</v>
      </c>
      <c r="N272" s="103" t="s">
        <v>924</v>
      </c>
      <c r="O272" s="238"/>
      <c r="P272" s="78"/>
      <c r="Q272" s="231">
        <v>50.000999999999998</v>
      </c>
      <c r="R272" s="79" t="s">
        <v>925</v>
      </c>
      <c r="S272" s="79"/>
      <c r="T272" s="79"/>
      <c r="U272" s="79"/>
      <c r="V272" s="62" t="s">
        <v>38</v>
      </c>
    </row>
    <row r="273" spans="1:23" ht="15" customHeight="1">
      <c r="A273" s="116">
        <v>288</v>
      </c>
      <c r="B273" s="116">
        <f>IF(TRIM(C273)="Test",COUNTIF($C$2:C273,"Test"),"")</f>
        <v>219</v>
      </c>
      <c r="C273" s="80" t="s">
        <v>25</v>
      </c>
      <c r="D273" s="76" t="s">
        <v>26</v>
      </c>
      <c r="E273" s="76" t="s">
        <v>27</v>
      </c>
      <c r="F273" s="87">
        <v>20260101</v>
      </c>
      <c r="G273" s="98" t="s">
        <v>28</v>
      </c>
      <c r="H273" s="76" t="s">
        <v>29</v>
      </c>
      <c r="I273" s="76" t="s">
        <v>30</v>
      </c>
      <c r="J273" s="76" t="s">
        <v>31</v>
      </c>
      <c r="K273" s="228" t="s">
        <v>32</v>
      </c>
      <c r="L273" s="118" t="s">
        <v>912</v>
      </c>
      <c r="M273" s="76" t="s">
        <v>913</v>
      </c>
      <c r="N273" s="103" t="s">
        <v>926</v>
      </c>
      <c r="O273" s="238"/>
      <c r="P273" s="78"/>
      <c r="Q273" s="231">
        <v>38.823</v>
      </c>
      <c r="R273" s="79" t="s">
        <v>927</v>
      </c>
      <c r="S273" s="79"/>
      <c r="T273" s="79"/>
      <c r="U273" s="79"/>
      <c r="V273" s="62" t="s">
        <v>38</v>
      </c>
    </row>
    <row r="274" spans="1:23" ht="15" customHeight="1">
      <c r="A274" s="116">
        <v>289</v>
      </c>
      <c r="B274" s="116">
        <f>IF(TRIM(C274)="Test",COUNTIF($C$2:C274,"Test"),"")</f>
        <v>220</v>
      </c>
      <c r="C274" s="80" t="s">
        <v>25</v>
      </c>
      <c r="D274" s="76" t="s">
        <v>39</v>
      </c>
      <c r="E274" s="214" t="s">
        <v>40</v>
      </c>
      <c r="F274" s="87">
        <v>20260101</v>
      </c>
      <c r="G274" s="98" t="s">
        <v>28</v>
      </c>
      <c r="H274" s="76" t="s">
        <v>29</v>
      </c>
      <c r="I274" s="76" t="s">
        <v>30</v>
      </c>
      <c r="J274" s="76" t="s">
        <v>31</v>
      </c>
      <c r="K274" s="228" t="s">
        <v>41</v>
      </c>
      <c r="L274" s="118" t="s">
        <v>912</v>
      </c>
      <c r="M274" s="76" t="s">
        <v>913</v>
      </c>
      <c r="N274" s="103" t="s">
        <v>928</v>
      </c>
      <c r="O274" s="238"/>
      <c r="P274" s="78"/>
      <c r="Q274" s="231">
        <v>33.494999999999997</v>
      </c>
      <c r="R274" s="209" t="s">
        <v>929</v>
      </c>
      <c r="S274" s="79"/>
      <c r="T274" s="79" t="s">
        <v>930</v>
      </c>
      <c r="U274" s="79" t="s">
        <v>38</v>
      </c>
      <c r="V274" s="62" t="s">
        <v>38</v>
      </c>
    </row>
    <row r="275" spans="1:23" ht="15" customHeight="1">
      <c r="A275" s="116">
        <v>290</v>
      </c>
      <c r="B275" s="116">
        <f>IF(TRIM(C275)="Test",COUNTIF($C$2:C275,"Test"),"")</f>
        <v>221</v>
      </c>
      <c r="C275" s="80" t="s">
        <v>25</v>
      </c>
      <c r="D275" s="76" t="s">
        <v>46</v>
      </c>
      <c r="E275" s="123" t="s">
        <v>39</v>
      </c>
      <c r="F275" s="87">
        <v>20260101</v>
      </c>
      <c r="G275" s="98" t="s">
        <v>47</v>
      </c>
      <c r="H275" s="76" t="s">
        <v>48</v>
      </c>
      <c r="I275" s="76" t="s">
        <v>49</v>
      </c>
      <c r="J275" s="76" t="s">
        <v>50</v>
      </c>
      <c r="K275" s="228" t="s">
        <v>32</v>
      </c>
      <c r="L275" s="118" t="s">
        <v>912</v>
      </c>
      <c r="M275" s="76" t="s">
        <v>913</v>
      </c>
      <c r="N275" s="103" t="s">
        <v>931</v>
      </c>
      <c r="O275" s="238"/>
      <c r="P275" s="78"/>
      <c r="Q275" s="231">
        <v>36.302999999999997</v>
      </c>
      <c r="R275" s="209" t="s">
        <v>932</v>
      </c>
      <c r="S275" s="79"/>
      <c r="T275" s="217" t="s">
        <v>933</v>
      </c>
      <c r="U275" s="79" t="s">
        <v>38</v>
      </c>
      <c r="V275" s="62" t="s">
        <v>38</v>
      </c>
    </row>
    <row r="276" spans="1:23" ht="15" customHeight="1">
      <c r="A276" s="116">
        <v>291</v>
      </c>
      <c r="B276" s="116">
        <f>IF(TRIM(C276)="Test",COUNTIF($C$2:C276,"Test"),"")</f>
        <v>222</v>
      </c>
      <c r="C276" s="80" t="s">
        <v>25</v>
      </c>
      <c r="D276" s="76" t="s">
        <v>56</v>
      </c>
      <c r="E276" s="76" t="s">
        <v>27</v>
      </c>
      <c r="F276" s="87">
        <v>20260101</v>
      </c>
      <c r="G276" s="98" t="s">
        <v>57</v>
      </c>
      <c r="H276" s="76" t="s">
        <v>29</v>
      </c>
      <c r="I276" s="76" t="s">
        <v>58</v>
      </c>
      <c r="J276" s="76" t="s">
        <v>59</v>
      </c>
      <c r="K276" s="228" t="s">
        <v>41</v>
      </c>
      <c r="L276" s="118" t="s">
        <v>912</v>
      </c>
      <c r="M276" s="76" t="s">
        <v>913</v>
      </c>
      <c r="N276" s="103" t="s">
        <v>934</v>
      </c>
      <c r="O276" s="238"/>
      <c r="P276" s="78"/>
      <c r="Q276" s="231">
        <v>30.010999999999999</v>
      </c>
      <c r="R276" s="79" t="s">
        <v>935</v>
      </c>
      <c r="S276" s="79"/>
      <c r="T276" s="79"/>
      <c r="U276" s="79"/>
      <c r="V276" s="63" t="s">
        <v>38</v>
      </c>
    </row>
    <row r="277" spans="1:23" ht="15" customHeight="1">
      <c r="A277" s="116">
        <v>292</v>
      </c>
      <c r="B277" s="116">
        <f>IF(TRIM(C277)="Test",COUNTIF($C$2:C277,"Test"),"")</f>
        <v>223</v>
      </c>
      <c r="C277" s="80" t="s">
        <v>25</v>
      </c>
      <c r="D277" s="76" t="s">
        <v>40</v>
      </c>
      <c r="E277" s="76" t="s">
        <v>27</v>
      </c>
      <c r="F277" s="87">
        <v>20260101</v>
      </c>
      <c r="G277" s="98" t="s">
        <v>62</v>
      </c>
      <c r="H277" s="76" t="s">
        <v>48</v>
      </c>
      <c r="I277" s="76" t="s">
        <v>49</v>
      </c>
      <c r="J277" s="76" t="s">
        <v>63</v>
      </c>
      <c r="K277" s="228" t="s">
        <v>32</v>
      </c>
      <c r="L277" s="139" t="s">
        <v>912</v>
      </c>
      <c r="M277" s="76" t="s">
        <v>913</v>
      </c>
      <c r="N277" s="140" t="s">
        <v>936</v>
      </c>
      <c r="O277" s="238"/>
      <c r="P277" s="78"/>
      <c r="Q277" s="231">
        <v>32.503</v>
      </c>
      <c r="R277" s="144" t="s">
        <v>937</v>
      </c>
      <c r="S277" s="144"/>
      <c r="T277" s="144"/>
      <c r="U277" s="144"/>
      <c r="V277" s="132" t="s">
        <v>938</v>
      </c>
      <c r="W277" s="63" t="s">
        <v>939</v>
      </c>
    </row>
    <row r="278" spans="1:23" ht="15" customHeight="1">
      <c r="A278" s="116">
        <v>293</v>
      </c>
      <c r="B278" s="116">
        <f>IF(TRIM(C278)="Test",COUNTIF($C$2:C278,"Test"),"")</f>
        <v>224</v>
      </c>
      <c r="C278" s="80" t="s">
        <v>25</v>
      </c>
      <c r="D278" s="76" t="s">
        <v>70</v>
      </c>
      <c r="E278" s="76" t="s">
        <v>27</v>
      </c>
      <c r="F278" s="87">
        <v>20260101</v>
      </c>
      <c r="G278" s="98" t="s">
        <v>62</v>
      </c>
      <c r="H278" s="76" t="s">
        <v>48</v>
      </c>
      <c r="I278" s="76" t="s">
        <v>49</v>
      </c>
      <c r="J278" s="76" t="s">
        <v>63</v>
      </c>
      <c r="K278" s="228" t="s">
        <v>41</v>
      </c>
      <c r="L278" s="118" t="s">
        <v>912</v>
      </c>
      <c r="M278" s="76" t="s">
        <v>913</v>
      </c>
      <c r="N278" s="103" t="s">
        <v>940</v>
      </c>
      <c r="O278" s="238"/>
      <c r="P278" s="78"/>
      <c r="Q278" s="231">
        <v>29.202999999999999</v>
      </c>
      <c r="R278" s="79" t="s">
        <v>941</v>
      </c>
      <c r="S278" s="79"/>
      <c r="T278" s="79"/>
      <c r="U278" s="79"/>
      <c r="V278" s="62" t="s">
        <v>38</v>
      </c>
    </row>
    <row r="279" spans="1:23" ht="15" customHeight="1">
      <c r="A279" s="116">
        <v>294</v>
      </c>
      <c r="B279" s="116">
        <f>IF(TRIM(C279)="Test",COUNTIF($C$2:C279,"Test"),"")</f>
        <v>225</v>
      </c>
      <c r="C279" s="80" t="s">
        <v>25</v>
      </c>
      <c r="D279" s="76" t="s">
        <v>74</v>
      </c>
      <c r="E279" s="76" t="s">
        <v>27</v>
      </c>
      <c r="F279" s="87">
        <v>20260101</v>
      </c>
      <c r="G279" s="98" t="s">
        <v>75</v>
      </c>
      <c r="H279" s="76" t="s">
        <v>29</v>
      </c>
      <c r="I279" s="76" t="s">
        <v>30</v>
      </c>
      <c r="J279" s="76" t="s">
        <v>31</v>
      </c>
      <c r="K279" s="228" t="s">
        <v>32</v>
      </c>
      <c r="L279" s="118" t="s">
        <v>912</v>
      </c>
      <c r="M279" s="76" t="s">
        <v>913</v>
      </c>
      <c r="N279" s="103" t="s">
        <v>942</v>
      </c>
      <c r="O279" s="238"/>
      <c r="P279" s="78"/>
      <c r="Q279" s="231">
        <v>25.241</v>
      </c>
      <c r="R279" s="79" t="s">
        <v>943</v>
      </c>
      <c r="S279" s="79"/>
      <c r="T279" s="79"/>
      <c r="U279" s="79"/>
      <c r="V279" s="62" t="s">
        <v>38</v>
      </c>
    </row>
    <row r="280" spans="1:23" ht="15" customHeight="1">
      <c r="A280" s="116">
        <v>295</v>
      </c>
      <c r="B280" s="116">
        <f>IF(TRIM(C280)="Test",COUNTIF($C$2:C280,"Test"),"")</f>
        <v>226</v>
      </c>
      <c r="C280" s="95" t="s">
        <v>25</v>
      </c>
      <c r="D280" s="76" t="s">
        <v>78</v>
      </c>
      <c r="E280" s="76" t="s">
        <v>27</v>
      </c>
      <c r="F280" s="87">
        <v>20260101</v>
      </c>
      <c r="G280" s="98" t="s">
        <v>79</v>
      </c>
      <c r="H280" s="76" t="s">
        <v>80</v>
      </c>
      <c r="I280" s="76" t="s">
        <v>81</v>
      </c>
      <c r="J280" s="76" t="s">
        <v>31</v>
      </c>
      <c r="K280" s="228" t="s">
        <v>41</v>
      </c>
      <c r="L280" s="139" t="s">
        <v>912</v>
      </c>
      <c r="M280" s="76" t="s">
        <v>913</v>
      </c>
      <c r="N280" s="140" t="s">
        <v>944</v>
      </c>
      <c r="O280" s="238"/>
      <c r="P280" s="78"/>
      <c r="Q280" s="231">
        <v>36.694000000000003</v>
      </c>
      <c r="R280" s="144" t="s">
        <v>945</v>
      </c>
      <c r="S280" s="144"/>
      <c r="T280" s="144"/>
      <c r="U280" s="144"/>
      <c r="V280" s="142" t="s">
        <v>360</v>
      </c>
      <c r="W280" s="133"/>
    </row>
    <row r="281" spans="1:23" ht="15" customHeight="1">
      <c r="A281" s="116">
        <v>296</v>
      </c>
      <c r="B281" s="116">
        <f>IF(TRIM(C281)="Test",COUNTIF($C$2:C281,"Test"),"")</f>
        <v>227</v>
      </c>
      <c r="C281" s="80" t="s">
        <v>25</v>
      </c>
      <c r="D281" s="76" t="s">
        <v>86</v>
      </c>
      <c r="E281" s="76" t="s">
        <v>27</v>
      </c>
      <c r="F281" s="87">
        <v>20260101</v>
      </c>
      <c r="G281" s="98" t="s">
        <v>87</v>
      </c>
      <c r="H281" s="76" t="s">
        <v>48</v>
      </c>
      <c r="I281" s="76" t="s">
        <v>81</v>
      </c>
      <c r="J281" s="76" t="s">
        <v>50</v>
      </c>
      <c r="K281" s="228" t="s">
        <v>32</v>
      </c>
      <c r="L281" s="118" t="s">
        <v>912</v>
      </c>
      <c r="M281" s="76" t="s">
        <v>913</v>
      </c>
      <c r="N281" s="103" t="s">
        <v>946</v>
      </c>
      <c r="O281" s="238"/>
      <c r="P281" s="78"/>
      <c r="Q281" s="231">
        <v>34.987000000000002</v>
      </c>
      <c r="R281" s="79" t="s">
        <v>947</v>
      </c>
      <c r="S281" s="79"/>
      <c r="T281" s="79"/>
      <c r="U281" s="79"/>
      <c r="V281" s="62" t="s">
        <v>38</v>
      </c>
    </row>
    <row r="282" spans="1:23" ht="15" customHeight="1">
      <c r="A282" s="116">
        <v>299</v>
      </c>
      <c r="B282" s="116">
        <f>IF(TRIM(C282)="Test",COUNTIF($C$2:C282,"Test"),"")</f>
        <v>228</v>
      </c>
      <c r="C282" s="80" t="s">
        <v>25</v>
      </c>
      <c r="D282" s="76" t="s">
        <v>101</v>
      </c>
      <c r="E282" s="76" t="s">
        <v>27</v>
      </c>
      <c r="F282" s="87">
        <v>20260101</v>
      </c>
      <c r="G282" s="98" t="s">
        <v>102</v>
      </c>
      <c r="H282" s="76" t="s">
        <v>29</v>
      </c>
      <c r="I282" s="76" t="s">
        <v>103</v>
      </c>
      <c r="J282" s="76" t="s">
        <v>31</v>
      </c>
      <c r="K282" s="228" t="s">
        <v>32</v>
      </c>
      <c r="L282" s="139" t="s">
        <v>948</v>
      </c>
      <c r="M282" s="76" t="s">
        <v>949</v>
      </c>
      <c r="N282" s="140" t="s">
        <v>950</v>
      </c>
      <c r="O282" s="238"/>
      <c r="P282" s="78"/>
      <c r="Q282" s="231">
        <v>53.656999999999996</v>
      </c>
      <c r="R282" s="144" t="s">
        <v>951</v>
      </c>
      <c r="S282" s="144"/>
      <c r="T282" s="144"/>
      <c r="U282" s="144"/>
      <c r="V282" s="150" t="s">
        <v>653</v>
      </c>
      <c r="W282" s="63" t="s">
        <v>371</v>
      </c>
    </row>
    <row r="283" spans="1:23" ht="15" customHeight="1">
      <c r="A283" s="116">
        <v>300</v>
      </c>
      <c r="B283" s="116">
        <f>IF(TRIM(C283)="Test",COUNTIF($C$2:C283,"Test"),"")</f>
        <v>229</v>
      </c>
      <c r="C283" s="80" t="s">
        <v>25</v>
      </c>
      <c r="D283" s="76" t="s">
        <v>108</v>
      </c>
      <c r="E283" s="76" t="s">
        <v>27</v>
      </c>
      <c r="F283" s="87">
        <v>20260101</v>
      </c>
      <c r="G283" s="98" t="s">
        <v>109</v>
      </c>
      <c r="H283" s="76" t="s">
        <v>48</v>
      </c>
      <c r="I283" s="76" t="s">
        <v>81</v>
      </c>
      <c r="J283" s="76" t="s">
        <v>98</v>
      </c>
      <c r="K283" s="228" t="s">
        <v>32</v>
      </c>
      <c r="L283" s="139" t="s">
        <v>948</v>
      </c>
      <c r="M283" s="76" t="s">
        <v>949</v>
      </c>
      <c r="N283" s="140" t="s">
        <v>952</v>
      </c>
      <c r="O283" s="238"/>
      <c r="P283" s="78"/>
      <c r="Q283" s="231">
        <v>16.809000000000001</v>
      </c>
      <c r="R283" s="144" t="s">
        <v>953</v>
      </c>
      <c r="S283" s="144"/>
      <c r="T283" s="144"/>
      <c r="U283" s="144"/>
      <c r="V283" s="63" t="s">
        <v>954</v>
      </c>
      <c r="W283" s="63" t="s">
        <v>955</v>
      </c>
    </row>
    <row r="284" spans="1:23" ht="15" customHeight="1">
      <c r="A284" s="116">
        <v>301</v>
      </c>
      <c r="B284" s="116">
        <f>IF(TRIM(C284)="Test",COUNTIF($C$2:C284,"Test"),"")</f>
        <v>230</v>
      </c>
      <c r="C284" s="80" t="s">
        <v>25</v>
      </c>
      <c r="D284" s="76" t="s">
        <v>112</v>
      </c>
      <c r="E284" s="76" t="s">
        <v>27</v>
      </c>
      <c r="F284" s="87">
        <v>20260101</v>
      </c>
      <c r="G284" s="98" t="s">
        <v>113</v>
      </c>
      <c r="H284" s="76" t="s">
        <v>48</v>
      </c>
      <c r="I284" s="76" t="s">
        <v>49</v>
      </c>
      <c r="J284" s="76" t="s">
        <v>98</v>
      </c>
      <c r="K284" s="228" t="s">
        <v>32</v>
      </c>
      <c r="L284" s="118" t="s">
        <v>948</v>
      </c>
      <c r="M284" s="76" t="s">
        <v>956</v>
      </c>
      <c r="N284" s="103" t="s">
        <v>957</v>
      </c>
      <c r="O284" s="241"/>
      <c r="P284" s="92"/>
      <c r="Q284" s="234">
        <v>36.616999999999997</v>
      </c>
      <c r="R284" s="79" t="s">
        <v>958</v>
      </c>
      <c r="S284" s="79"/>
      <c r="T284" s="79"/>
      <c r="U284" s="79"/>
      <c r="V284" s="63" t="s">
        <v>38</v>
      </c>
    </row>
    <row r="285" spans="1:23" ht="15" customHeight="1">
      <c r="A285" s="116">
        <v>302</v>
      </c>
      <c r="B285" s="116">
        <f>IF(TRIM(C285)="Test",COUNTIF($C$2:C285,"Test"),"")</f>
        <v>231</v>
      </c>
      <c r="C285" s="80" t="s">
        <v>25</v>
      </c>
      <c r="D285" s="76" t="s">
        <v>118</v>
      </c>
      <c r="E285" s="214" t="s">
        <v>112</v>
      </c>
      <c r="F285" s="87">
        <v>20260101</v>
      </c>
      <c r="G285" s="240" t="s">
        <v>119</v>
      </c>
      <c r="H285" s="93" t="s">
        <v>29</v>
      </c>
      <c r="I285" s="93" t="s">
        <v>92</v>
      </c>
      <c r="J285" s="93" t="s">
        <v>31</v>
      </c>
      <c r="K285" s="233" t="s">
        <v>41</v>
      </c>
      <c r="L285" s="139" t="s">
        <v>948</v>
      </c>
      <c r="M285" s="76" t="s">
        <v>949</v>
      </c>
      <c r="N285" s="140" t="s">
        <v>959</v>
      </c>
      <c r="O285" s="238"/>
      <c r="P285" s="78"/>
      <c r="Q285" s="231">
        <v>27.783999999999999</v>
      </c>
      <c r="R285" s="213" t="s">
        <v>960</v>
      </c>
      <c r="S285" s="144"/>
      <c r="T285" s="144" t="s">
        <v>961</v>
      </c>
      <c r="U285" s="79" t="s">
        <v>38</v>
      </c>
      <c r="V285" s="133" t="s">
        <v>768</v>
      </c>
      <c r="W285" s="63" t="s">
        <v>962</v>
      </c>
    </row>
    <row r="286" spans="1:23" ht="15" customHeight="1">
      <c r="A286" s="116">
        <v>303</v>
      </c>
      <c r="B286" s="116">
        <f>IF(TRIM(C286)="Test",COUNTIF($C$2:C286,"Test"),"")</f>
        <v>232</v>
      </c>
      <c r="C286" s="80" t="s">
        <v>25</v>
      </c>
      <c r="D286" s="76" t="s">
        <v>124</v>
      </c>
      <c r="E286" s="76" t="s">
        <v>27</v>
      </c>
      <c r="F286" s="87">
        <v>20260101</v>
      </c>
      <c r="G286" s="98" t="s">
        <v>125</v>
      </c>
      <c r="H286" s="76" t="s">
        <v>48</v>
      </c>
      <c r="I286" s="76" t="s">
        <v>49</v>
      </c>
      <c r="J286" s="76" t="s">
        <v>50</v>
      </c>
      <c r="K286" s="228" t="s">
        <v>41</v>
      </c>
      <c r="L286" s="103" t="s">
        <v>948</v>
      </c>
      <c r="M286" s="76" t="s">
        <v>963</v>
      </c>
      <c r="N286" s="103" t="s">
        <v>964</v>
      </c>
      <c r="O286" s="238"/>
      <c r="P286" s="78"/>
      <c r="Q286" s="231">
        <v>24.077000000000002</v>
      </c>
      <c r="R286" s="79" t="s">
        <v>965</v>
      </c>
      <c r="S286" s="79"/>
      <c r="T286" s="79"/>
      <c r="U286" s="79"/>
      <c r="V286" s="62" t="s">
        <v>38</v>
      </c>
    </row>
    <row r="287" spans="1:23" ht="15" customHeight="1">
      <c r="A287" s="116">
        <v>304</v>
      </c>
      <c r="B287" s="116">
        <f>IF(TRIM(C287)="Test",COUNTIF($C$2:C287,"Test"),"")</f>
        <v>233</v>
      </c>
      <c r="C287" s="80" t="s">
        <v>25</v>
      </c>
      <c r="D287" s="76" t="s">
        <v>128</v>
      </c>
      <c r="E287" s="76" t="s">
        <v>27</v>
      </c>
      <c r="F287" s="87">
        <v>20260101</v>
      </c>
      <c r="G287" s="98" t="s">
        <v>129</v>
      </c>
      <c r="H287" s="76" t="s">
        <v>48</v>
      </c>
      <c r="I287" s="76" t="s">
        <v>49</v>
      </c>
      <c r="J287" s="76" t="s">
        <v>63</v>
      </c>
      <c r="K287" s="228" t="s">
        <v>32</v>
      </c>
      <c r="L287" s="103" t="s">
        <v>948</v>
      </c>
      <c r="M287" s="76" t="s">
        <v>963</v>
      </c>
      <c r="N287" s="103" t="s">
        <v>966</v>
      </c>
      <c r="O287" s="238"/>
      <c r="P287" s="78"/>
      <c r="Q287" s="231">
        <v>30.074000000000002</v>
      </c>
      <c r="R287" s="79" t="s">
        <v>967</v>
      </c>
      <c r="S287" s="79"/>
      <c r="T287" s="79"/>
      <c r="U287" s="79"/>
      <c r="V287" s="62" t="s">
        <v>38</v>
      </c>
    </row>
    <row r="288" spans="1:23" ht="15" customHeight="1">
      <c r="A288" s="116">
        <v>305</v>
      </c>
      <c r="B288" s="116">
        <f>IF(TRIM(C288)="Test",COUNTIF($C$2:C288,"Test"),"")</f>
        <v>234</v>
      </c>
      <c r="C288" s="80" t="s">
        <v>25</v>
      </c>
      <c r="D288" s="76" t="s">
        <v>134</v>
      </c>
      <c r="E288" s="76" t="s">
        <v>27</v>
      </c>
      <c r="F288" s="87">
        <v>20260101</v>
      </c>
      <c r="G288" s="98" t="s">
        <v>135</v>
      </c>
      <c r="H288" s="76" t="s">
        <v>29</v>
      </c>
      <c r="I288" s="76" t="s">
        <v>30</v>
      </c>
      <c r="J288" s="76" t="s">
        <v>31</v>
      </c>
      <c r="K288" s="228" t="s">
        <v>32</v>
      </c>
      <c r="L288" s="118" t="s">
        <v>948</v>
      </c>
      <c r="M288" s="76" t="s">
        <v>968</v>
      </c>
      <c r="N288" s="103" t="s">
        <v>969</v>
      </c>
      <c r="O288" s="238"/>
      <c r="P288" s="78"/>
      <c r="Q288" s="231">
        <v>40.667000000000002</v>
      </c>
      <c r="R288" s="79" t="s">
        <v>970</v>
      </c>
      <c r="S288" s="79"/>
      <c r="T288" s="79"/>
      <c r="U288" s="79"/>
      <c r="V288" s="62" t="s">
        <v>38</v>
      </c>
    </row>
    <row r="289" spans="1:25" ht="15" customHeight="1">
      <c r="A289" s="116">
        <v>306</v>
      </c>
      <c r="B289" s="116">
        <f>IF(TRIM(C289)="Test",COUNTIF($C$2:C289,"Test"),"")</f>
        <v>235</v>
      </c>
      <c r="C289" s="80" t="s">
        <v>25</v>
      </c>
      <c r="D289" s="76" t="s">
        <v>140</v>
      </c>
      <c r="E289" s="76" t="s">
        <v>27</v>
      </c>
      <c r="F289" s="87">
        <v>20260101</v>
      </c>
      <c r="G289" s="98" t="s">
        <v>141</v>
      </c>
      <c r="H289" s="76" t="s">
        <v>142</v>
      </c>
      <c r="I289" s="76" t="s">
        <v>58</v>
      </c>
      <c r="J289" s="76" t="s">
        <v>59</v>
      </c>
      <c r="K289" s="228"/>
      <c r="L289" s="139" t="s">
        <v>948</v>
      </c>
      <c r="M289" s="76" t="s">
        <v>956</v>
      </c>
      <c r="N289" s="140" t="s">
        <v>971</v>
      </c>
      <c r="O289" s="238"/>
      <c r="P289" s="78"/>
      <c r="Q289" s="231">
        <v>20.035</v>
      </c>
      <c r="R289" s="144" t="s">
        <v>972</v>
      </c>
      <c r="S289" s="144"/>
      <c r="T289" s="144"/>
      <c r="U289" s="144"/>
      <c r="V289" s="142" t="s">
        <v>288</v>
      </c>
      <c r="W289" s="63" t="s">
        <v>289</v>
      </c>
    </row>
    <row r="290" spans="1:25" ht="15" customHeight="1">
      <c r="A290" s="116">
        <v>307</v>
      </c>
      <c r="B290" s="116">
        <f>IF(TRIM(C290)="Test",COUNTIF($C$2:C290,"Test"),"")</f>
        <v>236</v>
      </c>
      <c r="C290" s="80" t="s">
        <v>25</v>
      </c>
      <c r="D290" s="76" t="s">
        <v>145</v>
      </c>
      <c r="E290" s="214" t="s">
        <v>140</v>
      </c>
      <c r="F290" s="87">
        <v>20260101</v>
      </c>
      <c r="G290" s="98" t="s">
        <v>146</v>
      </c>
      <c r="H290" s="76" t="s">
        <v>147</v>
      </c>
      <c r="I290" s="76" t="s">
        <v>148</v>
      </c>
      <c r="J290" s="76" t="s">
        <v>31</v>
      </c>
      <c r="K290" s="228"/>
      <c r="L290" s="103" t="s">
        <v>948</v>
      </c>
      <c r="M290" s="76" t="s">
        <v>956</v>
      </c>
      <c r="N290" s="103" t="s">
        <v>973</v>
      </c>
      <c r="O290" s="238"/>
      <c r="P290" s="78"/>
      <c r="Q290" s="231">
        <v>42.926000000000002</v>
      </c>
      <c r="R290" s="209" t="s">
        <v>974</v>
      </c>
      <c r="S290" s="79"/>
      <c r="T290" s="79" t="s">
        <v>975</v>
      </c>
      <c r="U290" s="79" t="s">
        <v>38</v>
      </c>
      <c r="V290" s="62" t="s">
        <v>38</v>
      </c>
    </row>
    <row r="291" spans="1:25" ht="15" customHeight="1">
      <c r="A291" s="116">
        <v>308</v>
      </c>
      <c r="B291" s="116">
        <f>IF(TRIM(C291)="Test",COUNTIF($C$2:C291,"Test"),"")</f>
        <v>237</v>
      </c>
      <c r="C291" s="80" t="s">
        <v>25</v>
      </c>
      <c r="D291" s="76" t="s">
        <v>153</v>
      </c>
      <c r="E291" s="123" t="s">
        <v>154</v>
      </c>
      <c r="F291" s="87">
        <v>20260101</v>
      </c>
      <c r="G291" s="98" t="s">
        <v>155</v>
      </c>
      <c r="H291" s="76" t="s">
        <v>29</v>
      </c>
      <c r="I291" s="76" t="s">
        <v>30</v>
      </c>
      <c r="J291" s="76" t="s">
        <v>31</v>
      </c>
      <c r="K291" s="228" t="s">
        <v>32</v>
      </c>
      <c r="L291" s="118" t="s">
        <v>948</v>
      </c>
      <c r="M291" s="76" t="s">
        <v>949</v>
      </c>
      <c r="N291" s="103" t="s">
        <v>976</v>
      </c>
      <c r="O291" s="238"/>
      <c r="P291" s="78"/>
      <c r="Q291" s="231" t="s">
        <v>977</v>
      </c>
      <c r="R291" s="209" t="s">
        <v>978</v>
      </c>
      <c r="S291" s="79"/>
      <c r="T291" s="79" t="s">
        <v>979</v>
      </c>
      <c r="U291" s="79" t="s">
        <v>38</v>
      </c>
      <c r="V291" s="62" t="s">
        <v>38</v>
      </c>
    </row>
    <row r="292" spans="1:25" ht="15" customHeight="1">
      <c r="A292" s="116">
        <v>309</v>
      </c>
      <c r="B292" s="116">
        <f>IF(TRIM(C292)="Test",COUNTIF($C$2:C292,"Test"),"")</f>
        <v>238</v>
      </c>
      <c r="C292" s="80" t="s">
        <v>25</v>
      </c>
      <c r="D292" s="76" t="s">
        <v>162</v>
      </c>
      <c r="E292" s="76" t="s">
        <v>27</v>
      </c>
      <c r="F292" s="87">
        <v>20260101</v>
      </c>
      <c r="G292" s="98" t="s">
        <v>163</v>
      </c>
      <c r="H292" s="76" t="s">
        <v>29</v>
      </c>
      <c r="I292" s="76" t="s">
        <v>164</v>
      </c>
      <c r="J292" s="76" t="s">
        <v>31</v>
      </c>
      <c r="K292" s="228" t="s">
        <v>32</v>
      </c>
      <c r="L292" s="140" t="s">
        <v>948</v>
      </c>
      <c r="M292" s="76" t="s">
        <v>949</v>
      </c>
      <c r="N292" s="140" t="s">
        <v>980</v>
      </c>
      <c r="O292" s="238"/>
      <c r="P292" s="78"/>
      <c r="Q292" s="231">
        <v>29.719000000000001</v>
      </c>
      <c r="R292" s="144" t="s">
        <v>981</v>
      </c>
      <c r="S292" s="144"/>
      <c r="T292" s="144"/>
      <c r="U292" s="144"/>
      <c r="V292" s="150" t="s">
        <v>168</v>
      </c>
      <c r="W292" s="63" t="s">
        <v>169</v>
      </c>
      <c r="Y292" s="63" t="s">
        <v>170</v>
      </c>
    </row>
    <row r="293" spans="1:25" ht="15" customHeight="1">
      <c r="A293" s="116">
        <v>310</v>
      </c>
      <c r="B293" s="116">
        <f>IF(TRIM(C293)="Test",COUNTIF($C$2:C293,"Test"),"")</f>
        <v>239</v>
      </c>
      <c r="C293" s="80" t="s">
        <v>25</v>
      </c>
      <c r="D293" s="76" t="s">
        <v>171</v>
      </c>
      <c r="E293" s="76" t="s">
        <v>27</v>
      </c>
      <c r="F293" s="87">
        <v>20260101</v>
      </c>
      <c r="G293" s="98" t="s">
        <v>172</v>
      </c>
      <c r="H293" s="76" t="s">
        <v>48</v>
      </c>
      <c r="I293" s="76" t="s">
        <v>81</v>
      </c>
      <c r="J293" s="76" t="s">
        <v>98</v>
      </c>
      <c r="K293" s="228" t="s">
        <v>32</v>
      </c>
      <c r="L293" s="139" t="s">
        <v>948</v>
      </c>
      <c r="M293" s="76" t="s">
        <v>963</v>
      </c>
      <c r="N293" s="140" t="s">
        <v>982</v>
      </c>
      <c r="O293" s="238"/>
      <c r="P293" s="78"/>
      <c r="Q293" s="231">
        <v>35.183999999999997</v>
      </c>
      <c r="R293" s="144" t="s">
        <v>983</v>
      </c>
      <c r="S293" s="144"/>
      <c r="T293" s="144"/>
      <c r="U293" s="144"/>
      <c r="V293" s="148" t="s">
        <v>858</v>
      </c>
      <c r="W293" s="63" t="s">
        <v>773</v>
      </c>
    </row>
    <row r="294" spans="1:25" ht="15" customHeight="1">
      <c r="A294" s="116">
        <v>311</v>
      </c>
      <c r="B294" s="116">
        <f>IF(TRIM(C294)="Test",COUNTIF($C$2:C294,"Test"),"")</f>
        <v>240</v>
      </c>
      <c r="C294" s="80" t="s">
        <v>25</v>
      </c>
      <c r="D294" s="76" t="s">
        <v>177</v>
      </c>
      <c r="E294" s="76" t="s">
        <v>27</v>
      </c>
      <c r="F294" s="87">
        <v>20260101</v>
      </c>
      <c r="G294" s="98" t="s">
        <v>178</v>
      </c>
      <c r="H294" s="76" t="s">
        <v>29</v>
      </c>
      <c r="I294" s="76" t="s">
        <v>30</v>
      </c>
      <c r="J294" s="76" t="s">
        <v>31</v>
      </c>
      <c r="K294" s="228" t="s">
        <v>32</v>
      </c>
      <c r="L294" s="118" t="s">
        <v>948</v>
      </c>
      <c r="M294" s="76" t="s">
        <v>963</v>
      </c>
      <c r="N294" s="103" t="s">
        <v>984</v>
      </c>
      <c r="O294" s="238"/>
      <c r="P294" s="78"/>
      <c r="Q294" s="231">
        <v>35.643999999999998</v>
      </c>
      <c r="R294" s="79" t="s">
        <v>985</v>
      </c>
      <c r="S294" s="79"/>
      <c r="T294" s="79"/>
      <c r="U294" s="79"/>
      <c r="V294" s="62" t="s">
        <v>38</v>
      </c>
    </row>
    <row r="295" spans="1:25" ht="15" customHeight="1">
      <c r="A295" s="116">
        <v>312</v>
      </c>
      <c r="B295" s="116">
        <f>IF(TRIM(C295)="Test",COUNTIF($C$2:C295,"Test"),"")</f>
        <v>241</v>
      </c>
      <c r="C295" s="80" t="s">
        <v>25</v>
      </c>
      <c r="D295" s="76" t="s">
        <v>184</v>
      </c>
      <c r="E295" s="76" t="s">
        <v>27</v>
      </c>
      <c r="F295" s="87">
        <v>20260101</v>
      </c>
      <c r="G295" s="98" t="s">
        <v>185</v>
      </c>
      <c r="H295" s="76" t="s">
        <v>29</v>
      </c>
      <c r="I295" s="76" t="s">
        <v>92</v>
      </c>
      <c r="J295" s="76" t="s">
        <v>31</v>
      </c>
      <c r="K295" s="228" t="s">
        <v>32</v>
      </c>
      <c r="L295" s="118" t="s">
        <v>948</v>
      </c>
      <c r="M295" s="76" t="s">
        <v>963</v>
      </c>
      <c r="N295" s="103" t="s">
        <v>986</v>
      </c>
      <c r="O295" s="238"/>
      <c r="P295" s="78"/>
      <c r="Q295" s="231">
        <v>42.466999999999999</v>
      </c>
      <c r="R295" s="79" t="s">
        <v>987</v>
      </c>
      <c r="S295" s="79"/>
      <c r="T295" s="79"/>
      <c r="U295" s="79"/>
      <c r="V295" s="62" t="s">
        <v>38</v>
      </c>
    </row>
    <row r="296" spans="1:25" ht="15" customHeight="1">
      <c r="A296" s="116">
        <v>313</v>
      </c>
      <c r="B296" s="116">
        <f>IF(TRIM(C296)="Test",COUNTIF($C$2:C296,"Test"),"")</f>
        <v>242</v>
      </c>
      <c r="C296" s="80" t="s">
        <v>25</v>
      </c>
      <c r="D296" s="76" t="s">
        <v>154</v>
      </c>
      <c r="E296" s="76" t="s">
        <v>27</v>
      </c>
      <c r="F296" s="87">
        <v>20260101</v>
      </c>
      <c r="G296" s="98" t="s">
        <v>190</v>
      </c>
      <c r="H296" s="76" t="s">
        <v>48</v>
      </c>
      <c r="I296" s="76" t="s">
        <v>49</v>
      </c>
      <c r="J296" s="76" t="s">
        <v>98</v>
      </c>
      <c r="K296" s="228" t="s">
        <v>41</v>
      </c>
      <c r="L296" s="118" t="s">
        <v>948</v>
      </c>
      <c r="M296" s="76"/>
      <c r="N296" s="103" t="s">
        <v>988</v>
      </c>
      <c r="O296" s="238"/>
      <c r="P296" s="78"/>
      <c r="Q296" s="231">
        <v>29.983000000000001</v>
      </c>
      <c r="R296" s="79" t="s">
        <v>989</v>
      </c>
      <c r="S296" s="79"/>
      <c r="T296" s="79"/>
      <c r="U296" s="79"/>
      <c r="V296" s="62" t="s">
        <v>38</v>
      </c>
    </row>
    <row r="297" spans="1:25" ht="15" customHeight="1">
      <c r="A297" s="116">
        <v>314</v>
      </c>
      <c r="B297" s="116">
        <f>IF(TRIM(C297)="Test",COUNTIF($C$2:C297,"Test"),"")</f>
        <v>243</v>
      </c>
      <c r="C297" s="80" t="s">
        <v>25</v>
      </c>
      <c r="D297" s="76" t="s">
        <v>194</v>
      </c>
      <c r="E297" s="226" t="s">
        <v>112</v>
      </c>
      <c r="F297" s="87">
        <v>20260101</v>
      </c>
      <c r="G297" s="98" t="s">
        <v>195</v>
      </c>
      <c r="H297" s="76" t="s">
        <v>48</v>
      </c>
      <c r="I297" s="76" t="s">
        <v>81</v>
      </c>
      <c r="J297" s="76" t="s">
        <v>63</v>
      </c>
      <c r="K297" s="228" t="s">
        <v>32</v>
      </c>
      <c r="L297" s="139" t="s">
        <v>948</v>
      </c>
      <c r="M297" s="76" t="s">
        <v>956</v>
      </c>
      <c r="N297" s="140" t="s">
        <v>990</v>
      </c>
      <c r="O297" s="238"/>
      <c r="P297" s="78"/>
      <c r="Q297" s="231">
        <v>24.798999999999999</v>
      </c>
      <c r="R297" s="213" t="s">
        <v>991</v>
      </c>
      <c r="S297" s="144"/>
      <c r="T297" s="144" t="s">
        <v>992</v>
      </c>
      <c r="U297" s="79" t="s">
        <v>38</v>
      </c>
      <c r="V297" s="148" t="s">
        <v>311</v>
      </c>
      <c r="W297" s="63" t="s">
        <v>784</v>
      </c>
    </row>
    <row r="298" spans="1:25" ht="15" customHeight="1">
      <c r="A298" s="116">
        <v>315</v>
      </c>
      <c r="B298" s="116">
        <f>IF(TRIM(C298)="Test",COUNTIF($C$2:C298,"Test"),"")</f>
        <v>244</v>
      </c>
      <c r="C298" s="80" t="s">
        <v>25</v>
      </c>
      <c r="D298" s="76" t="s">
        <v>200</v>
      </c>
      <c r="E298" s="76" t="s">
        <v>27</v>
      </c>
      <c r="F298" s="87">
        <v>20260101</v>
      </c>
      <c r="G298" s="98" t="s">
        <v>201</v>
      </c>
      <c r="H298" s="76" t="s">
        <v>48</v>
      </c>
      <c r="I298" s="76" t="s">
        <v>81</v>
      </c>
      <c r="J298" s="76" t="s">
        <v>98</v>
      </c>
      <c r="K298" s="228" t="s">
        <v>32</v>
      </c>
      <c r="L298" s="139" t="s">
        <v>948</v>
      </c>
      <c r="M298" s="76" t="s">
        <v>949</v>
      </c>
      <c r="N298" s="140" t="s">
        <v>993</v>
      </c>
      <c r="O298" s="238"/>
      <c r="P298" s="78"/>
      <c r="Q298" s="231">
        <v>30.945</v>
      </c>
      <c r="R298" s="144" t="s">
        <v>994</v>
      </c>
      <c r="S298" s="144"/>
      <c r="T298" s="144"/>
      <c r="U298" s="144"/>
      <c r="V298" s="148" t="s">
        <v>316</v>
      </c>
      <c r="W298" s="63" t="s">
        <v>995</v>
      </c>
    </row>
    <row r="299" spans="1:25" ht="15" customHeight="1">
      <c r="A299" s="116">
        <v>316</v>
      </c>
      <c r="B299" s="116">
        <f>IF(TRIM(C299)="Test",COUNTIF($C$2:C299,"Test"),"")</f>
        <v>245</v>
      </c>
      <c r="C299" s="80" t="s">
        <v>25</v>
      </c>
      <c r="D299" s="76" t="s">
        <v>205</v>
      </c>
      <c r="E299" s="123" t="s">
        <v>699</v>
      </c>
      <c r="F299" s="87">
        <v>20260101</v>
      </c>
      <c r="G299" s="98" t="s">
        <v>206</v>
      </c>
      <c r="H299" s="76" t="s">
        <v>207</v>
      </c>
      <c r="I299" s="76"/>
      <c r="J299" s="76" t="s">
        <v>208</v>
      </c>
      <c r="K299" s="228" t="s">
        <v>32</v>
      </c>
      <c r="L299" s="139" t="s">
        <v>948</v>
      </c>
      <c r="M299" s="76" t="s">
        <v>949</v>
      </c>
      <c r="N299" s="140" t="s">
        <v>996</v>
      </c>
      <c r="O299" s="238"/>
      <c r="P299" s="78"/>
      <c r="Q299" s="231">
        <v>27.581</v>
      </c>
      <c r="R299" s="213" t="s">
        <v>997</v>
      </c>
      <c r="S299" s="144"/>
      <c r="T299" s="144" t="s">
        <v>702</v>
      </c>
      <c r="U299" s="144"/>
      <c r="V299" s="142" t="s">
        <v>790</v>
      </c>
      <c r="W299" s="63" t="s">
        <v>212</v>
      </c>
    </row>
    <row r="300" spans="1:25" ht="15" customHeight="1">
      <c r="A300" s="116">
        <v>317</v>
      </c>
      <c r="B300" s="116">
        <f>IF(TRIM(C300)="Test",COUNTIF($C$2:C300,"Test"),"")</f>
        <v>246</v>
      </c>
      <c r="C300" s="80" t="s">
        <v>25</v>
      </c>
      <c r="D300" s="76" t="s">
        <v>213</v>
      </c>
      <c r="E300" s="76" t="s">
        <v>27</v>
      </c>
      <c r="F300" s="87">
        <v>20260101</v>
      </c>
      <c r="G300" s="98" t="s">
        <v>214</v>
      </c>
      <c r="H300" s="76" t="s">
        <v>29</v>
      </c>
      <c r="I300" s="76" t="s">
        <v>30</v>
      </c>
      <c r="J300" s="76" t="s">
        <v>31</v>
      </c>
      <c r="K300" s="228" t="s">
        <v>32</v>
      </c>
      <c r="L300" s="118" t="s">
        <v>948</v>
      </c>
      <c r="M300" s="76" t="s">
        <v>963</v>
      </c>
      <c r="N300" s="103" t="s">
        <v>998</v>
      </c>
      <c r="O300" s="238"/>
      <c r="P300" s="78"/>
      <c r="Q300" s="231">
        <v>41.441000000000003</v>
      </c>
      <c r="R300" s="79" t="s">
        <v>999</v>
      </c>
      <c r="S300" s="79"/>
      <c r="T300" s="79"/>
      <c r="U300" s="79"/>
      <c r="V300" s="62" t="s">
        <v>38</v>
      </c>
    </row>
    <row r="301" spans="1:25" ht="15" customHeight="1">
      <c r="A301" s="122">
        <v>318</v>
      </c>
      <c r="B301" s="122" t="str">
        <f>IF(TRIM(C301)="Test",COUNTIF($C$2:C301,"Test"),"")</f>
        <v/>
      </c>
      <c r="C301" s="262" t="s">
        <v>829</v>
      </c>
      <c r="D301" s="93" t="s">
        <v>218</v>
      </c>
      <c r="E301" s="93"/>
      <c r="F301" s="94">
        <v>20260101</v>
      </c>
      <c r="G301" s="76" t="s">
        <v>219</v>
      </c>
      <c r="H301" s="76" t="s">
        <v>29</v>
      </c>
      <c r="I301" s="76" t="s">
        <v>30</v>
      </c>
      <c r="J301" s="76" t="s">
        <v>31</v>
      </c>
      <c r="K301" s="76" t="s">
        <v>32</v>
      </c>
      <c r="L301" s="274" t="s">
        <v>948</v>
      </c>
      <c r="M301" s="93" t="s">
        <v>963</v>
      </c>
      <c r="N301" s="263" t="s">
        <v>1000</v>
      </c>
      <c r="O301" s="77"/>
      <c r="P301" s="78"/>
      <c r="Q301" s="78">
        <v>43.856999999999999</v>
      </c>
      <c r="R301" s="264" t="s">
        <v>1001</v>
      </c>
      <c r="S301" s="264"/>
      <c r="T301" s="264"/>
      <c r="U301" s="264"/>
      <c r="V301" s="62" t="s">
        <v>38</v>
      </c>
    </row>
    <row r="302" spans="1:25" ht="15" customHeight="1">
      <c r="A302" s="116">
        <v>319</v>
      </c>
      <c r="B302" s="116" t="str">
        <f>IF(TRIM(C302)="Test",COUNTIF($C$2:C302,"Test"),"")</f>
        <v/>
      </c>
      <c r="C302" s="80" t="s">
        <v>829</v>
      </c>
      <c r="D302" s="76" t="s">
        <v>222</v>
      </c>
      <c r="E302" s="76"/>
      <c r="F302" s="87">
        <v>20260101</v>
      </c>
      <c r="G302" s="76" t="s">
        <v>223</v>
      </c>
      <c r="H302" s="76" t="s">
        <v>80</v>
      </c>
      <c r="I302" s="76" t="s">
        <v>81</v>
      </c>
      <c r="J302" s="76" t="s">
        <v>59</v>
      </c>
      <c r="K302" s="76" t="s">
        <v>32</v>
      </c>
      <c r="L302" s="118" t="s">
        <v>948</v>
      </c>
      <c r="M302" s="76" t="s">
        <v>956</v>
      </c>
      <c r="N302" s="103" t="s">
        <v>1002</v>
      </c>
      <c r="O302" s="77"/>
      <c r="P302" s="78"/>
      <c r="Q302" s="78">
        <v>28.186</v>
      </c>
      <c r="R302" s="79" t="s">
        <v>1003</v>
      </c>
      <c r="S302" s="79"/>
      <c r="T302" s="79"/>
      <c r="U302" s="79"/>
      <c r="V302" s="62" t="s">
        <v>38</v>
      </c>
    </row>
    <row r="303" spans="1:25" ht="15" customHeight="1">
      <c r="A303" s="242">
        <v>320</v>
      </c>
      <c r="B303" s="242" t="str">
        <f>IF(TRIM(C303)="Test",COUNTIF($C$2:C303,"Test"),"")</f>
        <v/>
      </c>
      <c r="C303" s="91" t="s">
        <v>829</v>
      </c>
      <c r="D303" s="243" t="s">
        <v>26</v>
      </c>
      <c r="E303" s="243"/>
      <c r="F303" s="244">
        <v>20260101</v>
      </c>
      <c r="G303" s="76" t="s">
        <v>28</v>
      </c>
      <c r="H303" s="76" t="s">
        <v>29</v>
      </c>
      <c r="I303" s="76" t="s">
        <v>30</v>
      </c>
      <c r="J303" s="76" t="s">
        <v>31</v>
      </c>
      <c r="K303" s="76" t="s">
        <v>32</v>
      </c>
      <c r="L303" s="250" t="s">
        <v>948</v>
      </c>
      <c r="M303" s="243" t="s">
        <v>963</v>
      </c>
      <c r="N303" s="165" t="s">
        <v>1004</v>
      </c>
      <c r="O303" s="77"/>
      <c r="P303" s="78"/>
      <c r="Q303" s="78">
        <v>40.863999999999997</v>
      </c>
      <c r="R303" s="166" t="s">
        <v>1005</v>
      </c>
      <c r="S303" s="166"/>
      <c r="T303" s="166"/>
      <c r="U303" s="166"/>
      <c r="V303" s="62" t="s">
        <v>38</v>
      </c>
    </row>
    <row r="304" spans="1:25" ht="15" customHeight="1">
      <c r="A304" s="116">
        <v>321</v>
      </c>
      <c r="B304" s="116">
        <f>IF(TRIM(C304)="Test",COUNTIF($C$2:C304,"Test"),"")</f>
        <v>247</v>
      </c>
      <c r="C304" s="80" t="s">
        <v>25</v>
      </c>
      <c r="D304" s="76" t="s">
        <v>39</v>
      </c>
      <c r="E304" s="76" t="s">
        <v>27</v>
      </c>
      <c r="F304" s="87">
        <v>20260101</v>
      </c>
      <c r="G304" s="98" t="s">
        <v>28</v>
      </c>
      <c r="H304" s="76" t="s">
        <v>29</v>
      </c>
      <c r="I304" s="76" t="s">
        <v>30</v>
      </c>
      <c r="J304" s="76" t="s">
        <v>31</v>
      </c>
      <c r="K304" s="228" t="s">
        <v>41</v>
      </c>
      <c r="L304" s="103" t="s">
        <v>1006</v>
      </c>
      <c r="M304" s="76" t="s">
        <v>1007</v>
      </c>
      <c r="N304" s="103" t="s">
        <v>1008</v>
      </c>
      <c r="O304" s="238"/>
      <c r="P304" s="78"/>
      <c r="Q304" s="231">
        <v>35.326999999999998</v>
      </c>
      <c r="R304" s="79" t="s">
        <v>1009</v>
      </c>
      <c r="S304" s="79"/>
      <c r="T304" s="79"/>
      <c r="U304" s="79"/>
      <c r="V304" s="62" t="s">
        <v>38</v>
      </c>
    </row>
    <row r="305" spans="1:23" ht="15" customHeight="1">
      <c r="A305" s="116">
        <v>322</v>
      </c>
      <c r="B305" s="116">
        <f>IF(TRIM(C305)="Test",COUNTIF($C$2:C305,"Test"),"")</f>
        <v>248</v>
      </c>
      <c r="C305" s="80" t="s">
        <v>25</v>
      </c>
      <c r="D305" s="76" t="s">
        <v>46</v>
      </c>
      <c r="E305" s="76" t="s">
        <v>27</v>
      </c>
      <c r="F305" s="87">
        <v>20260101</v>
      </c>
      <c r="G305" s="98" t="s">
        <v>47</v>
      </c>
      <c r="H305" s="76" t="s">
        <v>48</v>
      </c>
      <c r="I305" s="76" t="s">
        <v>49</v>
      </c>
      <c r="J305" s="76" t="s">
        <v>50</v>
      </c>
      <c r="K305" s="228" t="s">
        <v>32</v>
      </c>
      <c r="L305" s="103" t="s">
        <v>1010</v>
      </c>
      <c r="M305" s="76" t="s">
        <v>1011</v>
      </c>
      <c r="N305" s="103" t="s">
        <v>1012</v>
      </c>
      <c r="O305" s="238"/>
      <c r="P305" s="78"/>
      <c r="Q305" s="231">
        <v>39.493000000000002</v>
      </c>
      <c r="R305" s="79" t="s">
        <v>1013</v>
      </c>
      <c r="S305" s="79"/>
      <c r="T305" s="79"/>
      <c r="U305" s="79"/>
      <c r="V305" s="62" t="s">
        <v>38</v>
      </c>
    </row>
    <row r="306" spans="1:23" ht="15" customHeight="1">
      <c r="A306" s="116">
        <v>323</v>
      </c>
      <c r="B306" s="116">
        <f>IF(TRIM(C306)="Test",COUNTIF($C$2:C306,"Test"),"")</f>
        <v>249</v>
      </c>
      <c r="C306" s="80" t="s">
        <v>25</v>
      </c>
      <c r="D306" s="76" t="s">
        <v>56</v>
      </c>
      <c r="E306" s="76" t="s">
        <v>27</v>
      </c>
      <c r="F306" s="87">
        <v>20260101</v>
      </c>
      <c r="G306" s="98" t="s">
        <v>57</v>
      </c>
      <c r="H306" s="76" t="s">
        <v>29</v>
      </c>
      <c r="I306" s="76" t="s">
        <v>58</v>
      </c>
      <c r="J306" s="76" t="s">
        <v>59</v>
      </c>
      <c r="K306" s="228" t="s">
        <v>41</v>
      </c>
      <c r="L306" s="140" t="s">
        <v>1014</v>
      </c>
      <c r="M306" s="76"/>
      <c r="N306" s="140" t="s">
        <v>1015</v>
      </c>
      <c r="O306" s="238"/>
      <c r="P306" s="78"/>
      <c r="Q306" s="231">
        <v>26.605</v>
      </c>
      <c r="R306" s="144" t="s">
        <v>1016</v>
      </c>
      <c r="S306" s="144"/>
      <c r="T306" s="144"/>
      <c r="U306" s="144"/>
      <c r="V306" s="163" t="s">
        <v>1017</v>
      </c>
      <c r="W306" s="63" t="s">
        <v>1018</v>
      </c>
    </row>
    <row r="307" spans="1:23" ht="15" customHeight="1">
      <c r="A307" s="116">
        <v>324</v>
      </c>
      <c r="B307" s="116">
        <f>IF(TRIM(C307)="Test",COUNTIF($C$2:C307,"Test"),"")</f>
        <v>250</v>
      </c>
      <c r="C307" s="80" t="s">
        <v>25</v>
      </c>
      <c r="D307" s="76" t="s">
        <v>40</v>
      </c>
      <c r="E307" s="76" t="s">
        <v>27</v>
      </c>
      <c r="F307" s="87">
        <v>20260101</v>
      </c>
      <c r="G307" s="98" t="s">
        <v>62</v>
      </c>
      <c r="H307" s="76" t="s">
        <v>48</v>
      </c>
      <c r="I307" s="76" t="s">
        <v>49</v>
      </c>
      <c r="J307" s="76" t="s">
        <v>63</v>
      </c>
      <c r="K307" s="228" t="s">
        <v>32</v>
      </c>
      <c r="L307" s="103" t="s">
        <v>1019</v>
      </c>
      <c r="M307" s="76" t="s">
        <v>552</v>
      </c>
      <c r="N307" s="103" t="s">
        <v>1020</v>
      </c>
      <c r="O307" s="238"/>
      <c r="P307" s="78"/>
      <c r="Q307" s="231">
        <v>26.597000000000001</v>
      </c>
      <c r="R307" s="79" t="s">
        <v>1021</v>
      </c>
      <c r="S307" s="79"/>
      <c r="T307" s="79"/>
      <c r="U307" s="79"/>
      <c r="V307" s="62" t="s">
        <v>38</v>
      </c>
    </row>
    <row r="308" spans="1:23" ht="15" customHeight="1">
      <c r="A308" s="252">
        <v>325</v>
      </c>
      <c r="B308" s="252" t="str">
        <f>IF(TRIM(C308)="Test",COUNTIF($C$2:C308,"Test"),"")</f>
        <v/>
      </c>
      <c r="C308" s="253" t="s">
        <v>829</v>
      </c>
      <c r="D308" s="254" t="s">
        <v>70</v>
      </c>
      <c r="E308" s="254"/>
      <c r="F308" s="255">
        <v>20260101</v>
      </c>
      <c r="G308" s="76" t="s">
        <v>62</v>
      </c>
      <c r="H308" s="76" t="s">
        <v>48</v>
      </c>
      <c r="I308" s="76" t="s">
        <v>49</v>
      </c>
      <c r="J308" s="76" t="s">
        <v>63</v>
      </c>
      <c r="K308" s="76" t="s">
        <v>41</v>
      </c>
      <c r="L308" s="254" t="s">
        <v>1019</v>
      </c>
      <c r="M308" s="254"/>
      <c r="N308" s="261" t="s">
        <v>1022</v>
      </c>
      <c r="O308" s="77"/>
      <c r="P308" s="78"/>
      <c r="Q308" s="78">
        <v>35.084000000000003</v>
      </c>
      <c r="R308" s="258" t="s">
        <v>1023</v>
      </c>
      <c r="S308" s="258"/>
      <c r="T308" s="258"/>
      <c r="U308" s="258"/>
      <c r="V308" s="62" t="s">
        <v>38</v>
      </c>
    </row>
    <row r="309" spans="1:23" ht="15" customHeight="1">
      <c r="A309" s="116">
        <v>326</v>
      </c>
      <c r="B309" s="116">
        <f>IF(TRIM(C309)="Test",COUNTIF($C$2:C309,"Test"),"")</f>
        <v>251</v>
      </c>
      <c r="C309" s="80" t="s">
        <v>25</v>
      </c>
      <c r="D309" s="76" t="s">
        <v>95</v>
      </c>
      <c r="E309" s="76" t="s">
        <v>27</v>
      </c>
      <c r="F309" s="87">
        <v>20260101</v>
      </c>
      <c r="G309" s="98" t="s">
        <v>96</v>
      </c>
      <c r="H309" s="76" t="s">
        <v>48</v>
      </c>
      <c r="I309" s="76" t="s">
        <v>97</v>
      </c>
      <c r="J309" s="76" t="s">
        <v>98</v>
      </c>
      <c r="K309" s="228" t="s">
        <v>32</v>
      </c>
      <c r="L309" s="103" t="s">
        <v>1024</v>
      </c>
      <c r="M309" s="76"/>
      <c r="N309" s="102" t="s">
        <v>1025</v>
      </c>
      <c r="O309" s="238"/>
      <c r="P309" s="78"/>
      <c r="Q309" s="231">
        <v>12.715</v>
      </c>
      <c r="R309" s="79" t="s">
        <v>1026</v>
      </c>
      <c r="S309" s="79"/>
      <c r="T309" s="79"/>
      <c r="U309" s="79"/>
      <c r="V309" s="62" t="s">
        <v>38</v>
      </c>
    </row>
    <row r="310" spans="1:23" ht="15" customHeight="1">
      <c r="A310" s="277">
        <v>327</v>
      </c>
      <c r="B310" s="277">
        <f>IF(TRIM(C310)="Test",COUNTIF($C$2:C310,"Test"),"")</f>
        <v>252</v>
      </c>
      <c r="C310" s="277" t="s">
        <v>25</v>
      </c>
      <c r="D310" s="278" t="s">
        <v>153</v>
      </c>
      <c r="E310" s="93" t="s">
        <v>27</v>
      </c>
      <c r="F310" s="279">
        <v>20260101</v>
      </c>
      <c r="G310" s="95" t="s">
        <v>155</v>
      </c>
      <c r="H310" s="95" t="s">
        <v>29</v>
      </c>
      <c r="I310" s="95" t="s">
        <v>30</v>
      </c>
      <c r="J310" s="95" t="s">
        <v>31</v>
      </c>
      <c r="K310" s="95" t="s">
        <v>32</v>
      </c>
      <c r="L310" s="263" t="s">
        <v>1024</v>
      </c>
      <c r="M310" s="277" t="s">
        <v>472</v>
      </c>
      <c r="N310" s="280" t="s">
        <v>1027</v>
      </c>
      <c r="O310" s="123"/>
      <c r="P310" s="123"/>
      <c r="Q310" s="123">
        <v>43.158999999999999</v>
      </c>
      <c r="R310" s="280" t="s">
        <v>1028</v>
      </c>
      <c r="S310" s="280"/>
      <c r="T310" s="280"/>
      <c r="U310" s="280"/>
      <c r="V310" s="62" t="s">
        <v>38</v>
      </c>
    </row>
    <row r="311" spans="1:23" ht="15" customHeight="1">
      <c r="A311" s="107" t="s">
        <v>1029</v>
      </c>
      <c r="B311" s="107" t="s">
        <v>1030</v>
      </c>
      <c r="C311" s="80" t="s">
        <v>829</v>
      </c>
      <c r="D311" s="76" t="s">
        <v>205</v>
      </c>
      <c r="E311" s="76"/>
      <c r="F311" s="87">
        <v>20260101</v>
      </c>
      <c r="G311" s="76" t="s">
        <v>206</v>
      </c>
      <c r="H311" s="76" t="s">
        <v>207</v>
      </c>
      <c r="I311" s="76"/>
      <c r="J311" s="76" t="s">
        <v>208</v>
      </c>
      <c r="K311" s="76" t="s">
        <v>32</v>
      </c>
      <c r="L311" s="118" t="s">
        <v>870</v>
      </c>
      <c r="M311" s="76" t="s">
        <v>495</v>
      </c>
      <c r="N311" s="121" t="s">
        <v>871</v>
      </c>
      <c r="O311" s="77"/>
      <c r="P311" s="78"/>
      <c r="Q311" s="78">
        <v>27.501000000000001</v>
      </c>
      <c r="R311" s="79" t="s">
        <v>1031</v>
      </c>
      <c r="S311" s="79"/>
      <c r="T311" s="79"/>
      <c r="U311" s="79"/>
      <c r="V311" s="62" t="s">
        <v>38</v>
      </c>
    </row>
    <row r="312" spans="1:23" ht="15" customHeight="1">
      <c r="A312" s="107" t="s">
        <v>1032</v>
      </c>
      <c r="B312" s="107" t="s">
        <v>1033</v>
      </c>
      <c r="C312" s="80" t="s">
        <v>829</v>
      </c>
      <c r="D312" s="76" t="s">
        <v>213</v>
      </c>
      <c r="E312" s="76"/>
      <c r="F312" s="87">
        <v>20260101</v>
      </c>
      <c r="G312" s="76" t="s">
        <v>214</v>
      </c>
      <c r="H312" s="76" t="s">
        <v>29</v>
      </c>
      <c r="I312" s="76" t="s">
        <v>30</v>
      </c>
      <c r="J312" s="76" t="s">
        <v>31</v>
      </c>
      <c r="K312" s="76" t="s">
        <v>32</v>
      </c>
      <c r="L312" s="118" t="s">
        <v>870</v>
      </c>
      <c r="M312" s="76" t="s">
        <v>495</v>
      </c>
      <c r="N312" s="121" t="s">
        <v>1034</v>
      </c>
      <c r="O312" s="77"/>
      <c r="P312" s="78"/>
      <c r="Q312" s="78">
        <v>20.71</v>
      </c>
      <c r="R312" s="79" t="s">
        <v>1035</v>
      </c>
      <c r="S312" s="79"/>
      <c r="T312" s="79"/>
      <c r="U312" s="79"/>
      <c r="V312" s="62" t="s">
        <v>38</v>
      </c>
    </row>
    <row r="313" spans="1:23" ht="15" customHeight="1">
      <c r="A313" s="107" t="s">
        <v>1036</v>
      </c>
      <c r="B313" s="107" t="s">
        <v>1037</v>
      </c>
      <c r="C313" s="80" t="s">
        <v>829</v>
      </c>
      <c r="D313" s="76" t="s">
        <v>218</v>
      </c>
      <c r="E313" s="76"/>
      <c r="F313" s="87">
        <v>20260101</v>
      </c>
      <c r="G313" s="76" t="s">
        <v>219</v>
      </c>
      <c r="H313" s="76" t="s">
        <v>29</v>
      </c>
      <c r="I313" s="76" t="s">
        <v>30</v>
      </c>
      <c r="J313" s="76" t="s">
        <v>31</v>
      </c>
      <c r="K313" s="76" t="s">
        <v>32</v>
      </c>
      <c r="L313" s="118" t="s">
        <v>870</v>
      </c>
      <c r="M313" s="76" t="s">
        <v>452</v>
      </c>
      <c r="N313" s="121" t="s">
        <v>1038</v>
      </c>
      <c r="O313" s="77"/>
      <c r="P313" s="78"/>
      <c r="Q313" s="78">
        <v>41.673000000000002</v>
      </c>
      <c r="R313" s="79" t="s">
        <v>1039</v>
      </c>
      <c r="S313" s="79"/>
      <c r="T313" s="79"/>
      <c r="U313" s="79"/>
      <c r="V313" s="62" t="s">
        <v>38</v>
      </c>
    </row>
    <row r="314" spans="1:23" ht="15" customHeight="1">
      <c r="A314" s="107" t="s">
        <v>1040</v>
      </c>
      <c r="B314" s="107" t="s">
        <v>1041</v>
      </c>
      <c r="C314" s="80" t="s">
        <v>829</v>
      </c>
      <c r="D314" s="76" t="s">
        <v>222</v>
      </c>
      <c r="E314" s="76"/>
      <c r="F314" s="87">
        <v>20260101</v>
      </c>
      <c r="G314" s="76" t="s">
        <v>223</v>
      </c>
      <c r="H314" s="76" t="s">
        <v>80</v>
      </c>
      <c r="I314" s="76" t="s">
        <v>81</v>
      </c>
      <c r="J314" s="76" t="s">
        <v>59</v>
      </c>
      <c r="K314" s="76" t="s">
        <v>32</v>
      </c>
      <c r="L314" s="118" t="s">
        <v>870</v>
      </c>
      <c r="M314" s="76" t="s">
        <v>495</v>
      </c>
      <c r="N314" s="121" t="s">
        <v>1042</v>
      </c>
      <c r="O314" s="77"/>
      <c r="P314" s="78"/>
      <c r="Q314" s="78">
        <v>36.465000000000003</v>
      </c>
      <c r="R314" s="79" t="s">
        <v>1043</v>
      </c>
      <c r="S314" s="79"/>
      <c r="T314" s="79"/>
      <c r="U314" s="79"/>
      <c r="V314" s="62" t="s">
        <v>38</v>
      </c>
    </row>
    <row r="315" spans="1:23" ht="15" customHeight="1">
      <c r="A315" s="107" t="s">
        <v>1044</v>
      </c>
      <c r="B315" s="107" t="s">
        <v>1045</v>
      </c>
      <c r="C315" s="80" t="s">
        <v>829</v>
      </c>
      <c r="D315" s="76" t="s">
        <v>26</v>
      </c>
      <c r="E315" s="76"/>
      <c r="F315" s="87">
        <v>20260101</v>
      </c>
      <c r="G315" s="76" t="s">
        <v>28</v>
      </c>
      <c r="H315" s="76" t="s">
        <v>29</v>
      </c>
      <c r="I315" s="76" t="s">
        <v>30</v>
      </c>
      <c r="J315" s="76" t="s">
        <v>31</v>
      </c>
      <c r="K315" s="76" t="s">
        <v>32</v>
      </c>
      <c r="L315" s="118" t="s">
        <v>870</v>
      </c>
      <c r="M315" s="76" t="s">
        <v>495</v>
      </c>
      <c r="N315" s="121" t="s">
        <v>1046</v>
      </c>
      <c r="O315" s="77"/>
      <c r="P315" s="78"/>
      <c r="Q315" s="78">
        <v>27.995999999999999</v>
      </c>
      <c r="R315" s="79" t="s">
        <v>1047</v>
      </c>
      <c r="S315" s="79"/>
      <c r="T315" s="79"/>
      <c r="U315" s="79"/>
      <c r="V315" s="62" t="s">
        <v>38</v>
      </c>
    </row>
    <row r="316" spans="1:23" ht="15" customHeight="1">
      <c r="A316" s="107" t="s">
        <v>1048</v>
      </c>
      <c r="B316" s="107" t="s">
        <v>1049</v>
      </c>
      <c r="C316" s="80" t="s">
        <v>829</v>
      </c>
      <c r="D316" s="76" t="s">
        <v>40</v>
      </c>
      <c r="E316" s="76"/>
      <c r="F316" s="87">
        <v>20260101</v>
      </c>
      <c r="G316" s="76" t="s">
        <v>62</v>
      </c>
      <c r="H316" s="76" t="s">
        <v>48</v>
      </c>
      <c r="I316" s="76" t="s">
        <v>49</v>
      </c>
      <c r="J316" s="76" t="s">
        <v>63</v>
      </c>
      <c r="K316" s="76" t="s">
        <v>32</v>
      </c>
      <c r="L316" s="118" t="s">
        <v>870</v>
      </c>
      <c r="M316" s="76" t="s">
        <v>495</v>
      </c>
      <c r="N316" s="121" t="s">
        <v>1050</v>
      </c>
      <c r="O316" s="77"/>
      <c r="P316" s="78"/>
      <c r="Q316" s="78">
        <v>49.545999999999999</v>
      </c>
      <c r="R316" s="79" t="s">
        <v>1051</v>
      </c>
      <c r="S316" s="79"/>
      <c r="T316" s="79"/>
      <c r="U316" s="79"/>
      <c r="V316" s="62" t="s">
        <v>38</v>
      </c>
    </row>
    <row r="317" spans="1:23" ht="15" customHeight="1">
      <c r="A317" s="107" t="s">
        <v>1052</v>
      </c>
      <c r="B317" s="107" t="s">
        <v>1053</v>
      </c>
      <c r="C317" s="80" t="s">
        <v>829</v>
      </c>
      <c r="D317" s="76" t="s">
        <v>108</v>
      </c>
      <c r="E317" s="76"/>
      <c r="F317" s="87">
        <v>20260101</v>
      </c>
      <c r="G317" s="76" t="s">
        <v>109</v>
      </c>
      <c r="H317" s="76" t="s">
        <v>48</v>
      </c>
      <c r="I317" s="76" t="s">
        <v>81</v>
      </c>
      <c r="J317" s="76" t="s">
        <v>98</v>
      </c>
      <c r="K317" s="76" t="s">
        <v>32</v>
      </c>
      <c r="L317" s="105" t="s">
        <v>870</v>
      </c>
      <c r="M317" s="76" t="s">
        <v>495</v>
      </c>
      <c r="N317" s="121" t="s">
        <v>1054</v>
      </c>
      <c r="O317" s="77"/>
      <c r="P317" s="78"/>
      <c r="Q317" s="78">
        <v>54.036999999999999</v>
      </c>
      <c r="R317" s="79" t="s">
        <v>1055</v>
      </c>
      <c r="S317" s="79"/>
      <c r="T317" s="79"/>
      <c r="U317" s="79"/>
      <c r="V317" s="62" t="s">
        <v>38</v>
      </c>
    </row>
    <row r="318" spans="1:23" ht="15" customHeight="1">
      <c r="A318" s="107" t="s">
        <v>1056</v>
      </c>
      <c r="B318" s="168" t="str">
        <f>IF(TRIM(C318)="Test",COUNTIF($C$2:C318,"Test"),"")</f>
        <v/>
      </c>
      <c r="C318" s="80" t="s">
        <v>829</v>
      </c>
      <c r="D318" s="76" t="s">
        <v>118</v>
      </c>
      <c r="E318" s="76"/>
      <c r="F318" s="87">
        <v>20260101</v>
      </c>
      <c r="G318" s="76" t="s">
        <v>119</v>
      </c>
      <c r="H318" s="76" t="s">
        <v>29</v>
      </c>
      <c r="I318" s="76" t="s">
        <v>92</v>
      </c>
      <c r="J318" s="76" t="s">
        <v>31</v>
      </c>
      <c r="K318" s="76" t="s">
        <v>41</v>
      </c>
      <c r="L318" s="140" t="s">
        <v>870</v>
      </c>
      <c r="M318" s="76" t="s">
        <v>495</v>
      </c>
      <c r="N318" s="146" t="s">
        <v>1057</v>
      </c>
      <c r="O318" s="77"/>
      <c r="P318" s="78"/>
      <c r="Q318" s="78">
        <v>31.186</v>
      </c>
      <c r="R318" s="144" t="s">
        <v>1058</v>
      </c>
      <c r="S318" s="144"/>
      <c r="T318" s="144"/>
      <c r="U318" s="144"/>
      <c r="V318" s="133" t="s">
        <v>1059</v>
      </c>
      <c r="W318" s="63" t="s">
        <v>1060</v>
      </c>
    </row>
    <row r="319" spans="1:23" ht="15" customHeight="1">
      <c r="A319" s="107" t="s">
        <v>1061</v>
      </c>
      <c r="B319" s="107" t="s">
        <v>1062</v>
      </c>
      <c r="C319" s="80" t="s">
        <v>829</v>
      </c>
      <c r="D319" s="76" t="s">
        <v>128</v>
      </c>
      <c r="E319" s="76"/>
      <c r="F319" s="87">
        <v>20260101</v>
      </c>
      <c r="G319" s="76" t="s">
        <v>129</v>
      </c>
      <c r="H319" s="76" t="s">
        <v>48</v>
      </c>
      <c r="I319" s="76" t="s">
        <v>49</v>
      </c>
      <c r="J319" s="76" t="s">
        <v>63</v>
      </c>
      <c r="K319" s="76" t="s">
        <v>32</v>
      </c>
      <c r="L319" s="105" t="s">
        <v>870</v>
      </c>
      <c r="M319" s="76" t="s">
        <v>495</v>
      </c>
      <c r="N319" s="121" t="s">
        <v>1063</v>
      </c>
      <c r="O319" s="77"/>
      <c r="P319" s="78"/>
      <c r="Q319" s="78">
        <v>40.204999999999998</v>
      </c>
      <c r="R319" s="79" t="s">
        <v>1064</v>
      </c>
      <c r="S319" s="79"/>
      <c r="T319" s="79"/>
      <c r="U319" s="79"/>
      <c r="V319" s="62" t="s">
        <v>38</v>
      </c>
    </row>
    <row r="320" spans="1:23" ht="15" customHeight="1">
      <c r="A320" s="107" t="s">
        <v>1065</v>
      </c>
      <c r="B320" s="168" t="str">
        <f>IF(TRIM(C320)="Test",COUNTIF($C$2:C320,"Test"),"")</f>
        <v/>
      </c>
      <c r="C320" s="80" t="s">
        <v>829</v>
      </c>
      <c r="D320" s="76" t="s">
        <v>145</v>
      </c>
      <c r="E320" s="76"/>
      <c r="F320" s="87">
        <v>20260101</v>
      </c>
      <c r="G320" s="76" t="s">
        <v>146</v>
      </c>
      <c r="H320" s="76" t="s">
        <v>147</v>
      </c>
      <c r="I320" s="76" t="s">
        <v>148</v>
      </c>
      <c r="J320" s="76" t="s">
        <v>31</v>
      </c>
      <c r="K320" s="76"/>
      <c r="L320" s="140" t="s">
        <v>870</v>
      </c>
      <c r="M320" s="76" t="s">
        <v>495</v>
      </c>
      <c r="N320" s="146" t="s">
        <v>1066</v>
      </c>
      <c r="O320" s="77"/>
      <c r="P320" s="78"/>
      <c r="Q320" s="78">
        <v>21.785</v>
      </c>
      <c r="R320" s="144" t="s">
        <v>1067</v>
      </c>
      <c r="S320" s="144"/>
      <c r="T320" s="144"/>
      <c r="U320" s="144"/>
      <c r="V320" s="133" t="s">
        <v>1068</v>
      </c>
    </row>
    <row r="321" spans="1:23" ht="15" customHeight="1">
      <c r="A321" s="107" t="s">
        <v>1069</v>
      </c>
      <c r="B321" s="168" t="str">
        <f>IF(TRIM(C321)="Test",COUNTIF($C$2:C321,"Test"),"")</f>
        <v/>
      </c>
      <c r="C321" s="80" t="s">
        <v>829</v>
      </c>
      <c r="D321" s="76" t="s">
        <v>162</v>
      </c>
      <c r="E321" s="76"/>
      <c r="F321" s="87">
        <v>20260101</v>
      </c>
      <c r="G321" s="76" t="s">
        <v>163</v>
      </c>
      <c r="H321" s="76" t="s">
        <v>29</v>
      </c>
      <c r="I321" s="76" t="s">
        <v>164</v>
      </c>
      <c r="J321" s="76" t="s">
        <v>31</v>
      </c>
      <c r="K321" s="76" t="s">
        <v>32</v>
      </c>
      <c r="L321" s="140" t="s">
        <v>870</v>
      </c>
      <c r="M321" s="76" t="s">
        <v>495</v>
      </c>
      <c r="N321" s="146" t="s">
        <v>883</v>
      </c>
      <c r="O321" s="77"/>
      <c r="P321" s="78"/>
      <c r="Q321" s="78">
        <v>36.448999999999998</v>
      </c>
      <c r="R321" s="144" t="s">
        <v>1070</v>
      </c>
      <c r="S321" s="144"/>
      <c r="T321" s="144"/>
      <c r="U321" s="144"/>
      <c r="V321" s="133" t="s">
        <v>1071</v>
      </c>
      <c r="W321" s="63" t="s">
        <v>1072</v>
      </c>
    </row>
    <row r="322" spans="1:23" ht="15" customHeight="1">
      <c r="A322" s="107" t="s">
        <v>1073</v>
      </c>
      <c r="B322" s="107" t="s">
        <v>1074</v>
      </c>
      <c r="C322" s="80" t="s">
        <v>829</v>
      </c>
      <c r="D322" s="76" t="s">
        <v>171</v>
      </c>
      <c r="E322" s="76"/>
      <c r="F322" s="87">
        <v>20260101</v>
      </c>
      <c r="G322" s="76" t="s">
        <v>172</v>
      </c>
      <c r="H322" s="76" t="s">
        <v>48</v>
      </c>
      <c r="I322" s="76" t="s">
        <v>81</v>
      </c>
      <c r="J322" s="76" t="s">
        <v>98</v>
      </c>
      <c r="K322" s="76" t="s">
        <v>32</v>
      </c>
      <c r="L322" s="105" t="s">
        <v>870</v>
      </c>
      <c r="M322" s="76" t="s">
        <v>495</v>
      </c>
      <c r="N322" s="121" t="s">
        <v>1075</v>
      </c>
      <c r="O322" s="77"/>
      <c r="P322" s="78"/>
      <c r="Q322" s="78">
        <v>36.323</v>
      </c>
      <c r="R322" s="79" t="s">
        <v>1076</v>
      </c>
      <c r="S322" s="79"/>
      <c r="T322" s="79"/>
      <c r="U322" s="79"/>
      <c r="V322" s="62" t="s">
        <v>38</v>
      </c>
    </row>
    <row r="323" spans="1:23" ht="15" customHeight="1">
      <c r="A323" s="107" t="s">
        <v>1077</v>
      </c>
      <c r="B323" s="107" t="s">
        <v>1078</v>
      </c>
      <c r="C323" s="80" t="s">
        <v>829</v>
      </c>
      <c r="D323" s="76" t="s">
        <v>177</v>
      </c>
      <c r="E323" s="76"/>
      <c r="F323" s="87">
        <v>20260101</v>
      </c>
      <c r="G323" s="76" t="s">
        <v>178</v>
      </c>
      <c r="H323" s="76" t="s">
        <v>29</v>
      </c>
      <c r="I323" s="76" t="s">
        <v>30</v>
      </c>
      <c r="J323" s="76" t="s">
        <v>31</v>
      </c>
      <c r="K323" s="76" t="s">
        <v>32</v>
      </c>
      <c r="L323" s="105" t="s">
        <v>870</v>
      </c>
      <c r="M323" s="76" t="s">
        <v>495</v>
      </c>
      <c r="N323" s="121" t="s">
        <v>1079</v>
      </c>
      <c r="O323" s="77"/>
      <c r="P323" s="78"/>
      <c r="Q323" s="78">
        <v>32.686</v>
      </c>
      <c r="R323" s="79" t="s">
        <v>1080</v>
      </c>
      <c r="S323" s="79"/>
      <c r="T323" s="79"/>
      <c r="U323" s="79"/>
      <c r="V323" s="62" t="s">
        <v>38</v>
      </c>
    </row>
    <row r="324" spans="1:23" ht="15" customHeight="1">
      <c r="A324" s="107" t="s">
        <v>1081</v>
      </c>
      <c r="B324" s="168" t="str">
        <f>IF(TRIM(C324)="Test",COUNTIF($C$2:C324,"Test"),"")</f>
        <v/>
      </c>
      <c r="C324" s="80" t="s">
        <v>829</v>
      </c>
      <c r="D324" s="76" t="s">
        <v>184</v>
      </c>
      <c r="E324" s="76"/>
      <c r="F324" s="87">
        <v>20260101</v>
      </c>
      <c r="G324" s="76" t="s">
        <v>185</v>
      </c>
      <c r="H324" s="76" t="s">
        <v>29</v>
      </c>
      <c r="I324" s="76" t="s">
        <v>92</v>
      </c>
      <c r="J324" s="76" t="s">
        <v>31</v>
      </c>
      <c r="K324" s="76" t="s">
        <v>32</v>
      </c>
      <c r="L324" s="140" t="s">
        <v>870</v>
      </c>
      <c r="M324" s="76" t="s">
        <v>1082</v>
      </c>
      <c r="N324" s="146" t="s">
        <v>1083</v>
      </c>
      <c r="O324" s="77"/>
      <c r="P324" s="78"/>
      <c r="Q324" s="78">
        <v>36.704000000000001</v>
      </c>
      <c r="R324" s="144" t="s">
        <v>1084</v>
      </c>
      <c r="S324" s="144"/>
      <c r="T324" s="144"/>
      <c r="U324" s="144"/>
      <c r="V324" s="132" t="s">
        <v>1085</v>
      </c>
      <c r="W324" s="63" t="s">
        <v>1086</v>
      </c>
    </row>
    <row r="325" spans="1:23" ht="15" customHeight="1">
      <c r="A325" s="107" t="s">
        <v>1087</v>
      </c>
      <c r="B325" s="107" t="s">
        <v>1088</v>
      </c>
      <c r="C325" s="80" t="s">
        <v>829</v>
      </c>
      <c r="D325" s="76" t="s">
        <v>154</v>
      </c>
      <c r="E325" s="76"/>
      <c r="F325" s="87">
        <v>20260101</v>
      </c>
      <c r="G325" s="76" t="s">
        <v>190</v>
      </c>
      <c r="H325" s="76" t="s">
        <v>48</v>
      </c>
      <c r="I325" s="76" t="s">
        <v>49</v>
      </c>
      <c r="J325" s="76" t="s">
        <v>98</v>
      </c>
      <c r="K325" s="76" t="s">
        <v>41</v>
      </c>
      <c r="L325" s="105" t="s">
        <v>870</v>
      </c>
      <c r="M325" s="76" t="s">
        <v>495</v>
      </c>
      <c r="N325" s="121" t="s">
        <v>1089</v>
      </c>
      <c r="O325" s="77"/>
      <c r="P325" s="78"/>
      <c r="Q325" s="78">
        <v>31.582999999999998</v>
      </c>
      <c r="R325" s="79" t="s">
        <v>1090</v>
      </c>
      <c r="S325" s="79"/>
      <c r="T325" s="79"/>
      <c r="U325" s="79"/>
      <c r="V325" s="62" t="s">
        <v>38</v>
      </c>
    </row>
    <row r="326" spans="1:23" ht="15" customHeight="1">
      <c r="A326" s="107" t="s">
        <v>1091</v>
      </c>
      <c r="B326" s="107" t="s">
        <v>1092</v>
      </c>
      <c r="C326" s="80" t="s">
        <v>829</v>
      </c>
      <c r="D326" s="76" t="s">
        <v>222</v>
      </c>
      <c r="E326" s="76"/>
      <c r="F326" s="87">
        <v>20260101</v>
      </c>
      <c r="G326" s="76" t="s">
        <v>223</v>
      </c>
      <c r="H326" s="76" t="s">
        <v>80</v>
      </c>
      <c r="I326" s="76" t="s">
        <v>81</v>
      </c>
      <c r="J326" s="76" t="s">
        <v>59</v>
      </c>
      <c r="K326" s="76" t="s">
        <v>32</v>
      </c>
      <c r="L326" s="76" t="s">
        <v>912</v>
      </c>
      <c r="M326" s="76" t="s">
        <v>913</v>
      </c>
      <c r="N326" s="121" t="s">
        <v>1093</v>
      </c>
      <c r="O326" s="77"/>
      <c r="P326" s="78"/>
      <c r="Q326" s="78">
        <v>21.4</v>
      </c>
      <c r="R326" s="79" t="s">
        <v>1094</v>
      </c>
      <c r="S326" s="79"/>
      <c r="T326" s="79"/>
      <c r="U326" s="79"/>
      <c r="V326" s="62" t="s">
        <v>38</v>
      </c>
    </row>
    <row r="327" spans="1:23" ht="15" customHeight="1">
      <c r="A327" s="107" t="s">
        <v>1095</v>
      </c>
      <c r="B327" s="107" t="s">
        <v>1096</v>
      </c>
      <c r="C327" s="80" t="s">
        <v>829</v>
      </c>
      <c r="D327" s="76" t="s">
        <v>90</v>
      </c>
      <c r="E327" s="76"/>
      <c r="F327" s="87">
        <v>20260101</v>
      </c>
      <c r="G327" s="76" t="s">
        <v>91</v>
      </c>
      <c r="H327" s="76" t="s">
        <v>29</v>
      </c>
      <c r="I327" s="76" t="s">
        <v>92</v>
      </c>
      <c r="J327" s="76" t="s">
        <v>59</v>
      </c>
      <c r="K327" s="76" t="s">
        <v>32</v>
      </c>
      <c r="L327" s="118" t="s">
        <v>912</v>
      </c>
      <c r="M327" s="76" t="s">
        <v>913</v>
      </c>
      <c r="N327" s="103" t="s">
        <v>1097</v>
      </c>
      <c r="O327" s="77"/>
      <c r="P327" s="78"/>
      <c r="Q327" s="78">
        <v>25.065000000000001</v>
      </c>
      <c r="R327" s="79" t="s">
        <v>1098</v>
      </c>
      <c r="S327" s="79"/>
      <c r="T327" s="79"/>
      <c r="U327" s="79"/>
      <c r="V327" s="85" t="s">
        <v>38</v>
      </c>
      <c r="W327" s="85"/>
    </row>
    <row r="328" spans="1:23" ht="15" customHeight="1">
      <c r="A328" s="107" t="s">
        <v>1099</v>
      </c>
      <c r="B328" s="107" t="s">
        <v>1100</v>
      </c>
      <c r="C328" s="80" t="s">
        <v>829</v>
      </c>
      <c r="D328" s="76" t="s">
        <v>95</v>
      </c>
      <c r="E328" s="76"/>
      <c r="F328" s="87">
        <v>20260101</v>
      </c>
      <c r="G328" s="76" t="s">
        <v>96</v>
      </c>
      <c r="H328" s="76" t="s">
        <v>48</v>
      </c>
      <c r="I328" s="76" t="s">
        <v>97</v>
      </c>
      <c r="J328" s="76" t="s">
        <v>98</v>
      </c>
      <c r="K328" s="76" t="s">
        <v>32</v>
      </c>
      <c r="L328" s="139" t="s">
        <v>912</v>
      </c>
      <c r="M328" s="76" t="s">
        <v>913</v>
      </c>
      <c r="N328" s="140" t="s">
        <v>1101</v>
      </c>
      <c r="O328" s="77"/>
      <c r="P328" s="78"/>
      <c r="Q328" s="78">
        <v>38.600999999999999</v>
      </c>
      <c r="R328" s="144" t="s">
        <v>1102</v>
      </c>
      <c r="S328" s="144"/>
      <c r="T328" s="144"/>
      <c r="U328" s="144"/>
      <c r="V328" s="143" t="s">
        <v>259</v>
      </c>
      <c r="W328" s="63" t="s">
        <v>260</v>
      </c>
    </row>
    <row r="329" spans="1:23" ht="15" customHeight="1">
      <c r="A329" s="124"/>
      <c r="B329" s="124" t="str">
        <f>IF(TRIM(C329)="Test",COUNTIF($C$2:C329,"Test"),"")</f>
        <v/>
      </c>
      <c r="C329" s="85"/>
      <c r="D329" s="81"/>
      <c r="E329" s="81"/>
      <c r="F329" s="97"/>
      <c r="G329" s="81"/>
      <c r="H329" s="81"/>
      <c r="I329" s="81"/>
      <c r="J329" s="81"/>
      <c r="K329" s="81"/>
      <c r="L329" s="86"/>
      <c r="M329" s="86"/>
      <c r="N329" s="108"/>
      <c r="O329" s="82"/>
      <c r="P329" s="83"/>
      <c r="Q329" s="83"/>
      <c r="R329" s="84"/>
      <c r="S329" s="84"/>
      <c r="T329" s="84"/>
      <c r="U329" s="84"/>
    </row>
    <row r="330" spans="1:23" ht="15" customHeight="1">
      <c r="A330" s="124"/>
      <c r="B330" s="124" t="str">
        <f>IF(TRIM(C330)="Test",COUNTIF($C$2:C330,"Test"),"")</f>
        <v/>
      </c>
      <c r="C330" s="85"/>
      <c r="D330" s="81"/>
      <c r="E330" s="81"/>
      <c r="F330" s="97"/>
      <c r="G330" s="81"/>
      <c r="H330" s="81"/>
      <c r="I330" s="81"/>
      <c r="J330" s="81"/>
      <c r="K330" s="81"/>
      <c r="L330" s="86"/>
      <c r="M330" s="86"/>
      <c r="O330" s="82"/>
      <c r="P330" s="83"/>
      <c r="Q330" s="83"/>
      <c r="R330" s="84"/>
      <c r="S330" s="84"/>
      <c r="T330" s="84"/>
      <c r="U330" s="84"/>
    </row>
    <row r="331" spans="1:23" ht="15" customHeight="1">
      <c r="A331" s="124"/>
      <c r="B331" s="124" t="str">
        <f>IF(TRIM(C331)="Test",COUNTIF($C$2:C331,"Test"),"")</f>
        <v/>
      </c>
      <c r="C331" s="108"/>
      <c r="D331" s="81"/>
      <c r="E331" s="81"/>
      <c r="F331" s="97"/>
      <c r="G331" s="81"/>
      <c r="H331" s="81"/>
      <c r="I331" s="81"/>
      <c r="J331" s="81"/>
      <c r="K331" s="81"/>
      <c r="L331" s="86"/>
      <c r="M331" s="86"/>
      <c r="N331" s="104"/>
      <c r="O331" s="82"/>
      <c r="P331" s="83"/>
      <c r="Q331" s="83"/>
      <c r="R331" s="84"/>
      <c r="S331" s="84"/>
      <c r="T331" s="84"/>
      <c r="U331" s="84"/>
    </row>
    <row r="332" spans="1:23" ht="15" customHeight="1">
      <c r="A332" s="124"/>
      <c r="B332" s="124" t="str">
        <f>IF(TRIM(C332)="Test",COUNTIF($C$2:C332,"Test"),"")</f>
        <v/>
      </c>
      <c r="C332" s="85"/>
      <c r="D332" s="81"/>
      <c r="E332" s="81"/>
      <c r="F332" s="97"/>
      <c r="G332" s="81"/>
      <c r="H332" s="81"/>
      <c r="I332" s="81"/>
      <c r="J332" s="81"/>
      <c r="K332" s="81"/>
      <c r="L332" s="86"/>
      <c r="M332" s="86"/>
      <c r="N332" s="103"/>
      <c r="O332" s="82"/>
      <c r="P332" s="83"/>
      <c r="Q332" s="83"/>
      <c r="R332" s="84"/>
      <c r="S332" s="84"/>
      <c r="T332" s="84"/>
      <c r="U332" s="84"/>
    </row>
    <row r="333" spans="1:23" ht="15" customHeight="1">
      <c r="A333" s="124"/>
      <c r="B333" s="124" t="str">
        <f>IF(TRIM(C333)="Test",COUNTIF($C$2:C333,"Test"),"")</f>
        <v/>
      </c>
      <c r="C333" s="85"/>
      <c r="D333" s="81"/>
      <c r="E333" s="81"/>
      <c r="F333" s="97"/>
      <c r="G333" s="81"/>
      <c r="H333" s="81"/>
      <c r="I333" s="81"/>
      <c r="J333" s="81"/>
      <c r="K333" s="81"/>
      <c r="L333" s="86"/>
      <c r="M333" s="86"/>
      <c r="N333" s="103"/>
      <c r="O333" s="82"/>
      <c r="P333" s="83"/>
      <c r="Q333" s="83"/>
      <c r="R333" s="84"/>
      <c r="S333" s="84"/>
      <c r="T333" s="84"/>
      <c r="U333" s="84"/>
    </row>
    <row r="334" spans="1:23" ht="15" customHeight="1">
      <c r="A334" s="124"/>
      <c r="B334" s="124"/>
      <c r="C334" s="85"/>
      <c r="D334" s="81"/>
      <c r="E334" s="81"/>
      <c r="F334" s="97"/>
      <c r="G334" s="81"/>
      <c r="H334" s="81"/>
      <c r="I334" s="81"/>
      <c r="J334" s="81"/>
      <c r="K334" s="81"/>
      <c r="L334" s="86"/>
      <c r="M334" s="86"/>
      <c r="N334" s="108"/>
      <c r="O334" s="82"/>
      <c r="P334" s="83"/>
      <c r="Q334" s="83"/>
      <c r="R334" s="84"/>
      <c r="S334" s="84"/>
      <c r="T334" s="84"/>
      <c r="U334" s="84"/>
    </row>
    <row r="335" spans="1:23" ht="15" customHeight="1">
      <c r="A335" s="124"/>
      <c r="B335" s="124"/>
      <c r="C335" s="85"/>
      <c r="D335" s="81"/>
      <c r="E335" s="81"/>
      <c r="F335" s="97"/>
      <c r="G335" s="81"/>
      <c r="H335" s="81"/>
      <c r="I335" s="81"/>
      <c r="J335" s="81"/>
      <c r="K335" s="81"/>
      <c r="L335" s="86"/>
      <c r="M335" s="86"/>
      <c r="N335" s="108"/>
      <c r="O335" s="82"/>
      <c r="P335" s="83"/>
      <c r="Q335" s="83"/>
      <c r="R335" s="84"/>
      <c r="S335" s="84"/>
      <c r="T335" s="84"/>
      <c r="U335" s="84"/>
    </row>
    <row r="336" spans="1:23" ht="15" customHeight="1">
      <c r="A336" s="124"/>
      <c r="B336" s="124"/>
      <c r="C336" s="85"/>
      <c r="D336" s="81"/>
      <c r="E336" s="81"/>
      <c r="F336" s="97"/>
      <c r="G336" s="81"/>
      <c r="H336" s="81"/>
      <c r="I336" s="81"/>
      <c r="J336" s="81"/>
      <c r="K336" s="81"/>
      <c r="L336" s="86"/>
      <c r="M336" s="86"/>
      <c r="N336" s="108"/>
      <c r="O336" s="82"/>
      <c r="P336" s="83"/>
      <c r="Q336" s="83"/>
      <c r="R336" s="84"/>
      <c r="S336" s="84"/>
      <c r="T336" s="84"/>
      <c r="U336" s="84"/>
    </row>
    <row r="337" spans="1:21" ht="15" customHeight="1">
      <c r="A337" s="124"/>
      <c r="B337" s="124"/>
      <c r="C337" s="85"/>
      <c r="D337" s="81"/>
      <c r="E337" s="81"/>
      <c r="F337" s="97"/>
      <c r="G337" s="81"/>
      <c r="H337" s="81"/>
      <c r="I337" s="81"/>
      <c r="J337" s="81"/>
      <c r="K337" s="81"/>
      <c r="L337" s="86"/>
      <c r="M337" s="86"/>
      <c r="N337" s="108"/>
      <c r="O337" s="82"/>
      <c r="P337" s="83"/>
      <c r="Q337" s="83"/>
      <c r="R337" s="84"/>
      <c r="S337" s="84"/>
      <c r="T337" s="84"/>
      <c r="U337" s="84"/>
    </row>
    <row r="338" spans="1:21" ht="15" customHeight="1">
      <c r="A338" s="124"/>
      <c r="B338" s="124"/>
      <c r="C338" s="85"/>
      <c r="D338" s="81"/>
      <c r="E338" s="81"/>
      <c r="F338" s="97"/>
      <c r="G338" s="81"/>
      <c r="H338" s="81"/>
      <c r="I338" s="81"/>
      <c r="J338" s="81"/>
      <c r="K338" s="81"/>
      <c r="L338" s="86"/>
      <c r="M338" s="86"/>
      <c r="N338" s="108"/>
      <c r="O338" s="82"/>
      <c r="P338" s="83"/>
      <c r="Q338" s="83"/>
      <c r="R338" s="84"/>
      <c r="S338" s="84"/>
      <c r="T338" s="84"/>
      <c r="U338" s="84"/>
    </row>
    <row r="339" spans="1:21" ht="15" customHeight="1">
      <c r="A339" s="124"/>
      <c r="B339" s="124"/>
      <c r="C339" s="85"/>
      <c r="D339" s="81"/>
      <c r="E339" s="81"/>
      <c r="F339" s="97"/>
      <c r="G339" s="81"/>
      <c r="H339" s="81"/>
      <c r="I339" s="81"/>
      <c r="J339" s="81"/>
      <c r="K339" s="81"/>
      <c r="L339" s="86"/>
      <c r="M339" s="86"/>
      <c r="N339" s="108"/>
      <c r="O339" s="82"/>
      <c r="P339" s="83"/>
      <c r="Q339" s="83"/>
      <c r="R339" s="84"/>
      <c r="S339" s="84"/>
      <c r="T339" s="84"/>
      <c r="U339" s="84"/>
    </row>
    <row r="340" spans="1:21" ht="15" customHeight="1">
      <c r="A340" s="124"/>
      <c r="B340" s="124"/>
      <c r="C340" s="85"/>
      <c r="D340" s="81"/>
      <c r="E340" s="81"/>
      <c r="F340" s="97"/>
      <c r="G340" s="81"/>
      <c r="H340" s="81"/>
      <c r="I340" s="81"/>
      <c r="J340" s="81"/>
      <c r="K340" s="81"/>
      <c r="L340" s="86"/>
      <c r="M340" s="86"/>
      <c r="N340" s="108"/>
      <c r="O340" s="82"/>
      <c r="P340" s="83"/>
      <c r="Q340" s="83"/>
      <c r="R340" s="84"/>
      <c r="S340" s="84"/>
      <c r="T340" s="84"/>
      <c r="U340" s="84"/>
    </row>
    <row r="341" spans="1:21" ht="15" customHeight="1">
      <c r="A341" s="124"/>
      <c r="B341" s="124"/>
      <c r="C341" s="85"/>
      <c r="D341" s="81"/>
      <c r="E341" s="81"/>
      <c r="F341" s="97"/>
      <c r="G341" s="81"/>
      <c r="H341" s="81"/>
      <c r="I341" s="81"/>
      <c r="J341" s="81"/>
      <c r="K341" s="81"/>
      <c r="L341" s="86"/>
      <c r="M341" s="86"/>
      <c r="N341" s="108"/>
      <c r="O341" s="82"/>
      <c r="P341" s="83"/>
      <c r="Q341" s="83"/>
      <c r="R341" s="84"/>
      <c r="S341" s="84"/>
      <c r="T341" s="84"/>
      <c r="U341" s="84"/>
    </row>
    <row r="342" spans="1:21" ht="15" customHeight="1">
      <c r="A342" s="124"/>
      <c r="B342" s="124"/>
      <c r="C342" s="85"/>
      <c r="D342" s="81"/>
      <c r="E342" s="81"/>
      <c r="F342" s="97"/>
      <c r="G342" s="81"/>
      <c r="H342" s="81"/>
      <c r="I342" s="81"/>
      <c r="J342" s="81"/>
      <c r="K342" s="81"/>
      <c r="L342" s="86"/>
      <c r="M342" s="86"/>
      <c r="N342" s="108"/>
      <c r="O342" s="82"/>
      <c r="P342" s="83"/>
      <c r="Q342" s="83"/>
      <c r="R342" s="84"/>
      <c r="S342" s="84"/>
      <c r="T342" s="84"/>
      <c r="U342" s="84"/>
    </row>
    <row r="343" spans="1:21" ht="15" customHeight="1">
      <c r="A343" s="124"/>
      <c r="B343" s="124"/>
      <c r="C343" s="85"/>
      <c r="D343" s="81"/>
      <c r="E343" s="81"/>
      <c r="F343" s="97"/>
      <c r="G343" s="81"/>
      <c r="H343" s="81"/>
      <c r="I343" s="81"/>
      <c r="J343" s="81"/>
      <c r="K343" s="81"/>
      <c r="L343" s="86"/>
      <c r="M343" s="86"/>
      <c r="N343" s="108"/>
      <c r="O343" s="82"/>
      <c r="P343" s="83"/>
      <c r="Q343" s="83"/>
      <c r="R343" s="84"/>
      <c r="S343" s="84"/>
      <c r="T343" s="84"/>
      <c r="U343" s="84"/>
    </row>
    <row r="344" spans="1:21" ht="15" customHeight="1">
      <c r="A344" s="124"/>
      <c r="B344" s="124"/>
      <c r="C344" s="85"/>
      <c r="D344" s="81"/>
      <c r="E344" s="81"/>
      <c r="F344" s="97"/>
      <c r="G344" s="81"/>
      <c r="H344" s="81"/>
      <c r="I344" s="81"/>
      <c r="J344" s="81"/>
      <c r="K344" s="81"/>
      <c r="L344" s="86"/>
      <c r="M344" s="86"/>
      <c r="N344" s="108"/>
      <c r="O344" s="82"/>
      <c r="P344" s="83"/>
      <c r="Q344" s="83"/>
      <c r="R344" s="84"/>
      <c r="S344" s="84"/>
      <c r="T344" s="84"/>
      <c r="U344" s="84"/>
    </row>
    <row r="345" spans="1:21" ht="15" customHeight="1">
      <c r="A345" s="124"/>
      <c r="B345" s="124"/>
      <c r="C345" s="85"/>
      <c r="D345" s="81"/>
      <c r="E345" s="81"/>
      <c r="F345" s="97"/>
      <c r="G345" s="81"/>
      <c r="H345" s="81"/>
      <c r="I345" s="81"/>
      <c r="J345" s="81"/>
      <c r="K345" s="81"/>
      <c r="L345" s="86"/>
      <c r="M345" s="86"/>
      <c r="N345" s="108"/>
      <c r="O345" s="82"/>
      <c r="P345" s="83"/>
      <c r="Q345" s="83"/>
      <c r="R345" s="84"/>
      <c r="S345" s="84"/>
      <c r="T345" s="84"/>
      <c r="U345" s="84"/>
    </row>
    <row r="346" spans="1:21" ht="15" customHeight="1">
      <c r="A346" s="124"/>
      <c r="B346" s="124"/>
      <c r="C346" s="85"/>
      <c r="D346" s="81"/>
      <c r="E346" s="81"/>
      <c r="F346" s="97"/>
      <c r="G346" s="81"/>
      <c r="H346" s="81"/>
      <c r="I346" s="81"/>
      <c r="J346" s="81"/>
      <c r="K346" s="81"/>
      <c r="L346" s="86"/>
      <c r="M346" s="86"/>
      <c r="N346" s="108"/>
      <c r="O346" s="82"/>
      <c r="P346" s="83"/>
      <c r="Q346" s="83"/>
      <c r="R346" s="84"/>
      <c r="S346" s="84"/>
      <c r="T346" s="84"/>
      <c r="U346" s="84"/>
    </row>
    <row r="347" spans="1:21" ht="15" customHeight="1">
      <c r="A347" s="124"/>
      <c r="B347" s="124"/>
      <c r="C347" s="85"/>
      <c r="D347" s="81"/>
      <c r="E347" s="81"/>
      <c r="F347" s="97"/>
      <c r="G347" s="81"/>
      <c r="H347" s="81"/>
      <c r="I347" s="81"/>
      <c r="J347" s="81"/>
      <c r="K347" s="81"/>
      <c r="L347" s="86"/>
      <c r="M347" s="86"/>
      <c r="N347" s="108"/>
      <c r="O347" s="82"/>
      <c r="P347" s="83"/>
      <c r="Q347" s="83"/>
      <c r="R347" s="84"/>
      <c r="S347" s="84"/>
      <c r="T347" s="84"/>
      <c r="U347" s="84"/>
    </row>
    <row r="348" spans="1:21" ht="15" customHeight="1">
      <c r="A348" s="124"/>
      <c r="B348" s="124"/>
      <c r="C348" s="85"/>
      <c r="D348" s="81"/>
      <c r="E348" s="81"/>
      <c r="F348" s="97"/>
      <c r="G348" s="81"/>
      <c r="H348" s="81"/>
      <c r="I348" s="81"/>
      <c r="J348" s="81"/>
      <c r="K348" s="81"/>
      <c r="L348" s="86"/>
      <c r="M348" s="86"/>
      <c r="N348" s="108"/>
      <c r="O348" s="82"/>
      <c r="P348" s="83"/>
      <c r="Q348" s="83"/>
      <c r="R348" s="84"/>
      <c r="S348" s="84"/>
      <c r="T348" s="84"/>
      <c r="U348" s="84"/>
    </row>
    <row r="349" spans="1:21" ht="15" customHeight="1">
      <c r="A349" s="124"/>
      <c r="B349" s="124"/>
      <c r="C349" s="85"/>
      <c r="D349" s="81"/>
      <c r="E349" s="81"/>
      <c r="F349" s="97"/>
      <c r="G349" s="81"/>
      <c r="H349" s="81"/>
      <c r="I349" s="81"/>
      <c r="J349" s="81"/>
      <c r="K349" s="81"/>
      <c r="L349" s="86"/>
      <c r="M349" s="86"/>
      <c r="N349" s="108"/>
      <c r="O349" s="82"/>
      <c r="P349" s="83"/>
      <c r="Q349" s="83"/>
      <c r="R349" s="84"/>
      <c r="S349" s="84"/>
      <c r="T349" s="84"/>
      <c r="U349" s="84"/>
    </row>
    <row r="350" spans="1:21" ht="15" customHeight="1">
      <c r="A350" s="124"/>
      <c r="B350" s="124"/>
      <c r="C350" s="85"/>
      <c r="D350" s="81"/>
      <c r="E350" s="81"/>
      <c r="F350" s="97"/>
      <c r="G350" s="81"/>
      <c r="H350" s="81"/>
      <c r="I350" s="81"/>
      <c r="J350" s="81"/>
      <c r="K350" s="81"/>
      <c r="L350" s="86"/>
      <c r="M350" s="86"/>
      <c r="N350" s="108"/>
      <c r="O350" s="82"/>
      <c r="P350" s="83"/>
      <c r="Q350" s="83"/>
      <c r="R350" s="84"/>
      <c r="S350" s="84"/>
      <c r="T350" s="84"/>
      <c r="U350" s="84"/>
    </row>
    <row r="351" spans="1:21" ht="15" customHeight="1">
      <c r="A351" s="124"/>
      <c r="B351" s="124"/>
      <c r="C351" s="85"/>
      <c r="D351" s="81"/>
      <c r="E351" s="81"/>
      <c r="F351" s="97"/>
      <c r="G351" s="81"/>
      <c r="H351" s="81"/>
      <c r="I351" s="81"/>
      <c r="J351" s="81"/>
      <c r="K351" s="81"/>
      <c r="L351" s="86"/>
      <c r="M351" s="86"/>
      <c r="N351" s="108"/>
      <c r="O351" s="82"/>
      <c r="P351" s="83"/>
      <c r="Q351" s="83"/>
      <c r="R351" s="84"/>
      <c r="S351" s="84"/>
      <c r="T351" s="84"/>
      <c r="U351" s="84"/>
    </row>
    <row r="352" spans="1:21" ht="15" customHeight="1">
      <c r="A352" s="124"/>
      <c r="B352" s="124"/>
      <c r="C352" s="85"/>
      <c r="D352" s="81"/>
      <c r="E352" s="81"/>
      <c r="F352" s="97"/>
      <c r="G352" s="81"/>
      <c r="H352" s="81"/>
      <c r="I352" s="81"/>
      <c r="J352" s="81"/>
      <c r="K352" s="81"/>
      <c r="L352" s="86"/>
      <c r="M352" s="86"/>
      <c r="N352" s="108"/>
      <c r="O352" s="82"/>
      <c r="P352" s="83"/>
      <c r="Q352" s="83"/>
      <c r="R352" s="84"/>
      <c r="S352" s="84"/>
      <c r="T352" s="84"/>
      <c r="U352" s="84"/>
    </row>
    <row r="353" spans="1:21" ht="15" customHeight="1">
      <c r="A353" s="124"/>
      <c r="B353" s="124"/>
      <c r="C353" s="85"/>
      <c r="D353" s="81"/>
      <c r="E353" s="81"/>
      <c r="F353" s="97"/>
      <c r="G353" s="81"/>
      <c r="H353" s="81"/>
      <c r="I353" s="81"/>
      <c r="J353" s="81"/>
      <c r="K353" s="81"/>
      <c r="L353" s="86"/>
      <c r="M353" s="86"/>
      <c r="N353" s="108"/>
      <c r="O353" s="82"/>
      <c r="P353" s="83"/>
      <c r="Q353" s="83"/>
      <c r="R353" s="84"/>
      <c r="S353" s="84"/>
      <c r="T353" s="84"/>
      <c r="U353" s="84"/>
    </row>
    <row r="354" spans="1:21" ht="15" customHeight="1">
      <c r="A354" s="125"/>
      <c r="B354" s="125"/>
      <c r="C354" s="125"/>
      <c r="D354" s="81"/>
      <c r="E354" s="81"/>
      <c r="F354" s="97"/>
      <c r="G354" s="81"/>
      <c r="H354" s="81"/>
      <c r="I354" s="81"/>
      <c r="J354" s="81"/>
      <c r="K354" s="81"/>
      <c r="L354" s="155"/>
      <c r="M354" s="155"/>
      <c r="N354" s="109"/>
      <c r="O354" s="126"/>
      <c r="P354" s="126"/>
      <c r="Q354" s="126"/>
      <c r="R354" s="127"/>
      <c r="S354" s="127"/>
      <c r="T354" s="127"/>
      <c r="U354" s="127"/>
    </row>
    <row r="355" spans="1:21" ht="15" customHeight="1">
      <c r="A355" s="125"/>
      <c r="B355" s="125"/>
      <c r="C355" s="125"/>
      <c r="D355" s="81"/>
      <c r="E355" s="81"/>
      <c r="F355" s="97"/>
      <c r="G355" s="81"/>
      <c r="H355" s="81"/>
      <c r="I355" s="81"/>
      <c r="J355" s="81"/>
      <c r="K355" s="81"/>
      <c r="L355" s="155"/>
      <c r="M355" s="155"/>
      <c r="N355" s="109"/>
      <c r="O355" s="126"/>
      <c r="P355" s="126"/>
      <c r="Q355" s="126"/>
      <c r="R355" s="127"/>
      <c r="S355" s="127"/>
      <c r="T355" s="127"/>
      <c r="U355" s="127"/>
    </row>
    <row r="356" spans="1:21" ht="15" customHeight="1">
      <c r="A356" s="125"/>
      <c r="B356" s="125"/>
      <c r="C356" s="125"/>
      <c r="D356" s="81"/>
      <c r="E356" s="81"/>
      <c r="F356" s="97"/>
      <c r="G356" s="81"/>
      <c r="H356" s="81"/>
      <c r="I356" s="81"/>
      <c r="J356" s="81"/>
      <c r="K356" s="81"/>
      <c r="L356" s="155"/>
      <c r="M356" s="155"/>
      <c r="N356" s="109"/>
      <c r="O356" s="126"/>
      <c r="P356" s="126"/>
      <c r="Q356" s="126"/>
      <c r="R356" s="127"/>
      <c r="S356" s="127"/>
      <c r="T356" s="127"/>
      <c r="U356" s="127"/>
    </row>
    <row r="357" spans="1:21" ht="15" customHeight="1">
      <c r="A357" s="125"/>
      <c r="B357" s="125"/>
      <c r="C357" s="125"/>
      <c r="D357" s="81"/>
      <c r="E357" s="81"/>
      <c r="F357" s="97"/>
      <c r="G357" s="81"/>
      <c r="H357" s="81"/>
      <c r="I357" s="81"/>
      <c r="J357" s="81"/>
      <c r="K357" s="81"/>
      <c r="L357" s="155"/>
      <c r="M357" s="155"/>
      <c r="N357" s="109"/>
      <c r="O357" s="126"/>
      <c r="P357" s="126"/>
      <c r="Q357" s="126"/>
      <c r="R357" s="127"/>
      <c r="S357" s="127"/>
      <c r="T357" s="127"/>
      <c r="U357" s="127"/>
    </row>
    <row r="358" spans="1:21" ht="15" customHeight="1">
      <c r="A358" s="125"/>
      <c r="B358" s="125"/>
      <c r="C358" s="125"/>
      <c r="D358" s="81"/>
      <c r="E358" s="81"/>
      <c r="F358" s="97"/>
      <c r="G358" s="81"/>
      <c r="H358" s="81"/>
      <c r="I358" s="81"/>
      <c r="J358" s="81"/>
      <c r="K358" s="81"/>
      <c r="L358" s="155"/>
      <c r="M358" s="155"/>
      <c r="N358" s="109"/>
      <c r="O358" s="126"/>
      <c r="P358" s="126"/>
      <c r="Q358" s="126"/>
      <c r="R358" s="127"/>
      <c r="S358" s="127"/>
      <c r="T358" s="127"/>
      <c r="U358" s="127"/>
    </row>
    <row r="359" spans="1:21" ht="15" customHeight="1">
      <c r="A359" s="125"/>
      <c r="B359" s="125"/>
      <c r="C359" s="125"/>
      <c r="D359" s="81"/>
      <c r="E359" s="81"/>
      <c r="F359" s="97"/>
      <c r="G359" s="81"/>
      <c r="H359" s="81"/>
      <c r="I359" s="81"/>
      <c r="J359" s="81"/>
      <c r="K359" s="81"/>
      <c r="L359" s="155"/>
      <c r="M359" s="155"/>
      <c r="N359" s="109"/>
      <c r="O359" s="126"/>
      <c r="P359" s="126"/>
      <c r="Q359" s="126"/>
      <c r="R359" s="127"/>
      <c r="S359" s="127"/>
      <c r="T359" s="127"/>
      <c r="U359" s="127"/>
    </row>
    <row r="360" spans="1:21" ht="15" customHeight="1">
      <c r="A360" s="125"/>
      <c r="B360" s="125"/>
      <c r="C360" s="125"/>
      <c r="D360" s="81"/>
      <c r="E360" s="81"/>
      <c r="F360" s="97"/>
      <c r="G360" s="81"/>
      <c r="H360" s="81"/>
      <c r="I360" s="81"/>
      <c r="J360" s="81"/>
      <c r="K360" s="81"/>
      <c r="L360" s="155"/>
      <c r="M360" s="155"/>
      <c r="N360" s="109"/>
      <c r="O360" s="126"/>
      <c r="P360" s="126"/>
      <c r="Q360" s="126"/>
      <c r="R360" s="127"/>
      <c r="S360" s="127"/>
      <c r="T360" s="127"/>
      <c r="U360" s="127"/>
    </row>
    <row r="361" spans="1:21" ht="15" customHeight="1">
      <c r="A361" s="125"/>
      <c r="B361" s="125"/>
      <c r="C361" s="125"/>
      <c r="D361" s="81"/>
      <c r="E361" s="81"/>
      <c r="F361" s="97"/>
      <c r="G361" s="81"/>
      <c r="H361" s="81"/>
      <c r="I361" s="81"/>
      <c r="J361" s="81"/>
      <c r="K361" s="81"/>
      <c r="L361" s="155"/>
      <c r="M361" s="155"/>
      <c r="N361" s="109"/>
      <c r="O361" s="126"/>
      <c r="P361" s="126"/>
      <c r="Q361" s="126"/>
      <c r="R361" s="127"/>
      <c r="S361" s="127"/>
      <c r="T361" s="127"/>
      <c r="U361" s="127"/>
    </row>
    <row r="362" spans="1:21" ht="15" customHeight="1">
      <c r="A362" s="125"/>
      <c r="B362" s="125"/>
      <c r="C362" s="125"/>
      <c r="D362" s="81"/>
      <c r="E362" s="81"/>
      <c r="F362" s="97"/>
      <c r="G362" s="81"/>
      <c r="H362" s="81"/>
      <c r="I362" s="81"/>
      <c r="J362" s="81"/>
      <c r="K362" s="81"/>
      <c r="L362" s="155"/>
      <c r="M362" s="155"/>
      <c r="N362" s="109"/>
      <c r="O362" s="126"/>
      <c r="P362" s="126"/>
      <c r="Q362" s="126"/>
      <c r="R362" s="127"/>
      <c r="S362" s="127"/>
      <c r="T362" s="127"/>
      <c r="U362" s="127"/>
    </row>
    <row r="363" spans="1:21" ht="15" customHeight="1">
      <c r="A363" s="125"/>
      <c r="B363" s="125"/>
      <c r="C363" s="125"/>
      <c r="D363" s="81"/>
      <c r="E363" s="81"/>
      <c r="F363" s="97"/>
      <c r="G363" s="81"/>
      <c r="H363" s="81"/>
      <c r="I363" s="81"/>
      <c r="J363" s="81"/>
      <c r="K363" s="81"/>
      <c r="L363" s="155"/>
      <c r="M363" s="155"/>
      <c r="N363" s="109"/>
      <c r="O363" s="126"/>
      <c r="P363" s="126"/>
      <c r="Q363" s="126"/>
      <c r="R363" s="127"/>
      <c r="S363" s="127"/>
      <c r="T363" s="127"/>
      <c r="U363" s="127"/>
    </row>
    <row r="364" spans="1:21" ht="15" customHeight="1">
      <c r="A364" s="125"/>
      <c r="B364" s="125"/>
      <c r="C364" s="125"/>
      <c r="D364" s="81"/>
      <c r="E364" s="81"/>
      <c r="F364" s="97"/>
      <c r="G364" s="81"/>
      <c r="H364" s="81"/>
      <c r="I364" s="81"/>
      <c r="J364" s="81"/>
      <c r="K364" s="81"/>
      <c r="L364" s="155"/>
      <c r="M364" s="155"/>
      <c r="N364" s="109"/>
      <c r="O364" s="126"/>
      <c r="P364" s="126"/>
      <c r="Q364" s="126"/>
      <c r="R364" s="127"/>
      <c r="S364" s="127"/>
      <c r="T364" s="127"/>
      <c r="U364" s="127"/>
    </row>
    <row r="365" spans="1:21" ht="15" customHeight="1">
      <c r="A365" s="125"/>
      <c r="B365" s="125"/>
      <c r="C365" s="125"/>
      <c r="D365" s="81"/>
      <c r="E365" s="81"/>
      <c r="F365" s="97"/>
      <c r="G365" s="81"/>
      <c r="H365" s="81"/>
      <c r="I365" s="81"/>
      <c r="J365" s="81"/>
      <c r="K365" s="81"/>
      <c r="L365" s="155"/>
      <c r="M365" s="155"/>
      <c r="N365" s="109"/>
      <c r="O365" s="126"/>
      <c r="P365" s="126"/>
      <c r="Q365" s="126"/>
      <c r="R365" s="127"/>
      <c r="S365" s="127"/>
      <c r="T365" s="127"/>
      <c r="U365" s="127"/>
    </row>
    <row r="366" spans="1:21" ht="15" customHeight="1">
      <c r="A366" s="125"/>
      <c r="B366" s="125"/>
      <c r="C366" s="125"/>
      <c r="D366" s="81"/>
      <c r="E366" s="81"/>
      <c r="F366" s="97"/>
      <c r="G366" s="81"/>
      <c r="H366" s="81"/>
      <c r="I366" s="81"/>
      <c r="J366" s="81"/>
      <c r="K366" s="81"/>
      <c r="L366" s="155"/>
      <c r="M366" s="155"/>
      <c r="N366" s="109"/>
      <c r="O366" s="126"/>
      <c r="P366" s="126"/>
      <c r="Q366" s="126"/>
      <c r="R366" s="127"/>
      <c r="S366" s="127"/>
      <c r="T366" s="127"/>
      <c r="U366" s="127"/>
    </row>
    <row r="367" spans="1:21" ht="15" customHeight="1">
      <c r="A367" s="125"/>
      <c r="B367" s="125"/>
      <c r="C367" s="125"/>
      <c r="D367" s="81"/>
      <c r="E367" s="81"/>
      <c r="F367" s="97"/>
      <c r="G367" s="81"/>
      <c r="H367" s="81"/>
      <c r="I367" s="81"/>
      <c r="J367" s="81"/>
      <c r="K367" s="81"/>
      <c r="L367" s="155"/>
      <c r="M367" s="155"/>
      <c r="N367" s="109"/>
      <c r="O367" s="126"/>
      <c r="P367" s="126"/>
      <c r="Q367" s="126"/>
      <c r="R367" s="127"/>
      <c r="S367" s="127"/>
      <c r="T367" s="127"/>
      <c r="U367" s="127"/>
    </row>
    <row r="368" spans="1:21" ht="15" customHeight="1">
      <c r="A368" s="125"/>
      <c r="B368" s="125"/>
      <c r="C368" s="125"/>
      <c r="D368" s="81"/>
      <c r="E368" s="81"/>
      <c r="F368" s="97"/>
      <c r="G368" s="81"/>
      <c r="H368" s="81"/>
      <c r="I368" s="81"/>
      <c r="J368" s="81"/>
      <c r="K368" s="81"/>
      <c r="L368" s="155"/>
      <c r="M368" s="155"/>
      <c r="N368" s="109"/>
      <c r="O368" s="126"/>
      <c r="P368" s="126"/>
      <c r="Q368" s="126"/>
      <c r="R368" s="127"/>
      <c r="S368" s="127"/>
      <c r="T368" s="127"/>
      <c r="U368" s="127"/>
    </row>
    <row r="369" spans="1:21" ht="15" customHeight="1">
      <c r="A369" s="125"/>
      <c r="B369" s="125"/>
      <c r="C369" s="125"/>
      <c r="D369" s="81"/>
      <c r="E369" s="81"/>
      <c r="F369" s="97"/>
      <c r="G369" s="81"/>
      <c r="H369" s="81"/>
      <c r="I369" s="81"/>
      <c r="J369" s="81"/>
      <c r="K369" s="81"/>
      <c r="L369" s="155"/>
      <c r="M369" s="155"/>
      <c r="N369" s="109"/>
      <c r="O369" s="126"/>
      <c r="P369" s="126"/>
      <c r="Q369" s="126"/>
      <c r="R369" s="127"/>
      <c r="S369" s="127"/>
      <c r="T369" s="127"/>
      <c r="U369" s="127"/>
    </row>
    <row r="370" spans="1:21" ht="15" customHeight="1">
      <c r="A370" s="125"/>
      <c r="B370" s="125"/>
      <c r="C370" s="125"/>
      <c r="D370" s="81"/>
      <c r="E370" s="81"/>
      <c r="F370" s="97"/>
      <c r="G370" s="81"/>
      <c r="H370" s="81"/>
      <c r="I370" s="81"/>
      <c r="J370" s="81"/>
      <c r="K370" s="81"/>
      <c r="L370" s="155"/>
      <c r="M370" s="155"/>
      <c r="N370" s="109"/>
      <c r="O370" s="126"/>
      <c r="P370" s="126"/>
      <c r="Q370" s="126"/>
      <c r="R370" s="127"/>
      <c r="S370" s="127"/>
      <c r="T370" s="127"/>
      <c r="U370" s="127"/>
    </row>
    <row r="371" spans="1:21" ht="15" customHeight="1">
      <c r="A371" s="125"/>
      <c r="B371" s="125"/>
      <c r="C371" s="125"/>
      <c r="D371" s="81"/>
      <c r="E371" s="81"/>
      <c r="F371" s="97"/>
      <c r="G371" s="81"/>
      <c r="H371" s="81"/>
      <c r="I371" s="81"/>
      <c r="J371" s="81"/>
      <c r="K371" s="81"/>
      <c r="L371" s="155"/>
      <c r="M371" s="155"/>
      <c r="N371" s="109"/>
      <c r="O371" s="126"/>
      <c r="P371" s="126"/>
      <c r="Q371" s="126"/>
      <c r="R371" s="127"/>
      <c r="S371" s="127"/>
      <c r="T371" s="127"/>
      <c r="U371" s="127"/>
    </row>
    <row r="372" spans="1:21" ht="15" customHeight="1">
      <c r="A372" s="125"/>
      <c r="B372" s="125"/>
      <c r="C372" s="125"/>
      <c r="D372" s="81"/>
      <c r="E372" s="81"/>
      <c r="F372" s="97"/>
      <c r="G372" s="81"/>
      <c r="H372" s="81"/>
      <c r="I372" s="81"/>
      <c r="J372" s="81"/>
      <c r="K372" s="81"/>
      <c r="L372" s="155"/>
      <c r="M372" s="155"/>
      <c r="N372" s="109"/>
      <c r="O372" s="126"/>
      <c r="P372" s="126"/>
      <c r="Q372" s="126"/>
      <c r="R372" s="127"/>
      <c r="S372" s="127"/>
      <c r="T372" s="127"/>
      <c r="U372" s="127"/>
    </row>
    <row r="373" spans="1:21" ht="15" customHeight="1">
      <c r="A373" s="125"/>
      <c r="B373" s="125"/>
      <c r="C373" s="125"/>
      <c r="D373" s="81"/>
      <c r="E373" s="81"/>
      <c r="F373" s="97"/>
      <c r="G373" s="81"/>
      <c r="H373" s="81"/>
      <c r="I373" s="81"/>
      <c r="J373" s="81"/>
      <c r="K373" s="81"/>
      <c r="L373" s="155"/>
      <c r="M373" s="155"/>
      <c r="N373" s="109"/>
      <c r="O373" s="126"/>
      <c r="P373" s="126"/>
      <c r="Q373" s="126"/>
      <c r="R373" s="127"/>
      <c r="S373" s="127"/>
      <c r="T373" s="127"/>
      <c r="U373" s="127"/>
    </row>
    <row r="374" spans="1:21" ht="15" customHeight="1">
      <c r="A374" s="125"/>
      <c r="B374" s="125"/>
      <c r="C374" s="125"/>
      <c r="D374" s="81"/>
      <c r="E374" s="81"/>
      <c r="F374" s="97"/>
      <c r="G374" s="81"/>
      <c r="H374" s="81"/>
      <c r="I374" s="81"/>
      <c r="J374" s="81"/>
      <c r="K374" s="81"/>
      <c r="L374" s="155"/>
      <c r="M374" s="155"/>
      <c r="N374" s="109"/>
      <c r="O374" s="126"/>
      <c r="P374" s="126"/>
      <c r="Q374" s="126"/>
      <c r="R374" s="127"/>
      <c r="S374" s="127"/>
      <c r="T374" s="127"/>
      <c r="U374" s="127"/>
    </row>
    <row r="375" spans="1:21" ht="15" customHeight="1">
      <c r="A375" s="125"/>
      <c r="B375" s="125"/>
      <c r="C375" s="125"/>
      <c r="D375" s="81"/>
      <c r="E375" s="81"/>
      <c r="F375" s="97"/>
      <c r="G375" s="81"/>
      <c r="H375" s="81"/>
      <c r="I375" s="81"/>
      <c r="J375" s="81"/>
      <c r="K375" s="81"/>
      <c r="L375" s="155"/>
      <c r="M375" s="155"/>
      <c r="N375" s="109"/>
      <c r="O375" s="126"/>
      <c r="P375" s="126"/>
      <c r="Q375" s="126"/>
      <c r="R375" s="127"/>
      <c r="S375" s="127"/>
      <c r="T375" s="127"/>
      <c r="U375" s="127"/>
    </row>
    <row r="376" spans="1:21" ht="15" customHeight="1">
      <c r="A376" s="125"/>
      <c r="B376" s="125"/>
      <c r="C376" s="125"/>
      <c r="D376" s="81"/>
      <c r="E376" s="81"/>
      <c r="F376" s="97"/>
      <c r="G376" s="81"/>
      <c r="H376" s="81"/>
      <c r="I376" s="81"/>
      <c r="J376" s="81"/>
      <c r="K376" s="81"/>
      <c r="L376" s="155"/>
      <c r="M376" s="155"/>
      <c r="N376" s="109"/>
      <c r="O376" s="126"/>
      <c r="P376" s="126"/>
      <c r="Q376" s="126"/>
      <c r="R376" s="127"/>
      <c r="S376" s="127"/>
      <c r="T376" s="127"/>
      <c r="U376" s="127"/>
    </row>
    <row r="377" spans="1:21" ht="15" customHeight="1">
      <c r="A377" s="125"/>
      <c r="B377" s="125"/>
      <c r="C377" s="125"/>
      <c r="D377" s="81"/>
      <c r="E377" s="81"/>
      <c r="F377" s="97"/>
      <c r="G377" s="81"/>
      <c r="H377" s="81"/>
      <c r="I377" s="81"/>
      <c r="J377" s="81"/>
      <c r="K377" s="81"/>
      <c r="L377" s="155"/>
      <c r="M377" s="155"/>
      <c r="N377" s="109"/>
      <c r="O377" s="126"/>
      <c r="P377" s="126"/>
      <c r="Q377" s="126"/>
      <c r="R377" s="127"/>
      <c r="S377" s="127"/>
      <c r="T377" s="127"/>
      <c r="U377" s="127"/>
    </row>
    <row r="378" spans="1:21" ht="15" customHeight="1">
      <c r="A378" s="125"/>
      <c r="B378" s="125"/>
      <c r="C378" s="125"/>
      <c r="D378" s="81"/>
      <c r="E378" s="81"/>
      <c r="F378" s="97"/>
      <c r="G378" s="81"/>
      <c r="H378" s="81"/>
      <c r="I378" s="81"/>
      <c r="J378" s="81"/>
      <c r="K378" s="81"/>
      <c r="L378" s="155"/>
      <c r="M378" s="155"/>
      <c r="N378" s="109"/>
      <c r="O378" s="126"/>
      <c r="P378" s="126"/>
      <c r="Q378" s="126"/>
      <c r="R378" s="127"/>
      <c r="S378" s="127"/>
      <c r="T378" s="127"/>
      <c r="U378" s="127"/>
    </row>
    <row r="379" spans="1:21" ht="15" customHeight="1">
      <c r="A379" s="125"/>
      <c r="B379" s="125"/>
      <c r="C379" s="125"/>
      <c r="D379" s="81"/>
      <c r="E379" s="81"/>
      <c r="F379" s="97"/>
      <c r="G379" s="81"/>
      <c r="H379" s="81"/>
      <c r="I379" s="81"/>
      <c r="J379" s="81"/>
      <c r="K379" s="81"/>
      <c r="L379" s="155"/>
      <c r="M379" s="155"/>
      <c r="N379" s="109"/>
      <c r="O379" s="126"/>
      <c r="P379" s="126"/>
      <c r="Q379" s="126"/>
      <c r="R379" s="127"/>
      <c r="S379" s="127"/>
      <c r="T379" s="127"/>
      <c r="U379" s="127"/>
    </row>
    <row r="380" spans="1:21" ht="15" customHeight="1">
      <c r="A380" s="125"/>
      <c r="B380" s="125"/>
      <c r="C380" s="125"/>
      <c r="D380" s="81"/>
      <c r="E380" s="81"/>
      <c r="F380" s="97"/>
      <c r="G380" s="81"/>
      <c r="H380" s="81"/>
      <c r="I380" s="81"/>
      <c r="J380" s="81"/>
      <c r="K380" s="81"/>
      <c r="L380" s="155"/>
      <c r="M380" s="155"/>
      <c r="N380" s="109"/>
      <c r="O380" s="126"/>
      <c r="P380" s="126"/>
      <c r="Q380" s="126"/>
      <c r="R380" s="127"/>
      <c r="S380" s="127"/>
      <c r="T380" s="127"/>
      <c r="U380" s="127"/>
    </row>
    <row r="381" spans="1:21" ht="15" customHeight="1">
      <c r="A381" s="125"/>
      <c r="B381" s="125"/>
      <c r="C381" s="125"/>
      <c r="D381" s="81"/>
      <c r="E381" s="81"/>
      <c r="F381" s="97"/>
      <c r="G381" s="81"/>
      <c r="H381" s="81"/>
      <c r="I381" s="81"/>
      <c r="J381" s="81"/>
      <c r="K381" s="81"/>
      <c r="L381" s="155"/>
      <c r="M381" s="155"/>
      <c r="N381" s="109"/>
      <c r="O381" s="126"/>
      <c r="P381" s="126"/>
      <c r="Q381" s="126"/>
      <c r="R381" s="127"/>
      <c r="S381" s="127"/>
      <c r="T381" s="127"/>
      <c r="U381" s="127"/>
    </row>
    <row r="382" spans="1:21" ht="15" customHeight="1">
      <c r="A382" s="125"/>
      <c r="B382" s="125"/>
      <c r="C382" s="125"/>
      <c r="D382" s="81"/>
      <c r="E382" s="81"/>
      <c r="F382" s="97"/>
      <c r="G382" s="81"/>
      <c r="H382" s="81"/>
      <c r="I382" s="81"/>
      <c r="J382" s="81"/>
      <c r="K382" s="81"/>
      <c r="L382" s="155"/>
      <c r="M382" s="155"/>
      <c r="N382" s="109"/>
      <c r="O382" s="126"/>
      <c r="P382" s="126"/>
      <c r="Q382" s="126"/>
      <c r="R382" s="127"/>
      <c r="S382" s="127"/>
      <c r="T382" s="127"/>
      <c r="U382" s="127"/>
    </row>
    <row r="383" spans="1:21" ht="15" customHeight="1">
      <c r="A383" s="125"/>
      <c r="B383" s="125"/>
      <c r="C383" s="125"/>
      <c r="D383" s="81"/>
      <c r="E383" s="81"/>
      <c r="F383" s="97"/>
      <c r="G383" s="81"/>
      <c r="H383" s="81"/>
      <c r="I383" s="81"/>
      <c r="J383" s="81"/>
      <c r="K383" s="81"/>
      <c r="L383" s="155"/>
      <c r="M383" s="155"/>
      <c r="N383" s="109"/>
      <c r="O383" s="126"/>
      <c r="P383" s="126"/>
      <c r="Q383" s="126"/>
      <c r="R383" s="127"/>
      <c r="S383" s="127"/>
      <c r="T383" s="127"/>
      <c r="U383" s="127"/>
    </row>
    <row r="384" spans="1:21" ht="15" customHeight="1">
      <c r="A384" s="125"/>
      <c r="B384" s="125"/>
      <c r="C384" s="125"/>
      <c r="D384" s="81"/>
      <c r="E384" s="81"/>
      <c r="F384" s="97"/>
      <c r="G384" s="81"/>
      <c r="H384" s="81"/>
      <c r="I384" s="81"/>
      <c r="J384" s="81"/>
      <c r="K384" s="81"/>
      <c r="L384" s="155"/>
      <c r="M384" s="155"/>
      <c r="N384" s="109"/>
      <c r="O384" s="126"/>
      <c r="P384" s="126"/>
      <c r="Q384" s="126"/>
      <c r="R384" s="127"/>
      <c r="S384" s="127"/>
      <c r="T384" s="127"/>
      <c r="U384" s="127"/>
    </row>
    <row r="385" spans="1:21" ht="15" customHeight="1">
      <c r="A385" s="125"/>
      <c r="B385" s="125"/>
      <c r="C385" s="125"/>
      <c r="D385" s="81"/>
      <c r="E385" s="81"/>
      <c r="F385" s="97"/>
      <c r="G385" s="81"/>
      <c r="H385" s="81"/>
      <c r="I385" s="81"/>
      <c r="J385" s="81"/>
      <c r="K385" s="81"/>
      <c r="L385" s="155"/>
      <c r="M385" s="155"/>
      <c r="N385" s="109"/>
      <c r="O385" s="126"/>
      <c r="P385" s="126"/>
      <c r="Q385" s="126"/>
      <c r="R385" s="127"/>
      <c r="S385" s="127"/>
      <c r="T385" s="127"/>
      <c r="U385" s="127"/>
    </row>
    <row r="386" spans="1:21" ht="15" customHeight="1">
      <c r="A386" s="125"/>
      <c r="B386" s="125"/>
      <c r="C386" s="125"/>
      <c r="D386" s="81"/>
      <c r="E386" s="81"/>
      <c r="F386" s="97"/>
      <c r="G386" s="81"/>
      <c r="H386" s="81"/>
      <c r="I386" s="81"/>
      <c r="J386" s="81"/>
      <c r="K386" s="81"/>
      <c r="L386" s="155"/>
      <c r="M386" s="155"/>
      <c r="N386" s="109"/>
      <c r="O386" s="126"/>
      <c r="P386" s="126"/>
      <c r="Q386" s="126"/>
      <c r="R386" s="127"/>
      <c r="S386" s="127"/>
      <c r="T386" s="127"/>
      <c r="U386" s="127"/>
    </row>
    <row r="387" spans="1:21" ht="15" customHeight="1">
      <c r="A387" s="125"/>
      <c r="B387" s="125"/>
      <c r="C387" s="125"/>
      <c r="D387" s="81"/>
      <c r="E387" s="81"/>
      <c r="F387" s="97"/>
      <c r="G387" s="81"/>
      <c r="H387" s="81"/>
      <c r="I387" s="81"/>
      <c r="J387" s="81"/>
      <c r="K387" s="81"/>
      <c r="L387" s="155"/>
      <c r="M387" s="155"/>
      <c r="N387" s="109"/>
      <c r="O387" s="126"/>
      <c r="P387" s="126"/>
      <c r="Q387" s="126"/>
      <c r="R387" s="127"/>
      <c r="S387" s="127"/>
      <c r="T387" s="127"/>
      <c r="U387" s="127"/>
    </row>
    <row r="388" spans="1:21" ht="15" customHeight="1">
      <c r="A388" s="125"/>
      <c r="B388" s="125"/>
      <c r="C388" s="125"/>
      <c r="D388" s="81"/>
      <c r="E388" s="81"/>
      <c r="F388" s="97"/>
      <c r="G388" s="81"/>
      <c r="H388" s="81"/>
      <c r="I388" s="81"/>
      <c r="J388" s="81"/>
      <c r="K388" s="81"/>
      <c r="L388" s="155"/>
      <c r="M388" s="155"/>
      <c r="N388" s="109"/>
      <c r="O388" s="126"/>
      <c r="P388" s="126"/>
      <c r="Q388" s="126"/>
      <c r="R388" s="127"/>
      <c r="S388" s="127"/>
      <c r="T388" s="127"/>
      <c r="U388" s="127"/>
    </row>
    <row r="389" spans="1:21" ht="15" customHeight="1">
      <c r="A389" s="125"/>
      <c r="B389" s="125"/>
      <c r="C389" s="125"/>
      <c r="D389" s="81"/>
      <c r="E389" s="81"/>
      <c r="F389" s="97"/>
      <c r="G389" s="81"/>
      <c r="H389" s="81"/>
      <c r="I389" s="81"/>
      <c r="J389" s="81"/>
      <c r="K389" s="81"/>
      <c r="L389" s="155"/>
      <c r="M389" s="155"/>
      <c r="N389" s="109"/>
      <c r="O389" s="126"/>
      <c r="P389" s="126"/>
      <c r="Q389" s="126"/>
      <c r="R389" s="127"/>
      <c r="S389" s="127"/>
      <c r="T389" s="127"/>
      <c r="U389" s="127"/>
    </row>
    <row r="390" spans="1:21" ht="15" customHeight="1">
      <c r="A390" s="125"/>
      <c r="B390" s="125"/>
      <c r="C390" s="125"/>
      <c r="D390" s="81"/>
      <c r="E390" s="81"/>
      <c r="F390" s="97"/>
      <c r="G390" s="81"/>
      <c r="H390" s="81"/>
      <c r="I390" s="81"/>
      <c r="J390" s="81"/>
      <c r="K390" s="81"/>
      <c r="L390" s="155"/>
      <c r="M390" s="155"/>
      <c r="N390" s="109"/>
      <c r="O390" s="126"/>
      <c r="P390" s="126"/>
      <c r="Q390" s="126"/>
      <c r="R390" s="127"/>
      <c r="S390" s="127"/>
      <c r="T390" s="127"/>
      <c r="U390" s="127"/>
    </row>
    <row r="391" spans="1:21" ht="15" customHeight="1">
      <c r="A391" s="125"/>
      <c r="B391" s="125"/>
      <c r="C391" s="125"/>
      <c r="D391" s="81"/>
      <c r="E391" s="81"/>
      <c r="F391" s="97"/>
      <c r="G391" s="81"/>
      <c r="H391" s="81"/>
      <c r="I391" s="81"/>
      <c r="J391" s="81"/>
      <c r="K391" s="81"/>
      <c r="L391" s="155"/>
      <c r="M391" s="155"/>
      <c r="N391" s="109"/>
      <c r="O391" s="126"/>
      <c r="P391" s="126"/>
      <c r="Q391" s="126"/>
      <c r="R391" s="127"/>
      <c r="S391" s="127"/>
      <c r="T391" s="127"/>
      <c r="U391" s="127"/>
    </row>
    <row r="392" spans="1:21" ht="15" customHeight="1">
      <c r="A392" s="125"/>
      <c r="B392" s="125"/>
      <c r="C392" s="125"/>
      <c r="D392" s="81"/>
      <c r="E392" s="81"/>
      <c r="F392" s="97"/>
      <c r="G392" s="81"/>
      <c r="H392" s="81"/>
      <c r="I392" s="81"/>
      <c r="J392" s="81"/>
      <c r="K392" s="81"/>
      <c r="L392" s="155"/>
      <c r="M392" s="155"/>
      <c r="N392" s="109"/>
      <c r="O392" s="126"/>
      <c r="P392" s="126"/>
      <c r="Q392" s="126"/>
      <c r="R392" s="127"/>
      <c r="S392" s="127"/>
      <c r="T392" s="127"/>
      <c r="U392" s="127"/>
    </row>
    <row r="393" spans="1:21" ht="15" customHeight="1">
      <c r="A393" s="125"/>
      <c r="B393" s="125"/>
      <c r="C393" s="125"/>
      <c r="D393" s="81"/>
      <c r="E393" s="81"/>
      <c r="F393" s="97"/>
      <c r="G393" s="81"/>
      <c r="H393" s="81"/>
      <c r="I393" s="81"/>
      <c r="J393" s="81"/>
      <c r="K393" s="81"/>
      <c r="L393" s="155"/>
      <c r="M393" s="155"/>
      <c r="N393" s="109"/>
      <c r="O393" s="126"/>
      <c r="P393" s="126"/>
      <c r="Q393" s="126"/>
      <c r="R393" s="127"/>
      <c r="S393" s="127"/>
      <c r="T393" s="127"/>
      <c r="U393" s="127"/>
    </row>
    <row r="394" spans="1:21" ht="15" customHeight="1">
      <c r="A394" s="125"/>
      <c r="B394" s="125"/>
      <c r="C394" s="125"/>
      <c r="D394" s="81"/>
      <c r="E394" s="81"/>
      <c r="F394" s="97"/>
      <c r="G394" s="81"/>
      <c r="H394" s="81"/>
      <c r="I394" s="81"/>
      <c r="J394" s="81"/>
      <c r="K394" s="81"/>
      <c r="L394" s="155"/>
      <c r="M394" s="155"/>
      <c r="N394" s="109"/>
      <c r="O394" s="126"/>
      <c r="P394" s="126"/>
      <c r="Q394" s="126"/>
      <c r="R394" s="127"/>
      <c r="S394" s="127"/>
      <c r="T394" s="127"/>
      <c r="U394" s="127"/>
    </row>
    <row r="395" spans="1:21" ht="15" customHeight="1">
      <c r="A395" s="125"/>
      <c r="B395" s="125"/>
      <c r="C395" s="125"/>
      <c r="D395" s="81"/>
      <c r="E395" s="81"/>
      <c r="F395" s="97"/>
      <c r="G395" s="81"/>
      <c r="H395" s="81"/>
      <c r="I395" s="81"/>
      <c r="J395" s="81"/>
      <c r="K395" s="81"/>
      <c r="L395" s="155"/>
      <c r="M395" s="155"/>
      <c r="N395" s="109"/>
      <c r="O395" s="126"/>
      <c r="P395" s="126"/>
      <c r="Q395" s="126"/>
      <c r="R395" s="127"/>
      <c r="S395" s="127"/>
      <c r="T395" s="127"/>
      <c r="U395" s="127"/>
    </row>
    <row r="396" spans="1:21" ht="15" customHeight="1">
      <c r="A396" s="125"/>
      <c r="B396" s="125"/>
      <c r="C396" s="125"/>
      <c r="D396" s="81"/>
      <c r="E396" s="81"/>
      <c r="F396" s="97"/>
      <c r="G396" s="81"/>
      <c r="H396" s="81"/>
      <c r="I396" s="81"/>
      <c r="J396" s="81"/>
      <c r="K396" s="81"/>
      <c r="L396" s="155"/>
      <c r="M396" s="155"/>
      <c r="N396" s="109"/>
      <c r="O396" s="126"/>
      <c r="P396" s="126"/>
      <c r="Q396" s="126"/>
      <c r="R396" s="127"/>
      <c r="S396" s="127"/>
      <c r="T396" s="127"/>
      <c r="U396" s="127"/>
    </row>
    <row r="397" spans="1:21" ht="15" customHeight="1">
      <c r="A397" s="125"/>
      <c r="B397" s="125"/>
      <c r="C397" s="125"/>
      <c r="D397" s="81"/>
      <c r="E397" s="81"/>
      <c r="F397" s="97"/>
      <c r="G397" s="81"/>
      <c r="H397" s="81"/>
      <c r="I397" s="81"/>
      <c r="J397" s="81"/>
      <c r="K397" s="81"/>
      <c r="L397" s="155"/>
      <c r="M397" s="155"/>
      <c r="N397" s="109"/>
      <c r="O397" s="126"/>
      <c r="P397" s="126"/>
      <c r="Q397" s="126"/>
      <c r="R397" s="127"/>
      <c r="S397" s="127"/>
      <c r="T397" s="127"/>
      <c r="U397" s="127"/>
    </row>
    <row r="398" spans="1:21" ht="15" customHeight="1">
      <c r="A398" s="125"/>
      <c r="B398" s="125"/>
      <c r="C398" s="125"/>
      <c r="D398" s="81"/>
      <c r="E398" s="81"/>
      <c r="F398" s="97"/>
      <c r="G398" s="81"/>
      <c r="H398" s="81"/>
      <c r="I398" s="81"/>
      <c r="J398" s="81"/>
      <c r="K398" s="81"/>
      <c r="L398" s="155"/>
      <c r="M398" s="155"/>
      <c r="N398" s="109"/>
      <c r="O398" s="126"/>
      <c r="P398" s="126"/>
      <c r="Q398" s="126"/>
      <c r="R398" s="127"/>
      <c r="S398" s="127"/>
      <c r="T398" s="127"/>
      <c r="U398" s="127"/>
    </row>
    <row r="399" spans="1:21" ht="15" customHeight="1">
      <c r="A399" s="125"/>
      <c r="B399" s="125"/>
      <c r="C399" s="125"/>
      <c r="D399" s="81"/>
      <c r="E399" s="81"/>
      <c r="F399" s="97"/>
      <c r="G399" s="81"/>
      <c r="H399" s="81"/>
      <c r="I399" s="81"/>
      <c r="J399" s="81"/>
      <c r="K399" s="81"/>
      <c r="L399" s="155"/>
      <c r="M399" s="155"/>
      <c r="N399" s="109"/>
      <c r="O399" s="126"/>
      <c r="P399" s="126"/>
      <c r="Q399" s="126"/>
      <c r="R399" s="127"/>
      <c r="S399" s="127"/>
      <c r="T399" s="127"/>
      <c r="U399" s="127"/>
    </row>
    <row r="400" spans="1:21" ht="15" customHeight="1">
      <c r="A400" s="125"/>
      <c r="B400" s="125"/>
      <c r="C400" s="125"/>
      <c r="D400" s="81"/>
      <c r="E400" s="81"/>
      <c r="F400" s="97"/>
      <c r="G400" s="81"/>
      <c r="H400" s="81"/>
      <c r="I400" s="81"/>
      <c r="J400" s="81"/>
      <c r="K400" s="81"/>
      <c r="L400" s="155"/>
      <c r="M400" s="155"/>
      <c r="N400" s="109"/>
      <c r="O400" s="126"/>
      <c r="P400" s="126"/>
      <c r="Q400" s="126"/>
      <c r="R400" s="127"/>
      <c r="S400" s="127"/>
      <c r="T400" s="127"/>
      <c r="U400" s="127"/>
    </row>
    <row r="401" spans="1:21" ht="15" customHeight="1">
      <c r="A401" s="125"/>
      <c r="B401" s="125"/>
      <c r="C401" s="125"/>
      <c r="D401" s="81"/>
      <c r="E401" s="81"/>
      <c r="F401" s="97"/>
      <c r="G401" s="81"/>
      <c r="H401" s="81"/>
      <c r="I401" s="81"/>
      <c r="J401" s="81"/>
      <c r="K401" s="81"/>
      <c r="L401" s="155"/>
      <c r="M401" s="155"/>
      <c r="N401" s="109"/>
      <c r="O401" s="126"/>
      <c r="P401" s="126"/>
      <c r="Q401" s="126"/>
      <c r="R401" s="127"/>
      <c r="S401" s="127"/>
      <c r="T401" s="127"/>
      <c r="U401" s="127"/>
    </row>
    <row r="402" spans="1:21" ht="15" customHeight="1">
      <c r="A402" s="125"/>
      <c r="B402" s="125"/>
      <c r="C402" s="125"/>
      <c r="D402" s="81"/>
      <c r="E402" s="81"/>
      <c r="F402" s="97"/>
      <c r="G402" s="81"/>
      <c r="H402" s="81"/>
      <c r="I402" s="81"/>
      <c r="J402" s="81"/>
      <c r="K402" s="81"/>
      <c r="L402" s="155"/>
      <c r="M402" s="155"/>
      <c r="N402" s="109"/>
      <c r="O402" s="126"/>
      <c r="P402" s="126"/>
      <c r="Q402" s="126"/>
      <c r="R402" s="127"/>
      <c r="S402" s="127"/>
      <c r="T402" s="127"/>
      <c r="U402" s="127"/>
    </row>
    <row r="403" spans="1:21" ht="15" customHeight="1">
      <c r="A403" s="125"/>
      <c r="B403" s="125"/>
      <c r="C403" s="125"/>
      <c r="D403" s="81"/>
      <c r="E403" s="81"/>
      <c r="F403" s="97"/>
      <c r="G403" s="81"/>
      <c r="H403" s="81"/>
      <c r="I403" s="81"/>
      <c r="J403" s="81"/>
      <c r="K403" s="81"/>
      <c r="L403" s="155"/>
      <c r="M403" s="155"/>
      <c r="N403" s="109"/>
      <c r="O403" s="126"/>
      <c r="P403" s="126"/>
      <c r="Q403" s="126"/>
      <c r="R403" s="127"/>
      <c r="S403" s="127"/>
      <c r="T403" s="127"/>
      <c r="U403" s="127"/>
    </row>
    <row r="404" spans="1:21" ht="15" customHeight="1">
      <c r="A404" s="125"/>
      <c r="B404" s="125"/>
      <c r="C404" s="125"/>
      <c r="D404" s="81"/>
      <c r="E404" s="81"/>
      <c r="F404" s="97"/>
      <c r="G404" s="81"/>
      <c r="H404" s="81"/>
      <c r="I404" s="81"/>
      <c r="J404" s="81"/>
      <c r="K404" s="81"/>
      <c r="L404" s="155"/>
      <c r="M404" s="155"/>
      <c r="N404" s="109"/>
      <c r="O404" s="126"/>
      <c r="P404" s="126"/>
      <c r="Q404" s="126"/>
      <c r="R404" s="127"/>
      <c r="S404" s="127"/>
      <c r="T404" s="127"/>
      <c r="U404" s="127"/>
    </row>
    <row r="405" spans="1:21" ht="15" customHeight="1">
      <c r="A405" s="125"/>
      <c r="B405" s="125"/>
      <c r="C405" s="125"/>
      <c r="D405" s="81"/>
      <c r="E405" s="81"/>
      <c r="F405" s="97"/>
      <c r="G405" s="81"/>
      <c r="H405" s="81"/>
      <c r="I405" s="81"/>
      <c r="J405" s="81"/>
      <c r="K405" s="81"/>
      <c r="L405" s="155"/>
      <c r="M405" s="155"/>
      <c r="N405" s="109"/>
      <c r="O405" s="126"/>
      <c r="P405" s="126"/>
      <c r="Q405" s="126"/>
      <c r="R405" s="127"/>
      <c r="S405" s="127"/>
      <c r="T405" s="127"/>
      <c r="U405" s="127"/>
    </row>
    <row r="406" spans="1:21" ht="15" customHeight="1">
      <c r="A406" s="125"/>
      <c r="B406" s="125"/>
      <c r="C406" s="125"/>
      <c r="D406" s="81"/>
      <c r="E406" s="81"/>
      <c r="F406" s="97"/>
      <c r="G406" s="81"/>
      <c r="H406" s="81"/>
      <c r="I406" s="81"/>
      <c r="J406" s="81"/>
      <c r="K406" s="81"/>
      <c r="L406" s="155"/>
      <c r="M406" s="155"/>
      <c r="N406" s="109"/>
      <c r="O406" s="126"/>
      <c r="P406" s="126"/>
      <c r="Q406" s="126"/>
      <c r="R406" s="127"/>
      <c r="S406" s="127"/>
      <c r="T406" s="127"/>
      <c r="U406" s="127"/>
    </row>
    <row r="407" spans="1:21" ht="15" customHeight="1">
      <c r="A407" s="125"/>
      <c r="B407" s="125"/>
      <c r="C407" s="125"/>
      <c r="D407" s="81"/>
      <c r="E407" s="81"/>
      <c r="F407" s="97"/>
      <c r="G407" s="81"/>
      <c r="H407" s="81"/>
      <c r="I407" s="81"/>
      <c r="J407" s="81"/>
      <c r="K407" s="81"/>
      <c r="L407" s="155"/>
      <c r="M407" s="155"/>
      <c r="N407" s="109"/>
      <c r="O407" s="126"/>
      <c r="P407" s="126"/>
      <c r="Q407" s="126"/>
      <c r="R407" s="127"/>
      <c r="S407" s="127"/>
      <c r="T407" s="127"/>
      <c r="U407" s="127"/>
    </row>
    <row r="408" spans="1:21" ht="15" customHeight="1">
      <c r="A408" s="125"/>
      <c r="B408" s="125"/>
      <c r="C408" s="125"/>
      <c r="D408" s="81"/>
      <c r="E408" s="81"/>
      <c r="F408" s="97"/>
      <c r="G408" s="81"/>
      <c r="H408" s="81"/>
      <c r="I408" s="81"/>
      <c r="J408" s="81"/>
      <c r="K408" s="81"/>
      <c r="L408" s="155"/>
      <c r="M408" s="155"/>
      <c r="N408" s="109"/>
      <c r="O408" s="126"/>
      <c r="P408" s="126"/>
      <c r="Q408" s="126"/>
      <c r="R408" s="127"/>
      <c r="S408" s="127"/>
      <c r="T408" s="127"/>
      <c r="U408" s="127"/>
    </row>
    <row r="409" spans="1:21" ht="15" customHeight="1">
      <c r="A409" s="125"/>
      <c r="B409" s="125"/>
      <c r="C409" s="125"/>
      <c r="D409" s="81"/>
      <c r="E409" s="81"/>
      <c r="F409" s="97"/>
      <c r="G409" s="81"/>
      <c r="H409" s="81"/>
      <c r="I409" s="81"/>
      <c r="J409" s="81"/>
      <c r="K409" s="81"/>
      <c r="L409" s="155"/>
      <c r="M409" s="155"/>
      <c r="N409" s="109"/>
      <c r="O409" s="126"/>
      <c r="P409" s="126"/>
      <c r="Q409" s="126"/>
      <c r="R409" s="127"/>
      <c r="S409" s="127"/>
      <c r="T409" s="127"/>
      <c r="U409" s="127"/>
    </row>
    <row r="410" spans="1:21" ht="15" customHeight="1">
      <c r="A410" s="125"/>
      <c r="B410" s="125"/>
      <c r="C410" s="125"/>
      <c r="D410" s="81"/>
      <c r="E410" s="81"/>
      <c r="F410" s="97"/>
      <c r="G410" s="81"/>
      <c r="H410" s="81"/>
      <c r="I410" s="81"/>
      <c r="J410" s="81"/>
      <c r="K410" s="81"/>
      <c r="L410" s="155"/>
      <c r="M410" s="155"/>
      <c r="N410" s="109"/>
      <c r="O410" s="126"/>
      <c r="P410" s="126"/>
      <c r="Q410" s="126"/>
      <c r="R410" s="127"/>
      <c r="S410" s="127"/>
      <c r="T410" s="127"/>
      <c r="U410" s="127"/>
    </row>
    <row r="411" spans="1:21" ht="15" customHeight="1">
      <c r="A411" s="125"/>
      <c r="B411" s="125"/>
      <c r="C411" s="125"/>
      <c r="D411" s="81"/>
      <c r="E411" s="81"/>
      <c r="F411" s="97"/>
      <c r="G411" s="81"/>
      <c r="H411" s="81"/>
      <c r="I411" s="81"/>
      <c r="J411" s="81"/>
      <c r="K411" s="81"/>
      <c r="L411" s="155"/>
      <c r="M411" s="155"/>
      <c r="N411" s="109"/>
      <c r="O411" s="126"/>
      <c r="P411" s="126"/>
      <c r="Q411" s="126"/>
      <c r="R411" s="127"/>
      <c r="S411" s="127"/>
      <c r="T411" s="127"/>
      <c r="U411" s="127"/>
    </row>
    <row r="412" spans="1:21" ht="15" customHeight="1">
      <c r="A412" s="125"/>
      <c r="B412" s="125"/>
      <c r="C412" s="125"/>
      <c r="D412" s="81"/>
      <c r="E412" s="81"/>
      <c r="F412" s="97"/>
      <c r="G412" s="81"/>
      <c r="H412" s="81"/>
      <c r="I412" s="81"/>
      <c r="J412" s="81"/>
      <c r="K412" s="81"/>
      <c r="L412" s="155"/>
      <c r="M412" s="155"/>
      <c r="N412" s="109"/>
      <c r="O412" s="126"/>
      <c r="P412" s="126"/>
      <c r="Q412" s="126"/>
      <c r="R412" s="127"/>
      <c r="S412" s="127"/>
      <c r="T412" s="127"/>
      <c r="U412" s="127"/>
    </row>
    <row r="413" spans="1:21" ht="15" customHeight="1">
      <c r="A413" s="125"/>
      <c r="B413" s="125"/>
      <c r="C413" s="125"/>
      <c r="D413" s="81"/>
      <c r="E413" s="81"/>
      <c r="F413" s="97"/>
      <c r="G413" s="81"/>
      <c r="H413" s="81"/>
      <c r="I413" s="81"/>
      <c r="J413" s="81"/>
      <c r="K413" s="81"/>
      <c r="L413" s="155"/>
      <c r="M413" s="155"/>
      <c r="N413" s="109"/>
      <c r="O413" s="126"/>
      <c r="P413" s="126"/>
      <c r="Q413" s="126"/>
      <c r="R413" s="127"/>
      <c r="S413" s="127"/>
      <c r="T413" s="127"/>
      <c r="U413" s="127"/>
    </row>
    <row r="414" spans="1:21" ht="15" customHeight="1">
      <c r="A414" s="125"/>
      <c r="B414" s="125"/>
      <c r="C414" s="125"/>
      <c r="D414" s="81"/>
      <c r="E414" s="81"/>
      <c r="F414" s="97"/>
      <c r="G414" s="81"/>
      <c r="H414" s="81"/>
      <c r="I414" s="81"/>
      <c r="J414" s="81"/>
      <c r="K414" s="81"/>
      <c r="L414" s="155"/>
      <c r="M414" s="155"/>
      <c r="N414" s="109"/>
      <c r="O414" s="126"/>
      <c r="P414" s="126"/>
      <c r="Q414" s="126"/>
      <c r="R414" s="127"/>
      <c r="S414" s="127"/>
      <c r="T414" s="127"/>
      <c r="U414" s="127"/>
    </row>
    <row r="415" spans="1:21" ht="15" customHeight="1">
      <c r="A415" s="125"/>
      <c r="B415" s="125"/>
      <c r="C415" s="125"/>
      <c r="D415" s="81"/>
      <c r="E415" s="81"/>
      <c r="F415" s="97"/>
      <c r="G415" s="81"/>
      <c r="H415" s="81"/>
      <c r="I415" s="81"/>
      <c r="J415" s="81"/>
      <c r="K415" s="81"/>
      <c r="L415" s="155"/>
      <c r="M415" s="155"/>
      <c r="N415" s="109"/>
      <c r="O415" s="126"/>
      <c r="P415" s="126"/>
      <c r="Q415" s="126"/>
      <c r="R415" s="127"/>
      <c r="S415" s="127"/>
      <c r="T415" s="127"/>
      <c r="U415" s="127"/>
    </row>
    <row r="416" spans="1:21" ht="15" customHeight="1">
      <c r="A416" s="125"/>
      <c r="B416" s="125"/>
      <c r="C416" s="125"/>
      <c r="D416" s="81"/>
      <c r="E416" s="81"/>
      <c r="F416" s="97"/>
      <c r="G416" s="81"/>
      <c r="H416" s="81"/>
      <c r="I416" s="81"/>
      <c r="J416" s="81"/>
      <c r="K416" s="81"/>
      <c r="L416" s="155"/>
      <c r="M416" s="155"/>
      <c r="N416" s="109"/>
      <c r="O416" s="126"/>
      <c r="P416" s="126"/>
      <c r="Q416" s="126"/>
      <c r="R416" s="127"/>
      <c r="S416" s="127"/>
      <c r="T416" s="127"/>
      <c r="U416" s="127"/>
    </row>
    <row r="417" spans="1:21" ht="15" customHeight="1">
      <c r="A417" s="125"/>
      <c r="B417" s="125"/>
      <c r="C417" s="125"/>
      <c r="D417" s="81"/>
      <c r="E417" s="81"/>
      <c r="F417" s="97"/>
      <c r="G417" s="81"/>
      <c r="H417" s="81"/>
      <c r="I417" s="81"/>
      <c r="J417" s="81"/>
      <c r="K417" s="81"/>
      <c r="L417" s="155"/>
      <c r="M417" s="155"/>
      <c r="N417" s="109"/>
      <c r="O417" s="126"/>
      <c r="P417" s="126"/>
      <c r="Q417" s="126"/>
      <c r="R417" s="127"/>
      <c r="S417" s="127"/>
      <c r="T417" s="127"/>
      <c r="U417" s="127"/>
    </row>
    <row r="418" spans="1:21" ht="15" customHeight="1">
      <c r="A418" s="125"/>
      <c r="B418" s="125"/>
      <c r="C418" s="125"/>
      <c r="D418" s="81"/>
      <c r="E418" s="81"/>
      <c r="F418" s="97"/>
      <c r="G418" s="81"/>
      <c r="H418" s="81"/>
      <c r="I418" s="81"/>
      <c r="J418" s="81"/>
      <c r="K418" s="81"/>
      <c r="L418" s="155"/>
      <c r="M418" s="155"/>
      <c r="N418" s="109"/>
      <c r="O418" s="126"/>
      <c r="P418" s="126"/>
      <c r="Q418" s="126"/>
      <c r="R418" s="127"/>
      <c r="S418" s="127"/>
      <c r="T418" s="127"/>
      <c r="U418" s="127"/>
    </row>
    <row r="419" spans="1:21" ht="15" customHeight="1">
      <c r="A419" s="125"/>
      <c r="B419" s="125"/>
      <c r="C419" s="125"/>
      <c r="D419" s="81"/>
      <c r="E419" s="81"/>
      <c r="F419" s="97"/>
      <c r="G419" s="81"/>
      <c r="H419" s="81"/>
      <c r="I419" s="81"/>
      <c r="J419" s="81"/>
      <c r="K419" s="81"/>
      <c r="L419" s="155"/>
      <c r="M419" s="155"/>
      <c r="N419" s="109"/>
      <c r="O419" s="126"/>
      <c r="P419" s="126"/>
      <c r="Q419" s="126"/>
      <c r="R419" s="127"/>
      <c r="S419" s="127"/>
      <c r="T419" s="127"/>
      <c r="U419" s="127"/>
    </row>
    <row r="420" spans="1:21" ht="15" customHeight="1">
      <c r="A420" s="125"/>
      <c r="B420" s="125"/>
      <c r="C420" s="125"/>
      <c r="D420" s="81"/>
      <c r="E420" s="81"/>
      <c r="F420" s="97"/>
      <c r="G420" s="81"/>
      <c r="H420" s="81"/>
      <c r="I420" s="81"/>
      <c r="J420" s="81"/>
      <c r="K420" s="81"/>
      <c r="L420" s="155"/>
      <c r="M420" s="155"/>
      <c r="N420" s="109"/>
      <c r="O420" s="126"/>
      <c r="P420" s="126"/>
      <c r="Q420" s="126"/>
      <c r="R420" s="127"/>
      <c r="S420" s="127"/>
      <c r="T420" s="127"/>
      <c r="U420" s="127"/>
    </row>
    <row r="421" spans="1:21" ht="15" customHeight="1">
      <c r="A421" s="125"/>
      <c r="B421" s="125"/>
      <c r="C421" s="125"/>
      <c r="D421" s="81"/>
      <c r="E421" s="81"/>
      <c r="F421" s="97"/>
      <c r="G421" s="81"/>
      <c r="H421" s="81"/>
      <c r="I421" s="81"/>
      <c r="J421" s="81"/>
      <c r="K421" s="81"/>
      <c r="L421" s="155"/>
      <c r="M421" s="155"/>
      <c r="N421" s="109"/>
      <c r="O421" s="126"/>
      <c r="P421" s="126"/>
      <c r="Q421" s="126"/>
      <c r="R421" s="127"/>
      <c r="S421" s="127"/>
      <c r="T421" s="127"/>
      <c r="U421" s="127"/>
    </row>
    <row r="422" spans="1:21" ht="15" customHeight="1">
      <c r="A422" s="125"/>
      <c r="B422" s="125"/>
      <c r="C422" s="125"/>
      <c r="D422" s="81"/>
      <c r="E422" s="81"/>
      <c r="F422" s="97"/>
      <c r="G422" s="81"/>
      <c r="H422" s="81"/>
      <c r="I422" s="81"/>
      <c r="J422" s="81"/>
      <c r="K422" s="81"/>
      <c r="L422" s="155"/>
      <c r="M422" s="155"/>
      <c r="N422" s="109"/>
      <c r="O422" s="126"/>
      <c r="P422" s="126"/>
      <c r="Q422" s="126"/>
      <c r="R422" s="127"/>
      <c r="S422" s="127"/>
      <c r="T422" s="127"/>
      <c r="U422" s="127"/>
    </row>
    <row r="423" spans="1:21" ht="15" customHeight="1">
      <c r="A423" s="125"/>
      <c r="B423" s="125"/>
      <c r="C423" s="125"/>
      <c r="D423" s="81"/>
      <c r="E423" s="81"/>
      <c r="F423" s="97"/>
      <c r="G423" s="81"/>
      <c r="H423" s="81"/>
      <c r="I423" s="81"/>
      <c r="J423" s="81"/>
      <c r="K423" s="81"/>
      <c r="L423" s="155"/>
      <c r="M423" s="155"/>
      <c r="N423" s="109"/>
      <c r="O423" s="126"/>
      <c r="P423" s="126"/>
      <c r="Q423" s="126"/>
      <c r="R423" s="127"/>
      <c r="S423" s="127"/>
      <c r="T423" s="127"/>
      <c r="U423" s="127"/>
    </row>
    <row r="424" spans="1:21" ht="15" customHeight="1">
      <c r="A424" s="125"/>
      <c r="B424" s="125"/>
      <c r="C424" s="125"/>
      <c r="D424" s="81"/>
      <c r="E424" s="81"/>
      <c r="F424" s="97"/>
      <c r="G424" s="81"/>
      <c r="H424" s="81"/>
      <c r="I424" s="81"/>
      <c r="J424" s="81"/>
      <c r="K424" s="81"/>
      <c r="L424" s="155"/>
      <c r="M424" s="155"/>
      <c r="N424" s="109"/>
      <c r="O424" s="126"/>
      <c r="P424" s="126"/>
      <c r="Q424" s="126"/>
      <c r="R424" s="127"/>
      <c r="S424" s="127"/>
      <c r="T424" s="127"/>
      <c r="U424" s="127"/>
    </row>
    <row r="425" spans="1:21" ht="15" customHeight="1">
      <c r="A425" s="125"/>
      <c r="B425" s="125"/>
      <c r="C425" s="125"/>
      <c r="D425" s="81"/>
      <c r="E425" s="81"/>
      <c r="F425" s="97"/>
      <c r="G425" s="81"/>
      <c r="H425" s="81"/>
      <c r="I425" s="81"/>
      <c r="J425" s="81"/>
      <c r="K425" s="81"/>
      <c r="L425" s="155"/>
      <c r="M425" s="155"/>
      <c r="N425" s="109"/>
      <c r="O425" s="126"/>
      <c r="P425" s="126"/>
      <c r="Q425" s="126"/>
      <c r="R425" s="127"/>
      <c r="S425" s="127"/>
      <c r="T425" s="127"/>
      <c r="U425" s="127"/>
    </row>
    <row r="426" spans="1:21" ht="15" customHeight="1">
      <c r="A426" s="125"/>
      <c r="B426" s="125"/>
      <c r="C426" s="125"/>
      <c r="D426" s="81"/>
      <c r="E426" s="81"/>
      <c r="F426" s="97"/>
      <c r="G426" s="81"/>
      <c r="H426" s="81"/>
      <c r="I426" s="81"/>
      <c r="J426" s="81"/>
      <c r="K426" s="81"/>
      <c r="L426" s="155"/>
      <c r="M426" s="155"/>
      <c r="N426" s="109"/>
      <c r="O426" s="126"/>
      <c r="P426" s="126"/>
      <c r="Q426" s="126"/>
      <c r="R426" s="127"/>
      <c r="S426" s="127"/>
      <c r="T426" s="127"/>
      <c r="U426" s="127"/>
    </row>
    <row r="427" spans="1:21" ht="15" customHeight="1">
      <c r="A427" s="125"/>
      <c r="B427" s="125"/>
      <c r="C427" s="125"/>
      <c r="D427" s="81"/>
      <c r="E427" s="81"/>
      <c r="F427" s="97"/>
      <c r="G427" s="81"/>
      <c r="H427" s="81"/>
      <c r="I427" s="81"/>
      <c r="J427" s="81"/>
      <c r="K427" s="81"/>
      <c r="L427" s="155"/>
      <c r="M427" s="155"/>
      <c r="N427" s="109"/>
      <c r="O427" s="126"/>
      <c r="P427" s="126"/>
      <c r="Q427" s="126"/>
      <c r="R427" s="127"/>
      <c r="S427" s="127"/>
      <c r="T427" s="127"/>
      <c r="U427" s="127"/>
    </row>
    <row r="428" spans="1:21" ht="15" customHeight="1">
      <c r="A428" s="125"/>
      <c r="B428" s="125"/>
      <c r="C428" s="125"/>
      <c r="D428" s="81"/>
      <c r="E428" s="81"/>
      <c r="F428" s="97"/>
      <c r="G428" s="81"/>
      <c r="H428" s="81"/>
      <c r="I428" s="81"/>
      <c r="J428" s="81"/>
      <c r="K428" s="81"/>
      <c r="L428" s="155"/>
      <c r="M428" s="155"/>
      <c r="N428" s="109"/>
      <c r="O428" s="126"/>
      <c r="P428" s="126"/>
      <c r="Q428" s="126"/>
      <c r="R428" s="127"/>
      <c r="S428" s="127"/>
      <c r="T428" s="127"/>
      <c r="U428" s="127"/>
    </row>
    <row r="429" spans="1:21" ht="15" customHeight="1">
      <c r="A429" s="125"/>
      <c r="B429" s="125"/>
      <c r="C429" s="125"/>
      <c r="D429" s="81"/>
      <c r="E429" s="81"/>
      <c r="F429" s="97"/>
      <c r="G429" s="81"/>
      <c r="H429" s="81"/>
      <c r="I429" s="81"/>
      <c r="J429" s="81"/>
      <c r="K429" s="81"/>
      <c r="L429" s="155"/>
      <c r="M429" s="155"/>
      <c r="N429" s="109"/>
      <c r="O429" s="126"/>
      <c r="P429" s="126"/>
      <c r="Q429" s="126"/>
      <c r="R429" s="127"/>
      <c r="S429" s="127"/>
      <c r="T429" s="127"/>
      <c r="U429" s="127"/>
    </row>
    <row r="430" spans="1:21" ht="15" customHeight="1">
      <c r="A430" s="125"/>
      <c r="B430" s="125"/>
      <c r="C430" s="125"/>
      <c r="D430" s="81"/>
      <c r="E430" s="81"/>
      <c r="F430" s="97"/>
      <c r="G430" s="81"/>
      <c r="H430" s="81"/>
      <c r="I430" s="81"/>
      <c r="J430" s="81"/>
      <c r="K430" s="81"/>
      <c r="L430" s="155"/>
      <c r="M430" s="155"/>
      <c r="N430" s="109"/>
      <c r="O430" s="126"/>
      <c r="P430" s="126"/>
      <c r="Q430" s="126"/>
      <c r="R430" s="127"/>
      <c r="S430" s="127"/>
      <c r="T430" s="127"/>
      <c r="U430" s="127"/>
    </row>
    <row r="431" spans="1:21" ht="15" customHeight="1">
      <c r="A431" s="125"/>
      <c r="B431" s="125"/>
      <c r="C431" s="125"/>
      <c r="D431" s="81"/>
      <c r="E431" s="81"/>
      <c r="F431" s="97"/>
      <c r="G431" s="81"/>
      <c r="H431" s="81"/>
      <c r="I431" s="81"/>
      <c r="J431" s="81"/>
      <c r="K431" s="81"/>
      <c r="L431" s="155"/>
      <c r="M431" s="155"/>
      <c r="N431" s="109"/>
      <c r="O431" s="126"/>
      <c r="P431" s="126"/>
      <c r="Q431" s="126"/>
      <c r="R431" s="127"/>
      <c r="S431" s="127"/>
      <c r="T431" s="127"/>
      <c r="U431" s="127"/>
    </row>
    <row r="432" spans="1:21" ht="15" customHeight="1">
      <c r="A432" s="125"/>
      <c r="B432" s="125"/>
      <c r="C432" s="125"/>
      <c r="D432" s="81"/>
      <c r="E432" s="81"/>
      <c r="F432" s="97"/>
      <c r="G432" s="81"/>
      <c r="H432" s="81"/>
      <c r="I432" s="81"/>
      <c r="J432" s="81"/>
      <c r="K432" s="81"/>
      <c r="L432" s="155"/>
      <c r="M432" s="155"/>
      <c r="N432" s="109"/>
      <c r="O432" s="126"/>
      <c r="P432" s="126"/>
      <c r="Q432" s="126"/>
      <c r="R432" s="127"/>
      <c r="S432" s="127"/>
      <c r="T432" s="127"/>
      <c r="U432" s="127"/>
    </row>
    <row r="433" spans="1:21" ht="15" customHeight="1">
      <c r="A433" s="125"/>
      <c r="B433" s="125"/>
      <c r="C433" s="125"/>
      <c r="D433" s="81"/>
      <c r="E433" s="81"/>
      <c r="F433" s="97"/>
      <c r="G433" s="81"/>
      <c r="H433" s="81"/>
      <c r="I433" s="81"/>
      <c r="J433" s="81"/>
      <c r="K433" s="81"/>
      <c r="L433" s="155"/>
      <c r="M433" s="155"/>
      <c r="N433" s="109"/>
      <c r="O433" s="126"/>
      <c r="P433" s="126"/>
      <c r="Q433" s="126"/>
      <c r="R433" s="127"/>
      <c r="S433" s="127"/>
      <c r="T433" s="127"/>
      <c r="U433" s="127"/>
    </row>
    <row r="434" spans="1:21" ht="15" customHeight="1">
      <c r="A434" s="125"/>
      <c r="B434" s="125"/>
      <c r="C434" s="125"/>
      <c r="D434" s="81"/>
      <c r="E434" s="81"/>
      <c r="F434" s="97"/>
      <c r="G434" s="81"/>
      <c r="H434" s="81"/>
      <c r="I434" s="81"/>
      <c r="J434" s="81"/>
      <c r="K434" s="81"/>
      <c r="L434" s="155"/>
      <c r="M434" s="155"/>
      <c r="N434" s="109"/>
      <c r="O434" s="126"/>
      <c r="P434" s="126"/>
      <c r="Q434" s="126"/>
      <c r="R434" s="127"/>
      <c r="S434" s="127"/>
      <c r="T434" s="127"/>
      <c r="U434" s="127"/>
    </row>
    <row r="435" spans="1:21" ht="15" customHeight="1">
      <c r="A435" s="125"/>
      <c r="B435" s="125"/>
      <c r="C435" s="125"/>
      <c r="D435" s="81"/>
      <c r="E435" s="81"/>
      <c r="F435" s="97"/>
      <c r="G435" s="81"/>
      <c r="H435" s="81"/>
      <c r="I435" s="81"/>
      <c r="J435" s="81"/>
      <c r="K435" s="81"/>
      <c r="L435" s="155"/>
      <c r="M435" s="155"/>
      <c r="N435" s="109"/>
      <c r="O435" s="126"/>
      <c r="P435" s="126"/>
      <c r="Q435" s="126"/>
      <c r="R435" s="127"/>
      <c r="S435" s="127"/>
      <c r="T435" s="127"/>
      <c r="U435" s="127"/>
    </row>
    <row r="436" spans="1:21" ht="15" customHeight="1">
      <c r="A436" s="125"/>
      <c r="B436" s="125"/>
      <c r="C436" s="125"/>
      <c r="D436" s="81"/>
      <c r="E436" s="81"/>
      <c r="F436" s="97"/>
      <c r="G436" s="81"/>
      <c r="H436" s="81"/>
      <c r="I436" s="81"/>
      <c r="J436" s="81"/>
      <c r="K436" s="81"/>
      <c r="L436" s="155"/>
      <c r="M436" s="155"/>
      <c r="N436" s="109"/>
      <c r="O436" s="126"/>
      <c r="P436" s="126"/>
      <c r="Q436" s="126"/>
      <c r="R436" s="127"/>
      <c r="S436" s="127"/>
      <c r="T436" s="127"/>
      <c r="U436" s="127"/>
    </row>
    <row r="437" spans="1:21" ht="15" customHeight="1">
      <c r="A437" s="125"/>
      <c r="B437" s="125"/>
      <c r="C437" s="125"/>
      <c r="D437" s="81"/>
      <c r="E437" s="81"/>
      <c r="F437" s="97"/>
      <c r="G437" s="81"/>
      <c r="H437" s="81"/>
      <c r="I437" s="81"/>
      <c r="J437" s="81"/>
      <c r="K437" s="81"/>
      <c r="L437" s="155"/>
      <c r="M437" s="155"/>
      <c r="N437" s="109"/>
      <c r="O437" s="126"/>
      <c r="P437" s="126"/>
      <c r="Q437" s="126"/>
      <c r="R437" s="127"/>
      <c r="S437" s="127"/>
      <c r="T437" s="127"/>
      <c r="U437" s="127"/>
    </row>
    <row r="438" spans="1:21" ht="15" customHeight="1">
      <c r="A438" s="125"/>
      <c r="B438" s="125"/>
      <c r="C438" s="125"/>
      <c r="D438" s="81"/>
      <c r="E438" s="81"/>
      <c r="F438" s="97"/>
      <c r="G438" s="81"/>
      <c r="H438" s="81"/>
      <c r="I438" s="81"/>
      <c r="J438" s="81"/>
      <c r="K438" s="81"/>
      <c r="L438" s="155"/>
      <c r="M438" s="155"/>
      <c r="N438" s="109"/>
      <c r="O438" s="126"/>
      <c r="P438" s="126"/>
      <c r="Q438" s="126"/>
      <c r="R438" s="127"/>
      <c r="S438" s="127"/>
      <c r="T438" s="127"/>
      <c r="U438" s="127"/>
    </row>
    <row r="439" spans="1:21" ht="15" customHeight="1">
      <c r="A439" s="125"/>
      <c r="B439" s="125"/>
      <c r="C439" s="125"/>
      <c r="D439" s="81"/>
      <c r="E439" s="81"/>
      <c r="F439" s="97"/>
      <c r="G439" s="81"/>
      <c r="H439" s="81"/>
      <c r="I439" s="81"/>
      <c r="J439" s="81"/>
      <c r="K439" s="81"/>
      <c r="L439" s="155"/>
      <c r="M439" s="155"/>
      <c r="N439" s="109"/>
      <c r="O439" s="126"/>
      <c r="P439" s="126"/>
      <c r="Q439" s="126"/>
      <c r="R439" s="127"/>
      <c r="S439" s="127"/>
      <c r="T439" s="127"/>
      <c r="U439" s="127"/>
    </row>
    <row r="440" spans="1:21" ht="15" customHeight="1">
      <c r="A440" s="125"/>
      <c r="B440" s="125"/>
      <c r="C440" s="125"/>
      <c r="D440" s="81"/>
      <c r="E440" s="81"/>
      <c r="F440" s="97"/>
      <c r="G440" s="81"/>
      <c r="H440" s="81"/>
      <c r="I440" s="81"/>
      <c r="J440" s="81"/>
      <c r="K440" s="81"/>
      <c r="L440" s="155"/>
      <c r="M440" s="155"/>
      <c r="N440" s="109"/>
      <c r="O440" s="126"/>
      <c r="P440" s="126"/>
      <c r="Q440" s="126"/>
      <c r="R440" s="127"/>
      <c r="S440" s="127"/>
      <c r="T440" s="127"/>
      <c r="U440" s="127"/>
    </row>
    <row r="441" spans="1:21" ht="15" customHeight="1">
      <c r="A441" s="125"/>
      <c r="B441" s="125"/>
      <c r="C441" s="125"/>
      <c r="D441" s="81"/>
      <c r="E441" s="81"/>
      <c r="F441" s="97"/>
      <c r="G441" s="81"/>
      <c r="H441" s="81"/>
      <c r="I441" s="81"/>
      <c r="J441" s="81"/>
      <c r="K441" s="81"/>
      <c r="L441" s="155"/>
      <c r="M441" s="155"/>
      <c r="N441" s="109"/>
      <c r="O441" s="126"/>
      <c r="P441" s="126"/>
      <c r="Q441" s="126"/>
      <c r="R441" s="127"/>
      <c r="S441" s="127"/>
      <c r="T441" s="127"/>
      <c r="U441" s="127"/>
    </row>
    <row r="442" spans="1:21" ht="15" customHeight="1">
      <c r="A442" s="125"/>
      <c r="B442" s="125"/>
      <c r="C442" s="125"/>
      <c r="D442" s="81"/>
      <c r="E442" s="81"/>
      <c r="F442" s="97"/>
      <c r="G442" s="81"/>
      <c r="H442" s="81"/>
      <c r="I442" s="81"/>
      <c r="J442" s="81"/>
      <c r="K442" s="81"/>
      <c r="L442" s="155"/>
      <c r="M442" s="155"/>
      <c r="N442" s="109"/>
      <c r="O442" s="126"/>
      <c r="P442" s="126"/>
      <c r="Q442" s="126"/>
      <c r="R442" s="127"/>
      <c r="S442" s="127"/>
      <c r="T442" s="127"/>
      <c r="U442" s="127"/>
    </row>
    <row r="443" spans="1:21" ht="15" customHeight="1">
      <c r="A443" s="125"/>
      <c r="B443" s="125"/>
      <c r="C443" s="125"/>
      <c r="D443" s="81"/>
      <c r="E443" s="81"/>
      <c r="F443" s="97"/>
      <c r="G443" s="81"/>
      <c r="H443" s="81"/>
      <c r="I443" s="81"/>
      <c r="J443" s="81"/>
      <c r="K443" s="81"/>
      <c r="L443" s="155"/>
      <c r="M443" s="155"/>
      <c r="N443" s="109"/>
      <c r="O443" s="126"/>
      <c r="P443" s="126"/>
      <c r="Q443" s="126"/>
      <c r="R443" s="127"/>
      <c r="S443" s="127"/>
      <c r="T443" s="127"/>
      <c r="U443" s="127"/>
    </row>
    <row r="444" spans="1:21" ht="15" customHeight="1">
      <c r="A444" s="125"/>
      <c r="B444" s="125"/>
      <c r="C444" s="125"/>
      <c r="D444" s="81"/>
      <c r="E444" s="81"/>
      <c r="F444" s="97"/>
      <c r="G444" s="81"/>
      <c r="H444" s="81"/>
      <c r="I444" s="81"/>
      <c r="J444" s="81"/>
      <c r="K444" s="81"/>
      <c r="L444" s="155"/>
      <c r="M444" s="155"/>
      <c r="N444" s="109"/>
      <c r="O444" s="126"/>
      <c r="P444" s="126"/>
      <c r="Q444" s="126"/>
      <c r="R444" s="127"/>
      <c r="S444" s="127"/>
      <c r="T444" s="127"/>
      <c r="U444" s="127"/>
    </row>
    <row r="445" spans="1:21" ht="15" customHeight="1">
      <c r="A445" s="125"/>
      <c r="B445" s="125"/>
      <c r="C445" s="125"/>
      <c r="D445" s="81"/>
      <c r="E445" s="81"/>
      <c r="F445" s="97"/>
      <c r="G445" s="81"/>
      <c r="H445" s="81"/>
      <c r="I445" s="81"/>
      <c r="J445" s="81"/>
      <c r="K445" s="81"/>
      <c r="L445" s="155"/>
      <c r="M445" s="155"/>
      <c r="N445" s="109"/>
      <c r="O445" s="126"/>
      <c r="P445" s="126"/>
      <c r="Q445" s="126"/>
      <c r="R445" s="127"/>
      <c r="S445" s="127"/>
      <c r="T445" s="127"/>
      <c r="U445" s="127"/>
    </row>
    <row r="446" spans="1:21" ht="15" customHeight="1">
      <c r="A446" s="125"/>
      <c r="B446" s="125"/>
      <c r="C446" s="125"/>
      <c r="D446" s="81"/>
      <c r="E446" s="81"/>
      <c r="F446" s="97"/>
      <c r="G446" s="81"/>
      <c r="H446" s="81"/>
      <c r="I446" s="81"/>
      <c r="J446" s="81"/>
      <c r="K446" s="81"/>
      <c r="L446" s="155"/>
      <c r="M446" s="155"/>
      <c r="N446" s="109"/>
      <c r="O446" s="126"/>
      <c r="P446" s="126"/>
      <c r="Q446" s="126"/>
      <c r="R446" s="127"/>
      <c r="S446" s="127"/>
      <c r="T446" s="127"/>
      <c r="U446" s="127"/>
    </row>
    <row r="447" spans="1:21" ht="15" customHeight="1">
      <c r="A447" s="125"/>
      <c r="B447" s="125"/>
      <c r="C447" s="125"/>
      <c r="D447" s="81"/>
      <c r="E447" s="81"/>
      <c r="F447" s="97"/>
      <c r="G447" s="81"/>
      <c r="H447" s="81"/>
      <c r="I447" s="81"/>
      <c r="J447" s="81"/>
      <c r="K447" s="81"/>
      <c r="L447" s="155"/>
      <c r="M447" s="155"/>
      <c r="N447" s="109"/>
      <c r="O447" s="126"/>
      <c r="P447" s="126"/>
      <c r="Q447" s="126"/>
      <c r="R447" s="127"/>
      <c r="S447" s="127"/>
      <c r="T447" s="127"/>
      <c r="U447" s="127"/>
    </row>
    <row r="448" spans="1:21" ht="15" customHeight="1">
      <c r="A448" s="125"/>
      <c r="B448" s="125"/>
      <c r="C448" s="125"/>
      <c r="D448" s="81"/>
      <c r="E448" s="81"/>
      <c r="F448" s="97"/>
      <c r="G448" s="81"/>
      <c r="H448" s="81"/>
      <c r="I448" s="81"/>
      <c r="J448" s="81"/>
      <c r="K448" s="81"/>
      <c r="L448" s="155"/>
      <c r="M448" s="155"/>
      <c r="N448" s="109"/>
      <c r="O448" s="126"/>
      <c r="P448" s="126"/>
      <c r="Q448" s="126"/>
      <c r="R448" s="127"/>
      <c r="S448" s="127"/>
      <c r="T448" s="127"/>
      <c r="U448" s="127"/>
    </row>
    <row r="449" spans="1:21" ht="15" customHeight="1">
      <c r="A449" s="125"/>
      <c r="B449" s="125"/>
      <c r="C449" s="125"/>
      <c r="D449" s="81"/>
      <c r="E449" s="81"/>
      <c r="F449" s="97"/>
      <c r="G449" s="81"/>
      <c r="H449" s="81"/>
      <c r="I449" s="81"/>
      <c r="J449" s="81"/>
      <c r="K449" s="81"/>
      <c r="L449" s="155"/>
      <c r="M449" s="155"/>
      <c r="N449" s="109"/>
      <c r="O449" s="126"/>
      <c r="P449" s="126"/>
      <c r="Q449" s="126"/>
      <c r="R449" s="127"/>
      <c r="S449" s="127"/>
      <c r="T449" s="127"/>
      <c r="U449" s="127"/>
    </row>
    <row r="450" spans="1:21" ht="15" customHeight="1">
      <c r="A450" s="125"/>
      <c r="B450" s="125"/>
      <c r="C450" s="125"/>
      <c r="D450" s="81"/>
      <c r="E450" s="81"/>
      <c r="F450" s="97"/>
      <c r="G450" s="81"/>
      <c r="H450" s="81"/>
      <c r="I450" s="81"/>
      <c r="J450" s="81"/>
      <c r="K450" s="81"/>
      <c r="L450" s="155"/>
      <c r="M450" s="155"/>
      <c r="N450" s="109"/>
      <c r="O450" s="126"/>
      <c r="P450" s="126"/>
      <c r="Q450" s="126"/>
      <c r="R450" s="127"/>
      <c r="S450" s="127"/>
      <c r="T450" s="127"/>
      <c r="U450" s="127"/>
    </row>
    <row r="451" spans="1:21" ht="15" customHeight="1">
      <c r="A451" s="125"/>
      <c r="B451" s="125"/>
      <c r="C451" s="125"/>
      <c r="D451" s="81"/>
      <c r="E451" s="81"/>
      <c r="F451" s="97"/>
      <c r="G451" s="81"/>
      <c r="H451" s="81"/>
      <c r="I451" s="81"/>
      <c r="J451" s="81"/>
      <c r="K451" s="81"/>
      <c r="L451" s="155"/>
      <c r="M451" s="155"/>
      <c r="N451" s="109"/>
      <c r="O451" s="126"/>
      <c r="P451" s="126"/>
      <c r="Q451" s="126"/>
      <c r="R451" s="127"/>
      <c r="S451" s="127"/>
      <c r="T451" s="127"/>
      <c r="U451" s="127"/>
    </row>
    <row r="452" spans="1:21" ht="15" customHeight="1">
      <c r="A452" s="125"/>
      <c r="B452" s="125"/>
      <c r="C452" s="125"/>
      <c r="D452" s="81"/>
      <c r="E452" s="81"/>
      <c r="F452" s="97"/>
      <c r="G452" s="81"/>
      <c r="H452" s="81"/>
      <c r="I452" s="81"/>
      <c r="J452" s="81"/>
      <c r="K452" s="81"/>
      <c r="L452" s="155"/>
      <c r="M452" s="155"/>
      <c r="N452" s="109"/>
      <c r="O452" s="126"/>
      <c r="P452" s="126"/>
      <c r="Q452" s="126"/>
      <c r="R452" s="127"/>
      <c r="S452" s="127"/>
      <c r="T452" s="127"/>
      <c r="U452" s="127"/>
    </row>
    <row r="453" spans="1:21" ht="15" customHeight="1">
      <c r="A453" s="125"/>
      <c r="B453" s="125"/>
      <c r="C453" s="125"/>
      <c r="D453" s="81"/>
      <c r="E453" s="81"/>
      <c r="F453" s="97"/>
      <c r="G453" s="81"/>
      <c r="H453" s="81"/>
      <c r="I453" s="81"/>
      <c r="J453" s="81"/>
      <c r="K453" s="81"/>
      <c r="L453" s="155"/>
      <c r="M453" s="155"/>
      <c r="N453" s="109"/>
      <c r="O453" s="126"/>
      <c r="P453" s="126"/>
      <c r="Q453" s="126"/>
      <c r="R453" s="127"/>
      <c r="S453" s="127"/>
      <c r="T453" s="127"/>
      <c r="U453" s="127"/>
    </row>
    <row r="454" spans="1:21" ht="15" customHeight="1">
      <c r="A454" s="125"/>
      <c r="B454" s="125"/>
      <c r="C454" s="125"/>
      <c r="D454" s="81"/>
      <c r="E454" s="81"/>
      <c r="F454" s="97"/>
      <c r="G454" s="81"/>
      <c r="H454" s="81"/>
      <c r="I454" s="81"/>
      <c r="J454" s="81"/>
      <c r="K454" s="81"/>
      <c r="L454" s="155"/>
      <c r="M454" s="155"/>
      <c r="N454" s="109"/>
      <c r="O454" s="126"/>
      <c r="P454" s="126"/>
      <c r="Q454" s="126"/>
      <c r="R454" s="127"/>
      <c r="S454" s="127"/>
      <c r="T454" s="127"/>
      <c r="U454" s="127"/>
    </row>
    <row r="455" spans="1:21" ht="15" customHeight="1">
      <c r="A455" s="125"/>
      <c r="B455" s="125"/>
      <c r="C455" s="125"/>
      <c r="D455" s="81"/>
      <c r="E455" s="81"/>
      <c r="F455" s="97"/>
      <c r="G455" s="81"/>
      <c r="H455" s="81"/>
      <c r="I455" s="81"/>
      <c r="J455" s="81"/>
      <c r="K455" s="81"/>
      <c r="L455" s="155"/>
      <c r="M455" s="155"/>
      <c r="N455" s="109"/>
      <c r="O455" s="126"/>
      <c r="P455" s="126"/>
      <c r="Q455" s="126"/>
      <c r="R455" s="127"/>
      <c r="S455" s="127"/>
      <c r="T455" s="127"/>
      <c r="U455" s="127"/>
    </row>
    <row r="456" spans="1:21" ht="15" customHeight="1">
      <c r="A456" s="125"/>
      <c r="B456" s="125"/>
      <c r="C456" s="125"/>
      <c r="D456" s="81"/>
      <c r="E456" s="81"/>
      <c r="F456" s="97"/>
      <c r="G456" s="81"/>
      <c r="H456" s="81"/>
      <c r="I456" s="81"/>
      <c r="J456" s="81"/>
      <c r="K456" s="81"/>
      <c r="L456" s="155"/>
      <c r="M456" s="155"/>
      <c r="N456" s="109"/>
      <c r="O456" s="126"/>
      <c r="P456" s="126"/>
      <c r="Q456" s="126"/>
      <c r="R456" s="127"/>
      <c r="S456" s="127"/>
      <c r="T456" s="127"/>
      <c r="U456" s="127"/>
    </row>
    <row r="457" spans="1:21" ht="15" customHeight="1">
      <c r="A457" s="125"/>
      <c r="B457" s="125"/>
      <c r="C457" s="125"/>
      <c r="D457" s="81"/>
      <c r="E457" s="81"/>
      <c r="F457" s="97"/>
      <c r="G457" s="81"/>
      <c r="H457" s="81"/>
      <c r="I457" s="81"/>
      <c r="J457" s="81"/>
      <c r="K457" s="81"/>
      <c r="L457" s="155"/>
      <c r="M457" s="155"/>
      <c r="N457" s="109"/>
      <c r="O457" s="126"/>
      <c r="P457" s="126"/>
      <c r="Q457" s="126"/>
      <c r="R457" s="127"/>
      <c r="S457" s="127"/>
      <c r="T457" s="127"/>
      <c r="U457" s="127"/>
    </row>
    <row r="458" spans="1:21" ht="15" customHeight="1">
      <c r="A458" s="125"/>
      <c r="B458" s="125"/>
      <c r="C458" s="125"/>
      <c r="D458" s="81"/>
      <c r="E458" s="81"/>
      <c r="F458" s="97"/>
      <c r="G458" s="81"/>
      <c r="H458" s="81"/>
      <c r="I458" s="81"/>
      <c r="J458" s="81"/>
      <c r="K458" s="81"/>
      <c r="L458" s="155"/>
      <c r="M458" s="155"/>
      <c r="N458" s="109"/>
      <c r="O458" s="126"/>
      <c r="P458" s="126"/>
      <c r="Q458" s="126"/>
      <c r="R458" s="127"/>
      <c r="S458" s="127"/>
      <c r="T458" s="127"/>
      <c r="U458" s="127"/>
    </row>
    <row r="459" spans="1:21" ht="15" customHeight="1">
      <c r="A459" s="125"/>
      <c r="B459" s="125"/>
      <c r="C459" s="125"/>
      <c r="D459" s="81"/>
      <c r="E459" s="81"/>
      <c r="F459" s="97"/>
      <c r="G459" s="81"/>
      <c r="H459" s="81"/>
      <c r="I459" s="81"/>
      <c r="J459" s="81"/>
      <c r="K459" s="81"/>
      <c r="L459" s="155"/>
      <c r="M459" s="155"/>
      <c r="N459" s="109"/>
      <c r="O459" s="126"/>
      <c r="P459" s="126"/>
      <c r="Q459" s="126"/>
      <c r="R459" s="127"/>
      <c r="S459" s="127"/>
      <c r="T459" s="127"/>
      <c r="U459" s="127"/>
    </row>
    <row r="460" spans="1:21" ht="15" customHeight="1">
      <c r="A460" s="125"/>
      <c r="B460" s="125"/>
      <c r="C460" s="125"/>
      <c r="D460" s="81"/>
      <c r="E460" s="81"/>
      <c r="F460" s="97"/>
      <c r="G460" s="81"/>
      <c r="H460" s="81"/>
      <c r="I460" s="81"/>
      <c r="J460" s="81"/>
      <c r="K460" s="81"/>
      <c r="L460" s="155"/>
      <c r="M460" s="155"/>
      <c r="N460" s="109"/>
      <c r="O460" s="126"/>
      <c r="P460" s="126"/>
      <c r="Q460" s="126"/>
      <c r="R460" s="127"/>
      <c r="S460" s="127"/>
      <c r="T460" s="127"/>
      <c r="U460" s="127"/>
    </row>
    <row r="461" spans="1:21" ht="15" customHeight="1">
      <c r="A461" s="125"/>
      <c r="B461" s="125"/>
      <c r="C461" s="125"/>
      <c r="D461" s="81"/>
      <c r="E461" s="81"/>
      <c r="F461" s="97"/>
      <c r="G461" s="81"/>
      <c r="H461" s="81"/>
      <c r="I461" s="81"/>
      <c r="J461" s="81"/>
      <c r="K461" s="81"/>
      <c r="L461" s="155"/>
      <c r="M461" s="155"/>
      <c r="N461" s="109"/>
      <c r="O461" s="126"/>
      <c r="P461" s="126"/>
      <c r="Q461" s="126"/>
      <c r="R461" s="127"/>
      <c r="S461" s="127"/>
      <c r="T461" s="127"/>
      <c r="U461" s="127"/>
    </row>
    <row r="462" spans="1:21" ht="15" customHeight="1">
      <c r="A462" s="125"/>
      <c r="B462" s="125"/>
      <c r="C462" s="125"/>
      <c r="D462" s="81"/>
      <c r="E462" s="81"/>
      <c r="F462" s="97"/>
      <c r="G462" s="81"/>
      <c r="H462" s="81"/>
      <c r="I462" s="81"/>
      <c r="J462" s="81"/>
      <c r="K462" s="81"/>
      <c r="L462" s="155"/>
      <c r="M462" s="155"/>
      <c r="N462" s="109"/>
      <c r="O462" s="126"/>
      <c r="P462" s="126"/>
      <c r="Q462" s="126"/>
      <c r="R462" s="127"/>
      <c r="S462" s="127"/>
      <c r="T462" s="127"/>
      <c r="U462" s="127"/>
    </row>
    <row r="463" spans="1:21" ht="15" customHeight="1">
      <c r="A463" s="125"/>
      <c r="B463" s="125"/>
      <c r="C463" s="125"/>
      <c r="D463" s="81"/>
      <c r="E463" s="81"/>
      <c r="F463" s="97"/>
      <c r="G463" s="81"/>
      <c r="H463" s="81"/>
      <c r="I463" s="81"/>
      <c r="J463" s="81"/>
      <c r="K463" s="81"/>
      <c r="L463" s="155"/>
      <c r="M463" s="155"/>
      <c r="N463" s="109"/>
      <c r="O463" s="126"/>
      <c r="P463" s="126"/>
      <c r="Q463" s="126"/>
      <c r="R463" s="127"/>
      <c r="S463" s="127"/>
      <c r="T463" s="127"/>
      <c r="U463" s="127"/>
    </row>
    <row r="464" spans="1:21" ht="15" customHeight="1">
      <c r="A464" s="125"/>
      <c r="B464" s="125"/>
      <c r="C464" s="125"/>
      <c r="D464" s="81"/>
      <c r="E464" s="81"/>
      <c r="F464" s="97"/>
      <c r="G464" s="81"/>
      <c r="H464" s="81"/>
      <c r="I464" s="81"/>
      <c r="J464" s="81"/>
      <c r="K464" s="81"/>
      <c r="L464" s="155"/>
      <c r="M464" s="155"/>
      <c r="N464" s="109"/>
      <c r="O464" s="126"/>
      <c r="P464" s="126"/>
      <c r="Q464" s="126"/>
      <c r="R464" s="127"/>
      <c r="S464" s="127"/>
      <c r="T464" s="127"/>
      <c r="U464" s="127"/>
    </row>
    <row r="465" spans="1:21" ht="15" customHeight="1">
      <c r="A465" s="125"/>
      <c r="B465" s="125"/>
      <c r="C465" s="125"/>
      <c r="D465" s="81"/>
      <c r="E465" s="81"/>
      <c r="F465" s="97"/>
      <c r="G465" s="81"/>
      <c r="H465" s="81"/>
      <c r="I465" s="81"/>
      <c r="J465" s="81"/>
      <c r="K465" s="81"/>
      <c r="L465" s="155"/>
      <c r="M465" s="155"/>
      <c r="N465" s="109"/>
      <c r="O465" s="126"/>
      <c r="P465" s="126"/>
      <c r="Q465" s="126"/>
      <c r="R465" s="127"/>
      <c r="S465" s="127"/>
      <c r="T465" s="127"/>
      <c r="U465" s="127"/>
    </row>
    <row r="466" spans="1:21" ht="15" customHeight="1">
      <c r="A466" s="125"/>
      <c r="B466" s="125"/>
      <c r="C466" s="125"/>
      <c r="D466" s="81"/>
      <c r="E466" s="81"/>
      <c r="F466" s="97"/>
      <c r="G466" s="81"/>
      <c r="H466" s="81"/>
      <c r="I466" s="81"/>
      <c r="J466" s="81"/>
      <c r="K466" s="81"/>
      <c r="L466" s="155"/>
      <c r="M466" s="155"/>
      <c r="N466" s="109"/>
      <c r="O466" s="126"/>
      <c r="P466" s="126"/>
      <c r="Q466" s="126"/>
      <c r="R466" s="127"/>
      <c r="S466" s="127"/>
      <c r="T466" s="127"/>
      <c r="U466" s="127"/>
    </row>
    <row r="467" spans="1:21" ht="15" customHeight="1">
      <c r="A467" s="125"/>
      <c r="B467" s="125"/>
      <c r="C467" s="125"/>
      <c r="D467" s="81"/>
      <c r="E467" s="81"/>
      <c r="F467" s="97"/>
      <c r="G467" s="81"/>
      <c r="H467" s="81"/>
      <c r="I467" s="81"/>
      <c r="J467" s="81"/>
      <c r="K467" s="81"/>
      <c r="L467" s="155"/>
      <c r="M467" s="155"/>
      <c r="N467" s="109"/>
      <c r="O467" s="126"/>
      <c r="P467" s="126"/>
      <c r="Q467" s="126"/>
      <c r="R467" s="127"/>
      <c r="S467" s="127"/>
      <c r="T467" s="127"/>
      <c r="U467" s="127"/>
    </row>
    <row r="468" spans="1:21" ht="15" customHeight="1">
      <c r="A468" s="125"/>
      <c r="B468" s="125"/>
      <c r="C468" s="125"/>
      <c r="D468" s="81"/>
      <c r="E468" s="81"/>
      <c r="F468" s="97"/>
      <c r="G468" s="81"/>
      <c r="H468" s="81"/>
      <c r="I468" s="81"/>
      <c r="J468" s="81"/>
      <c r="K468" s="81"/>
      <c r="L468" s="155"/>
      <c r="M468" s="155"/>
      <c r="N468" s="109"/>
      <c r="O468" s="126"/>
      <c r="P468" s="126"/>
      <c r="Q468" s="126"/>
      <c r="R468" s="127"/>
      <c r="S468" s="127"/>
      <c r="T468" s="127"/>
      <c r="U468" s="127"/>
    </row>
    <row r="469" spans="1:21" ht="15" customHeight="1">
      <c r="A469" s="125"/>
      <c r="B469" s="125"/>
      <c r="C469" s="125"/>
      <c r="D469" s="81"/>
      <c r="E469" s="81"/>
      <c r="F469" s="97"/>
      <c r="G469" s="81"/>
      <c r="H469" s="81"/>
      <c r="I469" s="81"/>
      <c r="J469" s="81"/>
      <c r="K469" s="81"/>
      <c r="L469" s="155"/>
      <c r="M469" s="155"/>
      <c r="N469" s="109"/>
      <c r="O469" s="126"/>
      <c r="P469" s="126"/>
      <c r="Q469" s="126"/>
      <c r="R469" s="127"/>
      <c r="S469" s="127"/>
      <c r="T469" s="127"/>
      <c r="U469" s="127"/>
    </row>
    <row r="470" spans="1:21" ht="15" customHeight="1">
      <c r="A470" s="125"/>
      <c r="B470" s="125"/>
      <c r="C470" s="125"/>
      <c r="D470" s="81"/>
      <c r="E470" s="81"/>
      <c r="F470" s="97"/>
      <c r="G470" s="81"/>
      <c r="H470" s="81"/>
      <c r="I470" s="81"/>
      <c r="J470" s="81"/>
      <c r="K470" s="81"/>
      <c r="L470" s="155"/>
      <c r="M470" s="155"/>
      <c r="N470" s="109"/>
      <c r="O470" s="126"/>
      <c r="P470" s="126"/>
      <c r="Q470" s="126"/>
      <c r="R470" s="127"/>
      <c r="S470" s="127"/>
      <c r="T470" s="127"/>
      <c r="U470" s="127"/>
    </row>
    <row r="471" spans="1:21" ht="15" customHeight="1">
      <c r="A471" s="125"/>
      <c r="B471" s="125"/>
      <c r="C471" s="125"/>
      <c r="D471" s="81"/>
      <c r="E471" s="81"/>
      <c r="F471" s="97"/>
      <c r="G471" s="81"/>
      <c r="H471" s="81"/>
      <c r="I471" s="81"/>
      <c r="J471" s="81"/>
      <c r="K471" s="81"/>
      <c r="L471" s="155"/>
      <c r="M471" s="155"/>
      <c r="N471" s="109"/>
      <c r="O471" s="126"/>
      <c r="P471" s="126"/>
      <c r="Q471" s="126"/>
      <c r="R471" s="127"/>
      <c r="S471" s="127"/>
      <c r="T471" s="127"/>
      <c r="U471" s="127"/>
    </row>
    <row r="472" spans="1:21" ht="15" customHeight="1">
      <c r="A472" s="125"/>
      <c r="B472" s="125"/>
      <c r="C472" s="125"/>
      <c r="D472" s="81"/>
      <c r="E472" s="81"/>
      <c r="F472" s="97"/>
      <c r="G472" s="81"/>
      <c r="H472" s="81"/>
      <c r="I472" s="81"/>
      <c r="J472" s="81"/>
      <c r="K472" s="81"/>
      <c r="L472" s="155"/>
      <c r="M472" s="155"/>
      <c r="N472" s="109"/>
      <c r="O472" s="126"/>
      <c r="P472" s="126"/>
      <c r="Q472" s="126"/>
      <c r="R472" s="127"/>
      <c r="S472" s="127"/>
      <c r="T472" s="127"/>
      <c r="U472" s="127"/>
    </row>
    <row r="473" spans="1:21" ht="15" customHeight="1">
      <c r="A473" s="125"/>
      <c r="B473" s="125"/>
      <c r="C473" s="125"/>
      <c r="D473" s="81"/>
      <c r="E473" s="81"/>
      <c r="F473" s="97"/>
      <c r="G473" s="81"/>
      <c r="H473" s="81"/>
      <c r="I473" s="81"/>
      <c r="J473" s="81"/>
      <c r="K473" s="81"/>
      <c r="L473" s="155"/>
      <c r="M473" s="155"/>
      <c r="N473" s="109"/>
      <c r="O473" s="126"/>
      <c r="P473" s="126"/>
      <c r="Q473" s="126"/>
      <c r="R473" s="127"/>
      <c r="S473" s="127"/>
      <c r="T473" s="127"/>
      <c r="U473" s="127"/>
    </row>
    <row r="474" spans="1:21" ht="15" customHeight="1">
      <c r="A474" s="125"/>
      <c r="B474" s="125"/>
      <c r="C474" s="125"/>
      <c r="D474" s="81"/>
      <c r="E474" s="81"/>
      <c r="F474" s="97"/>
      <c r="G474" s="81"/>
      <c r="H474" s="81"/>
      <c r="I474" s="81"/>
      <c r="J474" s="81"/>
      <c r="K474" s="81"/>
      <c r="L474" s="155"/>
      <c r="M474" s="155"/>
      <c r="N474" s="109"/>
      <c r="O474" s="126"/>
      <c r="P474" s="126"/>
      <c r="Q474" s="126"/>
      <c r="R474" s="127"/>
      <c r="S474" s="127"/>
      <c r="T474" s="127"/>
      <c r="U474" s="127"/>
    </row>
    <row r="475" spans="1:21" ht="15" customHeight="1">
      <c r="A475" s="125"/>
      <c r="B475" s="125"/>
      <c r="C475" s="125"/>
      <c r="D475" s="81"/>
      <c r="E475" s="81"/>
      <c r="F475" s="97"/>
      <c r="G475" s="81"/>
      <c r="H475" s="81"/>
      <c r="I475" s="81"/>
      <c r="J475" s="81"/>
      <c r="K475" s="81"/>
      <c r="L475" s="155"/>
      <c r="M475" s="155"/>
      <c r="N475" s="109"/>
      <c r="O475" s="126"/>
      <c r="P475" s="126"/>
      <c r="Q475" s="126"/>
      <c r="R475" s="127"/>
      <c r="S475" s="127"/>
      <c r="T475" s="127"/>
      <c r="U475" s="127"/>
    </row>
    <row r="476" spans="1:21" ht="15" customHeight="1">
      <c r="A476" s="125"/>
      <c r="B476" s="125"/>
      <c r="C476" s="125"/>
      <c r="D476" s="81"/>
      <c r="E476" s="81"/>
      <c r="F476" s="97"/>
      <c r="G476" s="81"/>
      <c r="H476" s="81"/>
      <c r="I476" s="81"/>
      <c r="J476" s="81"/>
      <c r="K476" s="81"/>
      <c r="L476" s="155"/>
      <c r="M476" s="155"/>
      <c r="N476" s="109"/>
      <c r="O476" s="126"/>
      <c r="P476" s="126"/>
      <c r="Q476" s="126"/>
      <c r="R476" s="127"/>
      <c r="S476" s="127"/>
      <c r="T476" s="127"/>
      <c r="U476" s="127"/>
    </row>
    <row r="477" spans="1:21" ht="15" customHeight="1">
      <c r="A477" s="125"/>
      <c r="B477" s="125"/>
      <c r="C477" s="125"/>
      <c r="D477" s="81"/>
      <c r="E477" s="81"/>
      <c r="F477" s="97"/>
      <c r="G477" s="81"/>
      <c r="H477" s="81"/>
      <c r="I477" s="81"/>
      <c r="J477" s="81"/>
      <c r="K477" s="81"/>
      <c r="L477" s="155"/>
      <c r="M477" s="155"/>
      <c r="N477" s="109"/>
      <c r="O477" s="126"/>
      <c r="P477" s="126"/>
      <c r="Q477" s="126"/>
      <c r="R477" s="127"/>
      <c r="S477" s="127"/>
      <c r="T477" s="127"/>
      <c r="U477" s="127"/>
    </row>
    <row r="478" spans="1:21" ht="15" customHeight="1">
      <c r="A478" s="125"/>
      <c r="B478" s="125"/>
      <c r="C478" s="125"/>
      <c r="D478" s="81"/>
      <c r="E478" s="81"/>
      <c r="F478" s="97"/>
      <c r="G478" s="81"/>
      <c r="H478" s="81"/>
      <c r="I478" s="81"/>
      <c r="J478" s="81"/>
      <c r="K478" s="81"/>
      <c r="L478" s="155"/>
      <c r="M478" s="155"/>
      <c r="N478" s="109"/>
      <c r="O478" s="126"/>
      <c r="P478" s="126"/>
      <c r="Q478" s="126"/>
      <c r="R478" s="127"/>
      <c r="S478" s="127"/>
      <c r="T478" s="127"/>
      <c r="U478" s="127"/>
    </row>
    <row r="479" spans="1:21" ht="15" customHeight="1">
      <c r="A479" s="125"/>
      <c r="B479" s="125"/>
      <c r="C479" s="125"/>
      <c r="D479" s="81"/>
      <c r="E479" s="81"/>
      <c r="F479" s="97"/>
      <c r="G479" s="81"/>
      <c r="H479" s="81"/>
      <c r="I479" s="81"/>
      <c r="J479" s="81"/>
      <c r="K479" s="81"/>
      <c r="L479" s="155"/>
      <c r="M479" s="155"/>
      <c r="N479" s="109"/>
      <c r="O479" s="126"/>
      <c r="P479" s="126"/>
      <c r="Q479" s="126"/>
      <c r="R479" s="127"/>
      <c r="S479" s="127"/>
      <c r="T479" s="127"/>
      <c r="U479" s="127"/>
    </row>
    <row r="480" spans="1:21" ht="15" customHeight="1">
      <c r="A480" s="125"/>
      <c r="B480" s="125"/>
      <c r="C480" s="125"/>
      <c r="D480" s="81"/>
      <c r="E480" s="81"/>
      <c r="F480" s="97"/>
      <c r="G480" s="81"/>
      <c r="H480" s="81"/>
      <c r="I480" s="81"/>
      <c r="J480" s="81"/>
      <c r="K480" s="81"/>
      <c r="L480" s="155"/>
      <c r="M480" s="155"/>
      <c r="N480" s="109"/>
      <c r="O480" s="126"/>
      <c r="P480" s="126"/>
      <c r="Q480" s="126"/>
      <c r="R480" s="127"/>
      <c r="S480" s="127"/>
      <c r="T480" s="127"/>
      <c r="U480" s="127"/>
    </row>
    <row r="481" spans="1:21" ht="15" customHeight="1">
      <c r="A481" s="125"/>
      <c r="B481" s="125"/>
      <c r="C481" s="125"/>
      <c r="D481" s="81"/>
      <c r="E481" s="81"/>
      <c r="F481" s="97"/>
      <c r="G481" s="81"/>
      <c r="H481" s="81"/>
      <c r="I481" s="81"/>
      <c r="J481" s="81"/>
      <c r="K481" s="81"/>
      <c r="L481" s="155"/>
      <c r="M481" s="155"/>
      <c r="N481" s="109"/>
      <c r="O481" s="126"/>
      <c r="P481" s="126"/>
      <c r="Q481" s="126"/>
      <c r="R481" s="127"/>
      <c r="S481" s="127"/>
      <c r="T481" s="127"/>
      <c r="U481" s="127"/>
    </row>
    <row r="482" spans="1:21" ht="15" customHeight="1">
      <c r="A482" s="125"/>
      <c r="B482" s="125"/>
      <c r="C482" s="125"/>
      <c r="D482" s="81"/>
      <c r="E482" s="81"/>
      <c r="F482" s="97"/>
      <c r="G482" s="81"/>
      <c r="H482" s="81"/>
      <c r="I482" s="81"/>
      <c r="J482" s="81"/>
      <c r="K482" s="81"/>
      <c r="L482" s="155"/>
      <c r="M482" s="155"/>
      <c r="N482" s="109"/>
      <c r="O482" s="126"/>
      <c r="P482" s="126"/>
      <c r="Q482" s="126"/>
      <c r="R482" s="127"/>
      <c r="S482" s="127"/>
      <c r="T482" s="127"/>
      <c r="U482" s="127"/>
    </row>
    <row r="483" spans="1:21" ht="15" customHeight="1">
      <c r="A483" s="125"/>
      <c r="B483" s="125"/>
      <c r="C483" s="125"/>
      <c r="D483" s="81"/>
      <c r="E483" s="81"/>
      <c r="F483" s="97"/>
      <c r="G483" s="81"/>
      <c r="H483" s="81"/>
      <c r="I483" s="81"/>
      <c r="J483" s="81"/>
      <c r="K483" s="81"/>
      <c r="L483" s="155"/>
      <c r="M483" s="155"/>
      <c r="N483" s="109"/>
      <c r="O483" s="126"/>
      <c r="P483" s="126"/>
      <c r="Q483" s="126"/>
      <c r="R483" s="127"/>
      <c r="S483" s="127"/>
      <c r="T483" s="127"/>
      <c r="U483" s="127"/>
    </row>
    <row r="484" spans="1:21" ht="15" customHeight="1">
      <c r="A484" s="125"/>
      <c r="B484" s="125"/>
      <c r="C484" s="125"/>
      <c r="D484" s="81"/>
      <c r="E484" s="81"/>
      <c r="F484" s="97"/>
      <c r="G484" s="81"/>
      <c r="H484" s="81"/>
      <c r="I484" s="81"/>
      <c r="J484" s="81"/>
      <c r="K484" s="81"/>
      <c r="L484" s="155"/>
      <c r="M484" s="155"/>
      <c r="N484" s="109"/>
      <c r="O484" s="126"/>
      <c r="P484" s="126"/>
      <c r="Q484" s="126"/>
      <c r="R484" s="127"/>
      <c r="S484" s="127"/>
      <c r="T484" s="127"/>
      <c r="U484" s="127"/>
    </row>
    <row r="485" spans="1:21" ht="15" customHeight="1">
      <c r="A485" s="125"/>
      <c r="B485" s="125"/>
      <c r="C485" s="125"/>
      <c r="D485" s="81"/>
      <c r="E485" s="81"/>
      <c r="F485" s="97"/>
      <c r="G485" s="81"/>
      <c r="H485" s="81"/>
      <c r="I485" s="81"/>
      <c r="J485" s="81"/>
      <c r="K485" s="81"/>
      <c r="L485" s="155"/>
      <c r="M485" s="155"/>
      <c r="N485" s="109"/>
      <c r="O485" s="126"/>
      <c r="P485" s="126"/>
      <c r="Q485" s="126"/>
      <c r="R485" s="127"/>
      <c r="S485" s="127"/>
      <c r="T485" s="127"/>
      <c r="U485" s="127"/>
    </row>
    <row r="486" spans="1:21" ht="15" customHeight="1">
      <c r="A486" s="125"/>
      <c r="B486" s="125"/>
      <c r="C486" s="125"/>
      <c r="D486" s="81"/>
      <c r="E486" s="81"/>
      <c r="F486" s="97"/>
      <c r="G486" s="81"/>
      <c r="H486" s="81"/>
      <c r="I486" s="81"/>
      <c r="J486" s="81"/>
      <c r="K486" s="81"/>
      <c r="L486" s="155"/>
      <c r="M486" s="155"/>
      <c r="N486" s="109"/>
      <c r="O486" s="126"/>
      <c r="P486" s="126"/>
      <c r="Q486" s="126"/>
      <c r="R486" s="127"/>
      <c r="S486" s="127"/>
      <c r="T486" s="127"/>
      <c r="U486" s="127"/>
    </row>
    <row r="487" spans="1:21" ht="15" customHeight="1">
      <c r="A487" s="125"/>
      <c r="B487" s="125"/>
      <c r="C487" s="125"/>
      <c r="D487" s="81"/>
      <c r="E487" s="81"/>
      <c r="F487" s="97"/>
      <c r="G487" s="81"/>
      <c r="H487" s="81"/>
      <c r="I487" s="81"/>
      <c r="J487" s="81"/>
      <c r="K487" s="81"/>
      <c r="L487" s="155"/>
      <c r="M487" s="155"/>
      <c r="N487" s="109"/>
      <c r="O487" s="126"/>
      <c r="P487" s="126"/>
      <c r="Q487" s="126"/>
      <c r="R487" s="127"/>
      <c r="S487" s="127"/>
      <c r="T487" s="127"/>
      <c r="U487" s="127"/>
    </row>
    <row r="488" spans="1:21" ht="15" customHeight="1">
      <c r="A488" s="125"/>
      <c r="B488" s="125"/>
      <c r="C488" s="125"/>
      <c r="D488" s="81"/>
      <c r="E488" s="81"/>
      <c r="F488" s="97"/>
      <c r="G488" s="81"/>
      <c r="H488" s="81"/>
      <c r="I488" s="81"/>
      <c r="J488" s="81"/>
      <c r="K488" s="81"/>
      <c r="L488" s="155"/>
      <c r="M488" s="155"/>
      <c r="N488" s="109"/>
      <c r="O488" s="126"/>
      <c r="P488" s="126"/>
      <c r="Q488" s="126"/>
      <c r="R488" s="127"/>
      <c r="S488" s="127"/>
      <c r="T488" s="127"/>
      <c r="U488" s="127"/>
    </row>
    <row r="489" spans="1:21" ht="15" customHeight="1">
      <c r="A489" s="125"/>
      <c r="B489" s="125"/>
      <c r="C489" s="125"/>
      <c r="D489" s="81"/>
      <c r="E489" s="81"/>
      <c r="F489" s="97"/>
      <c r="G489" s="81"/>
      <c r="H489" s="81"/>
      <c r="I489" s="81"/>
      <c r="J489" s="81"/>
      <c r="K489" s="81"/>
      <c r="L489" s="155"/>
      <c r="M489" s="155"/>
      <c r="N489" s="109"/>
      <c r="O489" s="126"/>
      <c r="P489" s="126"/>
      <c r="Q489" s="126"/>
      <c r="R489" s="127"/>
      <c r="S489" s="127"/>
      <c r="T489" s="127"/>
      <c r="U489" s="127"/>
    </row>
    <row r="490" spans="1:21" ht="15" customHeight="1">
      <c r="A490" s="125"/>
      <c r="B490" s="125"/>
      <c r="C490" s="125"/>
      <c r="D490" s="81"/>
      <c r="E490" s="81"/>
      <c r="F490" s="97"/>
      <c r="G490" s="81"/>
      <c r="H490" s="81"/>
      <c r="I490" s="81"/>
      <c r="J490" s="81"/>
      <c r="K490" s="81"/>
      <c r="L490" s="155"/>
      <c r="M490" s="155"/>
      <c r="N490" s="109"/>
      <c r="O490" s="126"/>
      <c r="P490" s="126"/>
      <c r="Q490" s="126"/>
      <c r="R490" s="127"/>
      <c r="S490" s="127"/>
      <c r="T490" s="127"/>
      <c r="U490" s="127"/>
    </row>
    <row r="491" spans="1:21" ht="15" customHeight="1">
      <c r="A491" s="125"/>
      <c r="B491" s="125"/>
      <c r="C491" s="125"/>
      <c r="D491" s="81"/>
      <c r="E491" s="81"/>
      <c r="F491" s="97"/>
      <c r="G491" s="81"/>
      <c r="H491" s="81"/>
      <c r="I491" s="81"/>
      <c r="J491" s="81"/>
      <c r="K491" s="81"/>
      <c r="L491" s="155"/>
      <c r="M491" s="155"/>
      <c r="N491" s="109"/>
      <c r="O491" s="126"/>
      <c r="P491" s="126"/>
      <c r="Q491" s="126"/>
      <c r="R491" s="127"/>
      <c r="S491" s="127"/>
      <c r="T491" s="127"/>
      <c r="U491" s="127"/>
    </row>
    <row r="492" spans="1:21" ht="15" customHeight="1">
      <c r="A492" s="125"/>
      <c r="B492" s="125"/>
      <c r="C492" s="125"/>
      <c r="D492" s="81"/>
      <c r="E492" s="81"/>
      <c r="F492" s="97"/>
      <c r="G492" s="81"/>
      <c r="H492" s="81"/>
      <c r="I492" s="81"/>
      <c r="J492" s="81"/>
      <c r="K492" s="81"/>
      <c r="L492" s="155"/>
      <c r="M492" s="155"/>
      <c r="N492" s="109"/>
      <c r="O492" s="126"/>
      <c r="P492" s="126"/>
      <c r="Q492" s="126"/>
      <c r="R492" s="127"/>
      <c r="S492" s="127"/>
      <c r="T492" s="127"/>
      <c r="U492" s="127"/>
    </row>
    <row r="493" spans="1:21" ht="15" customHeight="1">
      <c r="A493" s="125"/>
      <c r="B493" s="125"/>
      <c r="C493" s="125"/>
      <c r="D493" s="81"/>
      <c r="E493" s="81"/>
      <c r="F493" s="97"/>
      <c r="G493" s="81"/>
      <c r="H493" s="81"/>
      <c r="I493" s="81"/>
      <c r="J493" s="81"/>
      <c r="K493" s="81"/>
      <c r="L493" s="155"/>
      <c r="M493" s="155"/>
      <c r="N493" s="109"/>
      <c r="O493" s="126"/>
      <c r="P493" s="126"/>
      <c r="Q493" s="126"/>
      <c r="R493" s="127"/>
      <c r="S493" s="127"/>
      <c r="T493" s="127"/>
      <c r="U493" s="127"/>
    </row>
    <row r="494" spans="1:21" ht="15" customHeight="1">
      <c r="A494" s="125"/>
      <c r="B494" s="125"/>
      <c r="C494" s="125"/>
      <c r="D494" s="81"/>
      <c r="E494" s="81"/>
      <c r="F494" s="97"/>
      <c r="G494" s="81"/>
      <c r="H494" s="81"/>
      <c r="I494" s="81"/>
      <c r="J494" s="81"/>
      <c r="K494" s="81"/>
      <c r="L494" s="155"/>
      <c r="M494" s="155"/>
      <c r="N494" s="109"/>
      <c r="O494" s="126"/>
      <c r="P494" s="126"/>
      <c r="Q494" s="126"/>
      <c r="R494" s="127"/>
      <c r="S494" s="127"/>
      <c r="T494" s="127"/>
      <c r="U494" s="127"/>
    </row>
    <row r="495" spans="1:21" ht="15" customHeight="1">
      <c r="A495" s="125"/>
      <c r="B495" s="125"/>
      <c r="C495" s="125"/>
      <c r="D495" s="81"/>
      <c r="E495" s="81"/>
      <c r="F495" s="97"/>
      <c r="G495" s="81"/>
      <c r="H495" s="81"/>
      <c r="I495" s="81"/>
      <c r="J495" s="81"/>
      <c r="K495" s="81"/>
      <c r="L495" s="155"/>
      <c r="M495" s="155"/>
      <c r="N495" s="109"/>
      <c r="O495" s="126"/>
      <c r="P495" s="126"/>
      <c r="Q495" s="126"/>
      <c r="R495" s="127"/>
      <c r="S495" s="127"/>
      <c r="T495" s="127"/>
      <c r="U495" s="127"/>
    </row>
    <row r="496" spans="1:21" ht="15" customHeight="1">
      <c r="A496" s="125"/>
      <c r="B496" s="125"/>
      <c r="C496" s="125"/>
      <c r="D496" s="81"/>
      <c r="E496" s="81"/>
      <c r="F496" s="97"/>
      <c r="G496" s="81"/>
      <c r="H496" s="81"/>
      <c r="I496" s="81"/>
      <c r="J496" s="81"/>
      <c r="K496" s="81"/>
      <c r="L496" s="155"/>
      <c r="M496" s="155"/>
      <c r="N496" s="109"/>
      <c r="O496" s="126"/>
      <c r="P496" s="126"/>
      <c r="Q496" s="126"/>
      <c r="R496" s="127"/>
      <c r="S496" s="127"/>
      <c r="T496" s="127"/>
      <c r="U496" s="127"/>
    </row>
    <row r="497" spans="1:21" ht="15" customHeight="1">
      <c r="A497" s="125"/>
      <c r="B497" s="125"/>
      <c r="C497" s="125"/>
      <c r="D497" s="81"/>
      <c r="E497" s="81"/>
      <c r="F497" s="97"/>
      <c r="G497" s="81"/>
      <c r="H497" s="81"/>
      <c r="I497" s="81"/>
      <c r="J497" s="81"/>
      <c r="K497" s="81"/>
      <c r="L497" s="155"/>
      <c r="M497" s="155"/>
      <c r="N497" s="109"/>
      <c r="O497" s="126"/>
      <c r="P497" s="126"/>
      <c r="Q497" s="126"/>
      <c r="R497" s="127"/>
      <c r="S497" s="127"/>
      <c r="T497" s="127"/>
      <c r="U497" s="127"/>
    </row>
    <row r="498" spans="1:21" ht="15" customHeight="1">
      <c r="A498" s="125"/>
      <c r="B498" s="125"/>
      <c r="C498" s="125"/>
      <c r="D498" s="81"/>
      <c r="E498" s="81"/>
      <c r="F498" s="97"/>
      <c r="G498" s="81"/>
      <c r="H498" s="81"/>
      <c r="I498" s="81"/>
      <c r="J498" s="81"/>
      <c r="K498" s="81"/>
      <c r="L498" s="155"/>
      <c r="M498" s="155"/>
      <c r="N498" s="109"/>
      <c r="O498" s="126"/>
      <c r="P498" s="126"/>
      <c r="Q498" s="126"/>
      <c r="R498" s="127"/>
      <c r="S498" s="127"/>
      <c r="T498" s="127"/>
      <c r="U498" s="127"/>
    </row>
    <row r="499" spans="1:21" ht="15" customHeight="1">
      <c r="A499" s="125"/>
      <c r="B499" s="125"/>
      <c r="C499" s="125"/>
      <c r="D499" s="81"/>
      <c r="E499" s="81"/>
      <c r="F499" s="97"/>
      <c r="G499" s="81"/>
      <c r="H499" s="81"/>
      <c r="I499" s="81"/>
      <c r="J499" s="81"/>
      <c r="K499" s="81"/>
      <c r="L499" s="155"/>
      <c r="M499" s="155"/>
      <c r="N499" s="109"/>
      <c r="O499" s="126"/>
      <c r="P499" s="126"/>
      <c r="Q499" s="126"/>
      <c r="R499" s="127"/>
      <c r="S499" s="127"/>
      <c r="T499" s="127"/>
      <c r="U499" s="127"/>
    </row>
    <row r="500" spans="1:21" ht="15" customHeight="1">
      <c r="A500" s="125"/>
      <c r="B500" s="125"/>
      <c r="C500" s="125"/>
      <c r="D500" s="81"/>
      <c r="E500" s="81"/>
      <c r="F500" s="97"/>
      <c r="G500" s="81"/>
      <c r="H500" s="81"/>
      <c r="I500" s="81"/>
      <c r="J500" s="81"/>
      <c r="K500" s="81"/>
      <c r="L500" s="155"/>
      <c r="M500" s="155"/>
      <c r="N500" s="109"/>
      <c r="O500" s="126"/>
      <c r="P500" s="126"/>
      <c r="Q500" s="126"/>
      <c r="R500" s="127"/>
      <c r="S500" s="127"/>
      <c r="T500" s="127"/>
      <c r="U500" s="127"/>
    </row>
    <row r="501" spans="1:21" ht="15" customHeight="1">
      <c r="A501" s="125"/>
      <c r="B501" s="125"/>
      <c r="C501" s="125"/>
      <c r="D501" s="81"/>
      <c r="E501" s="81"/>
      <c r="F501" s="97"/>
      <c r="G501" s="81"/>
      <c r="H501" s="81"/>
      <c r="I501" s="81"/>
      <c r="J501" s="81"/>
      <c r="K501" s="81"/>
      <c r="L501" s="155"/>
      <c r="M501" s="155"/>
      <c r="N501" s="109"/>
      <c r="O501" s="126"/>
      <c r="P501" s="126"/>
      <c r="Q501" s="126"/>
      <c r="R501" s="127"/>
      <c r="S501" s="127"/>
      <c r="T501" s="127"/>
      <c r="U501" s="127"/>
    </row>
    <row r="502" spans="1:21" ht="15" customHeight="1">
      <c r="A502" s="125"/>
      <c r="B502" s="125"/>
      <c r="C502" s="125"/>
      <c r="D502" s="81"/>
      <c r="E502" s="81"/>
      <c r="F502" s="97"/>
      <c r="G502" s="81"/>
      <c r="H502" s="81"/>
      <c r="I502" s="81"/>
      <c r="J502" s="81"/>
      <c r="K502" s="81"/>
      <c r="L502" s="155"/>
      <c r="M502" s="155"/>
      <c r="N502" s="109"/>
      <c r="O502" s="126"/>
      <c r="P502" s="126"/>
      <c r="Q502" s="126"/>
      <c r="R502" s="127"/>
      <c r="S502" s="127"/>
      <c r="T502" s="127"/>
      <c r="U502" s="127"/>
    </row>
    <row r="503" spans="1:21" ht="15" customHeight="1">
      <c r="A503" s="125"/>
      <c r="B503" s="125"/>
      <c r="C503" s="125"/>
      <c r="D503" s="81"/>
      <c r="E503" s="81"/>
      <c r="F503" s="97"/>
      <c r="G503" s="81"/>
      <c r="H503" s="81"/>
      <c r="I503" s="81"/>
      <c r="J503" s="81"/>
      <c r="K503" s="81"/>
      <c r="L503" s="155"/>
      <c r="M503" s="155"/>
      <c r="N503" s="109"/>
      <c r="O503" s="126"/>
      <c r="P503" s="126"/>
      <c r="Q503" s="126"/>
      <c r="R503" s="127"/>
      <c r="S503" s="127"/>
      <c r="T503" s="127"/>
      <c r="U503" s="127"/>
    </row>
    <row r="504" spans="1:21" ht="15" customHeight="1">
      <c r="A504" s="125"/>
      <c r="B504" s="125"/>
      <c r="C504" s="125"/>
      <c r="D504" s="81"/>
      <c r="E504" s="81"/>
      <c r="F504" s="97"/>
      <c r="G504" s="81"/>
      <c r="H504" s="81"/>
      <c r="I504" s="81"/>
      <c r="J504" s="81"/>
      <c r="K504" s="81"/>
      <c r="L504" s="155"/>
      <c r="M504" s="155"/>
      <c r="N504" s="109"/>
      <c r="O504" s="126"/>
      <c r="P504" s="126"/>
      <c r="Q504" s="126"/>
      <c r="R504" s="127"/>
      <c r="S504" s="127"/>
      <c r="T504" s="127"/>
      <c r="U504" s="127"/>
    </row>
    <row r="505" spans="1:21" ht="15" customHeight="1">
      <c r="A505" s="125"/>
      <c r="B505" s="125"/>
      <c r="C505" s="125"/>
      <c r="D505" s="81"/>
      <c r="E505" s="81"/>
      <c r="F505" s="97"/>
      <c r="G505" s="81"/>
      <c r="H505" s="81"/>
      <c r="I505" s="81"/>
      <c r="J505" s="81"/>
      <c r="K505" s="81"/>
      <c r="L505" s="155"/>
      <c r="M505" s="155"/>
      <c r="N505" s="109"/>
      <c r="O505" s="126"/>
      <c r="P505" s="126"/>
      <c r="Q505" s="126"/>
      <c r="R505" s="127"/>
      <c r="S505" s="127"/>
      <c r="T505" s="127"/>
      <c r="U505" s="127"/>
    </row>
    <row r="506" spans="1:21" ht="15" customHeight="1">
      <c r="A506" s="125"/>
      <c r="B506" s="125"/>
      <c r="C506" s="125"/>
      <c r="D506" s="81"/>
      <c r="E506" s="81"/>
      <c r="F506" s="97"/>
      <c r="G506" s="81"/>
      <c r="H506" s="81"/>
      <c r="I506" s="81"/>
      <c r="J506" s="81"/>
      <c r="K506" s="81"/>
      <c r="L506" s="155"/>
      <c r="M506" s="155"/>
      <c r="N506" s="109"/>
      <c r="O506" s="126"/>
      <c r="P506" s="126"/>
      <c r="Q506" s="126"/>
      <c r="R506" s="127"/>
      <c r="S506" s="127"/>
      <c r="T506" s="127"/>
      <c r="U506" s="127"/>
    </row>
    <row r="507" spans="1:21" ht="15" customHeight="1">
      <c r="A507" s="125"/>
      <c r="B507" s="125"/>
      <c r="C507" s="125"/>
      <c r="D507" s="81"/>
      <c r="E507" s="81"/>
      <c r="F507" s="97"/>
      <c r="G507" s="81"/>
      <c r="H507" s="81"/>
      <c r="I507" s="81"/>
      <c r="J507" s="81"/>
      <c r="K507" s="81"/>
      <c r="L507" s="155"/>
      <c r="M507" s="155"/>
      <c r="N507" s="109"/>
      <c r="O507" s="126"/>
      <c r="P507" s="126"/>
      <c r="Q507" s="126"/>
      <c r="R507" s="127"/>
      <c r="S507" s="127"/>
      <c r="T507" s="127"/>
      <c r="U507" s="127"/>
    </row>
    <row r="508" spans="1:21" ht="15" customHeight="1">
      <c r="A508" s="125"/>
      <c r="B508" s="125"/>
      <c r="C508" s="125"/>
      <c r="D508" s="81"/>
      <c r="E508" s="81"/>
      <c r="F508" s="97"/>
      <c r="G508" s="81"/>
      <c r="H508" s="81"/>
      <c r="I508" s="81"/>
      <c r="J508" s="81"/>
      <c r="K508" s="81"/>
      <c r="L508" s="155"/>
      <c r="M508" s="155"/>
      <c r="N508" s="109"/>
      <c r="O508" s="126"/>
      <c r="P508" s="126"/>
      <c r="Q508" s="126"/>
      <c r="R508" s="127"/>
      <c r="S508" s="127"/>
      <c r="T508" s="127"/>
      <c r="U508" s="127"/>
    </row>
    <row r="509" spans="1:21" ht="15" customHeight="1">
      <c r="A509" s="125"/>
      <c r="B509" s="125"/>
      <c r="C509" s="125"/>
      <c r="D509" s="81"/>
      <c r="E509" s="81"/>
      <c r="F509" s="97"/>
      <c r="G509" s="81"/>
      <c r="H509" s="81"/>
      <c r="I509" s="81"/>
      <c r="J509" s="81"/>
      <c r="K509" s="81"/>
      <c r="L509" s="155"/>
      <c r="M509" s="155"/>
      <c r="N509" s="109"/>
      <c r="O509" s="126"/>
      <c r="P509" s="126"/>
      <c r="Q509" s="126"/>
      <c r="R509" s="127"/>
      <c r="S509" s="127"/>
      <c r="T509" s="127"/>
      <c r="U509" s="127"/>
    </row>
    <row r="510" spans="1:21" ht="15" customHeight="1">
      <c r="A510" s="125"/>
      <c r="B510" s="125"/>
      <c r="C510" s="125"/>
      <c r="D510" s="81"/>
      <c r="E510" s="81"/>
      <c r="F510" s="97"/>
      <c r="G510" s="81"/>
      <c r="H510" s="81"/>
      <c r="I510" s="81"/>
      <c r="J510" s="81"/>
      <c r="K510" s="81"/>
      <c r="L510" s="155"/>
      <c r="M510" s="155"/>
      <c r="N510" s="109"/>
      <c r="O510" s="126"/>
      <c r="P510" s="126"/>
      <c r="Q510" s="126"/>
      <c r="R510" s="127"/>
      <c r="S510" s="127"/>
      <c r="T510" s="127"/>
      <c r="U510" s="127"/>
    </row>
    <row r="511" spans="1:21" ht="15" customHeight="1">
      <c r="A511" s="125"/>
      <c r="B511" s="125"/>
      <c r="C511" s="125"/>
      <c r="D511" s="81"/>
      <c r="E511" s="81"/>
      <c r="F511" s="97"/>
      <c r="G511" s="81"/>
      <c r="H511" s="81"/>
      <c r="I511" s="81"/>
      <c r="J511" s="81"/>
      <c r="K511" s="81"/>
      <c r="L511" s="155"/>
      <c r="M511" s="155"/>
      <c r="N511" s="109"/>
      <c r="O511" s="126"/>
      <c r="P511" s="126"/>
      <c r="Q511" s="126"/>
      <c r="R511" s="127"/>
      <c r="S511" s="127"/>
      <c r="T511" s="127"/>
      <c r="U511" s="127"/>
    </row>
    <row r="512" spans="1:21" ht="15" customHeight="1">
      <c r="A512" s="125"/>
      <c r="B512" s="125"/>
      <c r="C512" s="125"/>
      <c r="D512" s="81"/>
      <c r="E512" s="81"/>
      <c r="F512" s="97"/>
      <c r="G512" s="81"/>
      <c r="H512" s="81"/>
      <c r="I512" s="81"/>
      <c r="J512" s="81"/>
      <c r="K512" s="81"/>
      <c r="L512" s="155"/>
      <c r="M512" s="155"/>
      <c r="N512" s="109"/>
      <c r="O512" s="126"/>
      <c r="P512" s="126"/>
      <c r="Q512" s="126"/>
      <c r="R512" s="127"/>
      <c r="S512" s="127"/>
      <c r="T512" s="127"/>
      <c r="U512" s="127"/>
    </row>
    <row r="513" spans="1:21" ht="15" customHeight="1">
      <c r="A513" s="125"/>
      <c r="B513" s="125"/>
      <c r="C513" s="125"/>
      <c r="D513" s="81"/>
      <c r="E513" s="81"/>
      <c r="F513" s="97"/>
      <c r="G513" s="81"/>
      <c r="H513" s="81"/>
      <c r="I513" s="81"/>
      <c r="J513" s="81"/>
      <c r="K513" s="81"/>
      <c r="L513" s="155"/>
      <c r="M513" s="155"/>
      <c r="N513" s="109"/>
      <c r="O513" s="126"/>
      <c r="P513" s="126"/>
      <c r="Q513" s="126"/>
      <c r="R513" s="127"/>
      <c r="S513" s="127"/>
      <c r="T513" s="127"/>
      <c r="U513" s="127"/>
    </row>
    <row r="514" spans="1:21" ht="15" customHeight="1">
      <c r="A514" s="125"/>
      <c r="B514" s="125"/>
      <c r="C514" s="125"/>
      <c r="D514" s="81"/>
      <c r="E514" s="81"/>
      <c r="F514" s="97"/>
      <c r="G514" s="81"/>
      <c r="H514" s="81"/>
      <c r="I514" s="81"/>
      <c r="J514" s="81"/>
      <c r="K514" s="81"/>
      <c r="L514" s="155"/>
      <c r="M514" s="155"/>
      <c r="N514" s="109"/>
      <c r="O514" s="126"/>
      <c r="P514" s="126"/>
      <c r="Q514" s="126"/>
      <c r="R514" s="127"/>
      <c r="S514" s="127"/>
      <c r="T514" s="127"/>
      <c r="U514" s="127"/>
    </row>
    <row r="515" spans="1:21" ht="15" customHeight="1">
      <c r="A515" s="125"/>
      <c r="B515" s="125"/>
      <c r="C515" s="125"/>
      <c r="D515" s="81"/>
      <c r="E515" s="81"/>
      <c r="F515" s="97"/>
      <c r="G515" s="81"/>
      <c r="H515" s="81"/>
      <c r="I515" s="81"/>
      <c r="J515" s="81"/>
      <c r="K515" s="81"/>
      <c r="L515" s="155"/>
      <c r="M515" s="155"/>
      <c r="N515" s="109"/>
      <c r="O515" s="126"/>
      <c r="P515" s="126"/>
      <c r="Q515" s="126"/>
      <c r="R515" s="127"/>
      <c r="S515" s="127"/>
      <c r="T515" s="127"/>
      <c r="U515" s="127"/>
    </row>
    <row r="516" spans="1:21" ht="15" customHeight="1">
      <c r="A516" s="125"/>
      <c r="B516" s="125"/>
      <c r="C516" s="125"/>
      <c r="D516" s="81"/>
      <c r="E516" s="81"/>
      <c r="F516" s="97"/>
      <c r="G516" s="81"/>
      <c r="H516" s="81"/>
      <c r="I516" s="81"/>
      <c r="J516" s="81"/>
      <c r="K516" s="81"/>
      <c r="L516" s="155"/>
      <c r="M516" s="155"/>
      <c r="N516" s="109"/>
      <c r="O516" s="126"/>
      <c r="P516" s="126"/>
      <c r="Q516" s="126"/>
      <c r="R516" s="127"/>
      <c r="S516" s="127"/>
      <c r="T516" s="127"/>
      <c r="U516" s="127"/>
    </row>
    <row r="517" spans="1:21" ht="15" customHeight="1">
      <c r="A517" s="125"/>
      <c r="B517" s="125"/>
      <c r="C517" s="125"/>
      <c r="D517" s="81"/>
      <c r="E517" s="81"/>
      <c r="F517" s="97"/>
      <c r="G517" s="81"/>
      <c r="H517" s="81"/>
      <c r="I517" s="81"/>
      <c r="J517" s="81"/>
      <c r="K517" s="81"/>
      <c r="L517" s="155"/>
      <c r="M517" s="155"/>
      <c r="N517" s="109"/>
      <c r="O517" s="126"/>
      <c r="P517" s="126"/>
      <c r="Q517" s="126"/>
      <c r="R517" s="127"/>
      <c r="S517" s="127"/>
      <c r="T517" s="127"/>
      <c r="U517" s="127"/>
    </row>
    <row r="518" spans="1:21" ht="15" customHeight="1">
      <c r="A518" s="125"/>
      <c r="B518" s="125"/>
      <c r="C518" s="125"/>
      <c r="D518" s="81"/>
      <c r="E518" s="81"/>
      <c r="F518" s="97"/>
      <c r="G518" s="81"/>
      <c r="H518" s="81"/>
      <c r="I518" s="81"/>
      <c r="J518" s="81"/>
      <c r="K518" s="81"/>
      <c r="L518" s="155"/>
      <c r="M518" s="155"/>
      <c r="N518" s="109"/>
      <c r="O518" s="126"/>
      <c r="P518" s="126"/>
      <c r="Q518" s="126"/>
      <c r="R518" s="127"/>
      <c r="S518" s="127"/>
      <c r="T518" s="127"/>
      <c r="U518" s="127"/>
    </row>
    <row r="519" spans="1:21" ht="15" customHeight="1">
      <c r="A519" s="125"/>
      <c r="B519" s="125"/>
      <c r="C519" s="125"/>
      <c r="D519" s="81"/>
      <c r="E519" s="81"/>
      <c r="F519" s="97"/>
      <c r="G519" s="81"/>
      <c r="H519" s="81"/>
      <c r="I519" s="81"/>
      <c r="J519" s="81"/>
      <c r="K519" s="81"/>
      <c r="L519" s="155"/>
      <c r="M519" s="155"/>
      <c r="N519" s="109"/>
      <c r="O519" s="126"/>
      <c r="P519" s="126"/>
      <c r="Q519" s="126"/>
      <c r="R519" s="127"/>
      <c r="S519" s="127"/>
      <c r="T519" s="127"/>
      <c r="U519" s="127"/>
    </row>
    <row r="520" spans="1:21" ht="15" customHeight="1">
      <c r="A520" s="125"/>
      <c r="B520" s="125"/>
      <c r="C520" s="125"/>
      <c r="D520" s="81"/>
      <c r="E520" s="81"/>
      <c r="F520" s="97"/>
      <c r="G520" s="81"/>
      <c r="H520" s="81"/>
      <c r="I520" s="81"/>
      <c r="J520" s="81"/>
      <c r="K520" s="81"/>
      <c r="L520" s="155"/>
      <c r="M520" s="155"/>
      <c r="N520" s="109"/>
      <c r="O520" s="126"/>
      <c r="P520" s="126"/>
      <c r="Q520" s="126"/>
      <c r="R520" s="127"/>
      <c r="S520" s="127"/>
      <c r="T520" s="127"/>
      <c r="U520" s="127"/>
    </row>
    <row r="521" spans="1:21" ht="15" customHeight="1">
      <c r="A521" s="125"/>
      <c r="B521" s="125"/>
      <c r="C521" s="125"/>
      <c r="D521" s="81"/>
      <c r="E521" s="81"/>
      <c r="F521" s="97"/>
      <c r="G521" s="81"/>
      <c r="H521" s="81"/>
      <c r="I521" s="81"/>
      <c r="J521" s="81"/>
      <c r="K521" s="81"/>
      <c r="L521" s="155"/>
      <c r="M521" s="155"/>
      <c r="N521" s="109"/>
      <c r="O521" s="126"/>
      <c r="P521" s="126"/>
      <c r="Q521" s="126"/>
      <c r="R521" s="127"/>
      <c r="S521" s="127"/>
      <c r="T521" s="127"/>
      <c r="U521" s="127"/>
    </row>
    <row r="522" spans="1:21" ht="15" customHeight="1">
      <c r="A522" s="125"/>
      <c r="B522" s="125"/>
      <c r="C522" s="125"/>
      <c r="D522" s="81"/>
      <c r="E522" s="81"/>
      <c r="F522" s="97"/>
      <c r="G522" s="81"/>
      <c r="H522" s="81"/>
      <c r="I522" s="81"/>
      <c r="J522" s="81"/>
      <c r="K522" s="81"/>
      <c r="L522" s="155"/>
      <c r="M522" s="155"/>
      <c r="N522" s="109"/>
      <c r="O522" s="126"/>
      <c r="P522" s="126"/>
      <c r="Q522" s="126"/>
      <c r="R522" s="127"/>
      <c r="S522" s="127"/>
      <c r="T522" s="127"/>
      <c r="U522" s="127"/>
    </row>
    <row r="523" spans="1:21" ht="15" customHeight="1">
      <c r="A523" s="125"/>
      <c r="B523" s="125"/>
      <c r="C523" s="125"/>
      <c r="D523" s="81"/>
      <c r="E523" s="81"/>
      <c r="F523" s="97"/>
      <c r="G523" s="81"/>
      <c r="H523" s="81"/>
      <c r="I523" s="81"/>
      <c r="J523" s="81"/>
      <c r="K523" s="81"/>
      <c r="L523" s="155"/>
      <c r="M523" s="155"/>
      <c r="N523" s="109"/>
      <c r="O523" s="126"/>
      <c r="P523" s="126"/>
      <c r="Q523" s="126"/>
      <c r="R523" s="127"/>
      <c r="S523" s="127"/>
      <c r="T523" s="127"/>
      <c r="U523" s="127"/>
    </row>
    <row r="524" spans="1:21" ht="15" customHeight="1">
      <c r="A524" s="125"/>
      <c r="B524" s="125"/>
      <c r="C524" s="125"/>
      <c r="D524" s="81"/>
      <c r="E524" s="81"/>
      <c r="F524" s="97"/>
      <c r="G524" s="81"/>
      <c r="H524" s="81"/>
      <c r="I524" s="81"/>
      <c r="J524" s="81"/>
      <c r="K524" s="81"/>
      <c r="L524" s="155"/>
      <c r="M524" s="155"/>
      <c r="N524" s="109"/>
      <c r="O524" s="126"/>
      <c r="P524" s="126"/>
      <c r="Q524" s="126"/>
      <c r="R524" s="127"/>
      <c r="S524" s="127"/>
      <c r="T524" s="127"/>
      <c r="U524" s="127"/>
    </row>
    <row r="525" spans="1:21" ht="15" customHeight="1">
      <c r="A525" s="125"/>
      <c r="B525" s="125"/>
      <c r="C525" s="125"/>
      <c r="D525" s="81"/>
      <c r="E525" s="81"/>
      <c r="F525" s="97"/>
      <c r="G525" s="81"/>
      <c r="H525" s="81"/>
      <c r="I525" s="81"/>
      <c r="J525" s="81"/>
      <c r="K525" s="81"/>
      <c r="L525" s="155"/>
      <c r="M525" s="155"/>
      <c r="N525" s="109"/>
      <c r="O525" s="126"/>
      <c r="P525" s="126"/>
      <c r="Q525" s="126"/>
      <c r="R525" s="127"/>
      <c r="S525" s="127"/>
      <c r="T525" s="127"/>
      <c r="U525" s="127"/>
    </row>
    <row r="526" spans="1:21" ht="15" customHeight="1">
      <c r="A526" s="125"/>
      <c r="B526" s="125"/>
      <c r="C526" s="125"/>
      <c r="D526" s="81"/>
      <c r="E526" s="81"/>
      <c r="F526" s="97"/>
      <c r="G526" s="81"/>
      <c r="H526" s="81"/>
      <c r="I526" s="81"/>
      <c r="J526" s="81"/>
      <c r="K526" s="81"/>
      <c r="L526" s="155"/>
      <c r="M526" s="155"/>
      <c r="N526" s="109"/>
      <c r="O526" s="126"/>
      <c r="P526" s="126"/>
      <c r="Q526" s="126"/>
      <c r="R526" s="127"/>
      <c r="S526" s="127"/>
      <c r="T526" s="127"/>
      <c r="U526" s="127"/>
    </row>
    <row r="527" spans="1:21" ht="15" customHeight="1">
      <c r="A527" s="125"/>
      <c r="B527" s="125"/>
      <c r="C527" s="125"/>
      <c r="D527" s="81"/>
      <c r="E527" s="81"/>
      <c r="F527" s="97"/>
      <c r="G527" s="81"/>
      <c r="H527" s="81"/>
      <c r="I527" s="81"/>
      <c r="J527" s="81"/>
      <c r="K527" s="81"/>
      <c r="L527" s="155"/>
      <c r="M527" s="155"/>
      <c r="N527" s="109"/>
      <c r="O527" s="126"/>
      <c r="P527" s="126"/>
      <c r="Q527" s="126"/>
      <c r="R527" s="127"/>
      <c r="S527" s="127"/>
      <c r="T527" s="127"/>
      <c r="U527" s="127"/>
    </row>
    <row r="528" spans="1:21" ht="15" customHeight="1">
      <c r="A528" s="125"/>
      <c r="B528" s="125"/>
      <c r="C528" s="125"/>
      <c r="D528" s="81"/>
      <c r="E528" s="81"/>
      <c r="F528" s="97"/>
      <c r="G528" s="81"/>
      <c r="H528" s="81"/>
      <c r="I528" s="81"/>
      <c r="J528" s="81"/>
      <c r="K528" s="81"/>
      <c r="L528" s="155"/>
      <c r="M528" s="155"/>
      <c r="N528" s="109"/>
      <c r="O528" s="126"/>
      <c r="P528" s="126"/>
      <c r="Q528" s="126"/>
      <c r="R528" s="127"/>
      <c r="S528" s="127"/>
      <c r="T528" s="127"/>
      <c r="U528" s="127"/>
    </row>
    <row r="529" spans="1:21" ht="15" customHeight="1">
      <c r="A529" s="125"/>
      <c r="B529" s="125"/>
      <c r="C529" s="125"/>
      <c r="D529" s="81"/>
      <c r="E529" s="81"/>
      <c r="F529" s="97"/>
      <c r="G529" s="81"/>
      <c r="H529" s="81"/>
      <c r="I529" s="81"/>
      <c r="J529" s="81"/>
      <c r="K529" s="81"/>
      <c r="L529" s="155"/>
      <c r="M529" s="155"/>
      <c r="N529" s="109"/>
      <c r="O529" s="126"/>
      <c r="P529" s="126"/>
      <c r="Q529" s="126"/>
      <c r="R529" s="127"/>
      <c r="S529" s="127"/>
      <c r="T529" s="127"/>
      <c r="U529" s="127"/>
    </row>
    <row r="530" spans="1:21" ht="15" customHeight="1">
      <c r="A530" s="125"/>
      <c r="B530" s="125"/>
      <c r="C530" s="125"/>
      <c r="D530" s="81"/>
      <c r="E530" s="81"/>
      <c r="F530" s="97"/>
      <c r="G530" s="81"/>
      <c r="H530" s="81"/>
      <c r="I530" s="81"/>
      <c r="J530" s="81"/>
      <c r="K530" s="81"/>
      <c r="L530" s="155"/>
      <c r="M530" s="155"/>
      <c r="N530" s="109"/>
      <c r="O530" s="126"/>
      <c r="P530" s="126"/>
      <c r="Q530" s="126"/>
      <c r="R530" s="127"/>
      <c r="S530" s="127"/>
      <c r="T530" s="127"/>
      <c r="U530" s="127"/>
    </row>
    <row r="531" spans="1:21" ht="15" customHeight="1">
      <c r="A531" s="125"/>
      <c r="B531" s="125"/>
      <c r="C531" s="125"/>
      <c r="D531" s="81"/>
      <c r="E531" s="81"/>
      <c r="F531" s="97"/>
      <c r="G531" s="81"/>
      <c r="H531" s="81"/>
      <c r="I531" s="81"/>
      <c r="J531" s="81"/>
      <c r="K531" s="81"/>
      <c r="L531" s="155"/>
      <c r="M531" s="155"/>
      <c r="N531" s="109"/>
      <c r="O531" s="126"/>
      <c r="P531" s="126"/>
      <c r="Q531" s="126"/>
      <c r="R531" s="127"/>
      <c r="S531" s="127"/>
      <c r="T531" s="127"/>
      <c r="U531" s="127"/>
    </row>
    <row r="532" spans="1:21" ht="15" customHeight="1">
      <c r="A532" s="125"/>
      <c r="B532" s="125"/>
      <c r="C532" s="125"/>
      <c r="D532" s="81"/>
      <c r="E532" s="81"/>
      <c r="F532" s="97"/>
      <c r="G532" s="81"/>
      <c r="H532" s="81"/>
      <c r="I532" s="81"/>
      <c r="J532" s="81"/>
      <c r="K532" s="81"/>
      <c r="L532" s="155"/>
      <c r="M532" s="155"/>
      <c r="N532" s="109"/>
      <c r="O532" s="126"/>
      <c r="P532" s="126"/>
      <c r="Q532" s="126"/>
      <c r="R532" s="127"/>
      <c r="S532" s="127"/>
      <c r="T532" s="127"/>
      <c r="U532" s="127"/>
    </row>
    <row r="533" spans="1:21" ht="15" customHeight="1">
      <c r="A533" s="125"/>
      <c r="B533" s="125"/>
      <c r="C533" s="125"/>
      <c r="D533" s="81"/>
      <c r="E533" s="81"/>
      <c r="F533" s="97"/>
      <c r="G533" s="81"/>
      <c r="H533" s="81"/>
      <c r="I533" s="81"/>
      <c r="J533" s="81"/>
      <c r="K533" s="81"/>
      <c r="L533" s="155"/>
      <c r="M533" s="155"/>
      <c r="N533" s="109"/>
      <c r="O533" s="126"/>
      <c r="P533" s="126"/>
      <c r="Q533" s="126"/>
      <c r="R533" s="127"/>
      <c r="S533" s="127"/>
      <c r="T533" s="127"/>
      <c r="U533" s="127"/>
    </row>
    <row r="534" spans="1:21" ht="15" customHeight="1">
      <c r="A534" s="125"/>
      <c r="B534" s="125"/>
      <c r="C534" s="125"/>
      <c r="D534" s="81"/>
      <c r="E534" s="81"/>
      <c r="F534" s="97"/>
      <c r="G534" s="81"/>
      <c r="H534" s="81"/>
      <c r="I534" s="81"/>
      <c r="J534" s="81"/>
      <c r="K534" s="81"/>
      <c r="L534" s="155"/>
      <c r="M534" s="155"/>
      <c r="N534" s="109"/>
      <c r="O534" s="126"/>
      <c r="P534" s="126"/>
      <c r="Q534" s="126"/>
      <c r="R534" s="127"/>
      <c r="S534" s="127"/>
      <c r="T534" s="127"/>
      <c r="U534" s="127"/>
    </row>
    <row r="535" spans="1:21" ht="15" customHeight="1">
      <c r="A535" s="125"/>
      <c r="B535" s="125"/>
      <c r="C535" s="125"/>
      <c r="D535" s="81"/>
      <c r="E535" s="81"/>
      <c r="F535" s="97"/>
      <c r="G535" s="81"/>
      <c r="H535" s="81"/>
      <c r="I535" s="81"/>
      <c r="J535" s="81"/>
      <c r="K535" s="81"/>
      <c r="L535" s="155"/>
      <c r="M535" s="155"/>
      <c r="N535" s="109"/>
      <c r="O535" s="126"/>
      <c r="P535" s="126"/>
      <c r="Q535" s="126"/>
      <c r="R535" s="127"/>
      <c r="S535" s="127"/>
      <c r="T535" s="127"/>
      <c r="U535" s="127"/>
    </row>
    <row r="536" spans="1:21" ht="15" customHeight="1">
      <c r="A536" s="125"/>
      <c r="B536" s="125"/>
      <c r="C536" s="125"/>
      <c r="D536" s="81"/>
      <c r="E536" s="81"/>
      <c r="F536" s="97"/>
      <c r="G536" s="81"/>
      <c r="H536" s="81"/>
      <c r="I536" s="81"/>
      <c r="J536" s="81"/>
      <c r="K536" s="81"/>
      <c r="L536" s="155"/>
      <c r="M536" s="155"/>
      <c r="N536" s="109"/>
      <c r="O536" s="126"/>
      <c r="P536" s="126"/>
      <c r="Q536" s="126"/>
      <c r="R536" s="127"/>
      <c r="S536" s="127"/>
      <c r="T536" s="127"/>
      <c r="U536" s="127"/>
    </row>
    <row r="537" spans="1:21" ht="15" customHeight="1">
      <c r="A537" s="125"/>
      <c r="B537" s="125"/>
      <c r="C537" s="125"/>
      <c r="D537" s="81"/>
      <c r="E537" s="81"/>
      <c r="F537" s="97"/>
      <c r="G537" s="81"/>
      <c r="H537" s="81"/>
      <c r="I537" s="81"/>
      <c r="J537" s="81"/>
      <c r="K537" s="81"/>
      <c r="L537" s="155"/>
      <c r="M537" s="155"/>
      <c r="N537" s="109"/>
      <c r="O537" s="126"/>
      <c r="P537" s="126"/>
      <c r="Q537" s="126"/>
      <c r="R537" s="127"/>
      <c r="S537" s="127"/>
      <c r="T537" s="127"/>
      <c r="U537" s="127"/>
    </row>
    <row r="538" spans="1:21" ht="15" customHeight="1">
      <c r="A538" s="125"/>
      <c r="B538" s="125"/>
      <c r="C538" s="125"/>
      <c r="D538" s="81"/>
      <c r="E538" s="81"/>
      <c r="F538" s="97"/>
      <c r="G538" s="81"/>
      <c r="H538" s="81"/>
      <c r="I538" s="81"/>
      <c r="J538" s="81"/>
      <c r="K538" s="81"/>
      <c r="L538" s="155"/>
      <c r="M538" s="155"/>
      <c r="N538" s="109"/>
      <c r="O538" s="126"/>
      <c r="P538" s="126"/>
      <c r="Q538" s="126"/>
      <c r="R538" s="127"/>
      <c r="S538" s="127"/>
      <c r="T538" s="127"/>
      <c r="U538" s="127"/>
    </row>
    <row r="539" spans="1:21" ht="15" customHeight="1">
      <c r="A539" s="125"/>
      <c r="B539" s="125"/>
      <c r="C539" s="125"/>
      <c r="D539" s="81"/>
      <c r="E539" s="81"/>
      <c r="F539" s="97"/>
      <c r="G539" s="81"/>
      <c r="H539" s="81"/>
      <c r="I539" s="81"/>
      <c r="J539" s="81"/>
      <c r="K539" s="81"/>
      <c r="L539" s="155"/>
      <c r="M539" s="155"/>
      <c r="N539" s="109"/>
      <c r="O539" s="126"/>
      <c r="P539" s="126"/>
      <c r="Q539" s="126"/>
      <c r="R539" s="127"/>
      <c r="S539" s="127"/>
      <c r="T539" s="127"/>
      <c r="U539" s="127"/>
    </row>
    <row r="540" spans="1:21" ht="15" customHeight="1">
      <c r="A540" s="125"/>
      <c r="B540" s="125"/>
      <c r="C540" s="125"/>
      <c r="D540" s="81"/>
      <c r="E540" s="81"/>
      <c r="F540" s="97"/>
      <c r="G540" s="81"/>
      <c r="H540" s="81"/>
      <c r="I540" s="81"/>
      <c r="J540" s="81"/>
      <c r="K540" s="81"/>
      <c r="L540" s="155"/>
      <c r="M540" s="155"/>
      <c r="N540" s="109"/>
      <c r="O540" s="126"/>
      <c r="P540" s="126"/>
      <c r="Q540" s="126"/>
      <c r="R540" s="127"/>
      <c r="S540" s="127"/>
      <c r="T540" s="127"/>
      <c r="U540" s="127"/>
    </row>
    <row r="541" spans="1:21" ht="15" customHeight="1">
      <c r="A541" s="125"/>
      <c r="B541" s="125"/>
      <c r="C541" s="125"/>
      <c r="D541" s="81"/>
      <c r="E541" s="81"/>
      <c r="F541" s="97"/>
      <c r="G541" s="81"/>
      <c r="H541" s="81"/>
      <c r="I541" s="81"/>
      <c r="J541" s="81"/>
      <c r="K541" s="81"/>
      <c r="L541" s="155"/>
      <c r="M541" s="155"/>
      <c r="N541" s="109"/>
      <c r="O541" s="126"/>
      <c r="P541" s="126"/>
      <c r="Q541" s="126"/>
      <c r="R541" s="127"/>
      <c r="S541" s="127"/>
      <c r="T541" s="127"/>
      <c r="U541" s="127"/>
    </row>
    <row r="542" spans="1:21" ht="15" customHeight="1">
      <c r="A542" s="125"/>
      <c r="B542" s="125"/>
      <c r="C542" s="125"/>
      <c r="D542" s="81"/>
      <c r="E542" s="81"/>
      <c r="F542" s="97"/>
      <c r="G542" s="81"/>
      <c r="H542" s="81"/>
      <c r="I542" s="81"/>
      <c r="J542" s="81"/>
      <c r="K542" s="81"/>
      <c r="L542" s="155"/>
      <c r="M542" s="155"/>
      <c r="N542" s="109"/>
      <c r="O542" s="126"/>
      <c r="P542" s="126"/>
      <c r="Q542" s="126"/>
      <c r="R542" s="127"/>
      <c r="S542" s="127"/>
      <c r="T542" s="127"/>
      <c r="U542" s="127"/>
    </row>
    <row r="543" spans="1:21" ht="15" customHeight="1">
      <c r="A543" s="125"/>
      <c r="B543" s="125"/>
      <c r="C543" s="125"/>
      <c r="D543" s="81"/>
      <c r="E543" s="81"/>
      <c r="F543" s="97"/>
      <c r="G543" s="81"/>
      <c r="H543" s="81"/>
      <c r="I543" s="81"/>
      <c r="J543" s="81"/>
      <c r="K543" s="81"/>
      <c r="L543" s="155"/>
      <c r="M543" s="155"/>
      <c r="N543" s="109"/>
      <c r="O543" s="126"/>
      <c r="P543" s="126"/>
      <c r="Q543" s="126"/>
      <c r="R543" s="127"/>
      <c r="S543" s="127"/>
      <c r="T543" s="127"/>
      <c r="U543" s="127"/>
    </row>
    <row r="544" spans="1:21" ht="15" customHeight="1">
      <c r="A544" s="125"/>
      <c r="B544" s="125"/>
      <c r="C544" s="125"/>
      <c r="D544" s="81"/>
      <c r="E544" s="81"/>
      <c r="F544" s="97"/>
      <c r="G544" s="81"/>
      <c r="H544" s="81"/>
      <c r="I544" s="81"/>
      <c r="J544" s="81"/>
      <c r="K544" s="81"/>
      <c r="L544" s="155"/>
      <c r="M544" s="155"/>
      <c r="N544" s="109"/>
      <c r="O544" s="126"/>
      <c r="P544" s="126"/>
      <c r="Q544" s="126"/>
      <c r="R544" s="127"/>
      <c r="S544" s="127"/>
      <c r="T544" s="127"/>
      <c r="U544" s="127"/>
    </row>
    <row r="545" spans="1:21" ht="15" customHeight="1">
      <c r="A545" s="125"/>
      <c r="B545" s="125"/>
      <c r="C545" s="125"/>
      <c r="D545" s="81"/>
      <c r="E545" s="81"/>
      <c r="F545" s="97"/>
      <c r="G545" s="81"/>
      <c r="H545" s="81"/>
      <c r="I545" s="81"/>
      <c r="J545" s="81"/>
      <c r="K545" s="81"/>
      <c r="L545" s="155"/>
      <c r="M545" s="155"/>
      <c r="N545" s="109"/>
      <c r="O545" s="126"/>
      <c r="P545" s="126"/>
      <c r="Q545" s="126"/>
      <c r="R545" s="127"/>
      <c r="S545" s="127"/>
      <c r="T545" s="127"/>
      <c r="U545" s="127"/>
    </row>
    <row r="546" spans="1:21" ht="15" customHeight="1">
      <c r="A546" s="125"/>
      <c r="B546" s="125"/>
      <c r="C546" s="125"/>
      <c r="D546" s="81"/>
      <c r="E546" s="81"/>
      <c r="F546" s="97"/>
      <c r="G546" s="81"/>
      <c r="H546" s="81"/>
      <c r="I546" s="81"/>
      <c r="J546" s="81"/>
      <c r="K546" s="81"/>
      <c r="L546" s="155"/>
      <c r="M546" s="155"/>
      <c r="N546" s="109"/>
      <c r="O546" s="126"/>
      <c r="P546" s="126"/>
      <c r="Q546" s="126"/>
      <c r="R546" s="127"/>
      <c r="S546" s="127"/>
      <c r="T546" s="127"/>
      <c r="U546" s="127"/>
    </row>
    <row r="547" spans="1:21" ht="15" customHeight="1">
      <c r="A547" s="125"/>
      <c r="B547" s="125"/>
      <c r="C547" s="125"/>
      <c r="D547" s="81"/>
      <c r="E547" s="81"/>
      <c r="F547" s="97"/>
      <c r="G547" s="81"/>
      <c r="H547" s="81"/>
      <c r="I547" s="81"/>
      <c r="J547" s="81"/>
      <c r="K547" s="81"/>
      <c r="L547" s="155"/>
      <c r="M547" s="155"/>
      <c r="N547" s="109"/>
      <c r="O547" s="126"/>
      <c r="P547" s="126"/>
      <c r="Q547" s="126"/>
      <c r="R547" s="127"/>
      <c r="S547" s="127"/>
      <c r="T547" s="127"/>
      <c r="U547" s="127"/>
    </row>
    <row r="548" spans="1:21" ht="15" customHeight="1">
      <c r="A548" s="125"/>
      <c r="B548" s="125"/>
      <c r="C548" s="125"/>
      <c r="D548" s="81"/>
      <c r="E548" s="81"/>
      <c r="F548" s="97"/>
      <c r="G548" s="81"/>
      <c r="H548" s="81"/>
      <c r="I548" s="81"/>
      <c r="J548" s="81"/>
      <c r="K548" s="81"/>
      <c r="L548" s="155"/>
      <c r="M548" s="155"/>
      <c r="N548" s="109"/>
      <c r="O548" s="126"/>
      <c r="P548" s="126"/>
      <c r="Q548" s="126"/>
      <c r="R548" s="127"/>
      <c r="S548" s="127"/>
      <c r="T548" s="127"/>
      <c r="U548" s="127"/>
    </row>
    <row r="549" spans="1:21" ht="15" customHeight="1">
      <c r="A549" s="125"/>
      <c r="B549" s="125"/>
      <c r="C549" s="125"/>
      <c r="D549" s="81"/>
      <c r="E549" s="81"/>
      <c r="F549" s="97"/>
      <c r="G549" s="81"/>
      <c r="H549" s="81"/>
      <c r="I549" s="81"/>
      <c r="J549" s="81"/>
      <c r="K549" s="81"/>
      <c r="L549" s="155"/>
      <c r="M549" s="155"/>
      <c r="N549" s="109"/>
      <c r="O549" s="126"/>
      <c r="P549" s="126"/>
      <c r="Q549" s="126"/>
      <c r="R549" s="127"/>
      <c r="S549" s="127"/>
      <c r="T549" s="127"/>
      <c r="U549" s="127"/>
    </row>
    <row r="550" spans="1:21" ht="15" customHeight="1">
      <c r="A550" s="125"/>
      <c r="B550" s="125"/>
      <c r="C550" s="125"/>
      <c r="D550" s="81"/>
      <c r="E550" s="81"/>
      <c r="F550" s="97"/>
      <c r="G550" s="81"/>
      <c r="H550" s="81"/>
      <c r="I550" s="81"/>
      <c r="J550" s="81"/>
      <c r="K550" s="81"/>
      <c r="L550" s="155"/>
      <c r="M550" s="155"/>
      <c r="N550" s="109"/>
      <c r="O550" s="126"/>
      <c r="P550" s="126"/>
      <c r="Q550" s="126"/>
      <c r="R550" s="127"/>
      <c r="S550" s="127"/>
      <c r="T550" s="127"/>
      <c r="U550" s="127"/>
    </row>
    <row r="551" spans="1:21" ht="15" customHeight="1">
      <c r="A551" s="125"/>
      <c r="B551" s="125"/>
      <c r="C551" s="125"/>
      <c r="D551" s="81"/>
      <c r="E551" s="81"/>
      <c r="F551" s="97"/>
      <c r="G551" s="81"/>
      <c r="H551" s="81"/>
      <c r="I551" s="81"/>
      <c r="J551" s="81"/>
      <c r="K551" s="81"/>
      <c r="L551" s="155"/>
      <c r="M551" s="155"/>
      <c r="N551" s="109"/>
      <c r="O551" s="126"/>
      <c r="P551" s="126"/>
      <c r="Q551" s="126"/>
      <c r="R551" s="127"/>
      <c r="S551" s="127"/>
      <c r="T551" s="127"/>
      <c r="U551" s="127"/>
    </row>
    <row r="552" spans="1:21" ht="15" customHeight="1">
      <c r="A552" s="125"/>
      <c r="B552" s="125"/>
      <c r="C552" s="125"/>
      <c r="D552" s="81"/>
      <c r="E552" s="81"/>
      <c r="F552" s="97"/>
      <c r="G552" s="81"/>
      <c r="H552" s="81"/>
      <c r="I552" s="81"/>
      <c r="J552" s="81"/>
      <c r="K552" s="81"/>
      <c r="L552" s="155"/>
      <c r="M552" s="155"/>
      <c r="N552" s="109"/>
      <c r="O552" s="126"/>
      <c r="P552" s="126"/>
      <c r="Q552" s="126"/>
      <c r="R552" s="127"/>
      <c r="S552" s="127"/>
      <c r="T552" s="127"/>
      <c r="U552" s="127"/>
    </row>
    <row r="553" spans="1:21" ht="15" customHeight="1">
      <c r="A553" s="125"/>
      <c r="B553" s="125"/>
      <c r="C553" s="125"/>
      <c r="D553" s="81"/>
      <c r="E553" s="81"/>
      <c r="F553" s="97"/>
      <c r="G553" s="81"/>
      <c r="H553" s="81"/>
      <c r="I553" s="81"/>
      <c r="J553" s="81"/>
      <c r="K553" s="81"/>
      <c r="L553" s="155"/>
      <c r="M553" s="155"/>
      <c r="N553" s="109"/>
      <c r="O553" s="126"/>
      <c r="P553" s="126"/>
      <c r="Q553" s="126"/>
      <c r="R553" s="127"/>
      <c r="S553" s="127"/>
      <c r="T553" s="127"/>
      <c r="U553" s="127"/>
    </row>
    <row r="554" spans="1:21" ht="15" customHeight="1">
      <c r="A554" s="125"/>
      <c r="B554" s="125"/>
      <c r="C554" s="125"/>
      <c r="D554" s="81"/>
      <c r="E554" s="81"/>
      <c r="F554" s="97"/>
      <c r="G554" s="81"/>
      <c r="H554" s="81"/>
      <c r="I554" s="81"/>
      <c r="J554" s="81"/>
      <c r="K554" s="81"/>
      <c r="L554" s="155"/>
      <c r="M554" s="155"/>
      <c r="N554" s="109"/>
      <c r="O554" s="126"/>
      <c r="P554" s="126"/>
      <c r="Q554" s="126"/>
      <c r="R554" s="127"/>
      <c r="S554" s="127"/>
      <c r="T554" s="127"/>
      <c r="U554" s="127"/>
    </row>
    <row r="555" spans="1:21" ht="15" customHeight="1">
      <c r="A555" s="125"/>
      <c r="B555" s="125"/>
      <c r="C555" s="125"/>
      <c r="D555" s="81"/>
      <c r="E555" s="81"/>
      <c r="F555" s="97"/>
      <c r="G555" s="81"/>
      <c r="H555" s="81"/>
      <c r="I555" s="81"/>
      <c r="J555" s="81"/>
      <c r="K555" s="81"/>
      <c r="L555" s="155"/>
      <c r="M555" s="155"/>
      <c r="N555" s="109"/>
      <c r="O555" s="126"/>
      <c r="P555" s="126"/>
      <c r="Q555" s="126"/>
      <c r="R555" s="127"/>
      <c r="S555" s="127"/>
      <c r="T555" s="127"/>
      <c r="U555" s="127"/>
    </row>
    <row r="556" spans="1:21" ht="15" customHeight="1">
      <c r="A556" s="125"/>
      <c r="B556" s="125"/>
      <c r="C556" s="125"/>
      <c r="D556" s="81"/>
      <c r="E556" s="81"/>
      <c r="F556" s="97"/>
      <c r="G556" s="81"/>
      <c r="H556" s="81"/>
      <c r="I556" s="81"/>
      <c r="J556" s="81"/>
      <c r="K556" s="81"/>
      <c r="L556" s="155"/>
      <c r="M556" s="155"/>
      <c r="N556" s="109"/>
      <c r="O556" s="126"/>
      <c r="P556" s="126"/>
      <c r="Q556" s="126"/>
      <c r="R556" s="127"/>
      <c r="S556" s="127"/>
      <c r="T556" s="127"/>
      <c r="U556" s="127"/>
    </row>
    <row r="557" spans="1:21" ht="15" customHeight="1">
      <c r="A557" s="125"/>
      <c r="B557" s="125"/>
      <c r="C557" s="125"/>
      <c r="D557" s="81"/>
      <c r="E557" s="81"/>
      <c r="F557" s="97"/>
      <c r="G557" s="81"/>
      <c r="H557" s="81"/>
      <c r="I557" s="81"/>
      <c r="J557" s="81"/>
      <c r="K557" s="81"/>
      <c r="L557" s="155"/>
      <c r="M557" s="155"/>
      <c r="N557" s="109"/>
      <c r="O557" s="126"/>
      <c r="P557" s="126"/>
      <c r="Q557" s="126"/>
      <c r="R557" s="127"/>
      <c r="S557" s="127"/>
      <c r="T557" s="127"/>
      <c r="U557" s="127"/>
    </row>
    <row r="558" spans="1:21" ht="15" customHeight="1">
      <c r="A558" s="125"/>
      <c r="B558" s="125"/>
      <c r="C558" s="125"/>
      <c r="D558" s="81"/>
      <c r="E558" s="81"/>
      <c r="F558" s="97"/>
      <c r="G558" s="81"/>
      <c r="H558" s="81"/>
      <c r="I558" s="81"/>
      <c r="J558" s="81"/>
      <c r="K558" s="81"/>
      <c r="L558" s="155"/>
      <c r="M558" s="155"/>
      <c r="N558" s="109"/>
      <c r="O558" s="126"/>
      <c r="P558" s="126"/>
      <c r="Q558" s="126"/>
      <c r="R558" s="127"/>
      <c r="S558" s="127"/>
      <c r="T558" s="127"/>
      <c r="U558" s="127"/>
    </row>
    <row r="559" spans="1:21" ht="15" customHeight="1">
      <c r="A559" s="125"/>
      <c r="B559" s="125"/>
      <c r="C559" s="125"/>
      <c r="D559" s="81"/>
      <c r="E559" s="81"/>
      <c r="F559" s="97"/>
      <c r="G559" s="81"/>
      <c r="H559" s="81"/>
      <c r="I559" s="81"/>
      <c r="J559" s="81"/>
      <c r="K559" s="81"/>
      <c r="L559" s="155"/>
      <c r="M559" s="155"/>
      <c r="N559" s="109"/>
      <c r="O559" s="126"/>
      <c r="P559" s="126"/>
      <c r="Q559" s="126"/>
      <c r="R559" s="127"/>
      <c r="S559" s="127"/>
      <c r="T559" s="127"/>
      <c r="U559" s="127"/>
    </row>
    <row r="560" spans="1:21" ht="15" customHeight="1">
      <c r="A560" s="125"/>
      <c r="B560" s="125"/>
      <c r="C560" s="125"/>
      <c r="D560" s="81"/>
      <c r="E560" s="81"/>
      <c r="F560" s="97"/>
      <c r="G560" s="81"/>
      <c r="H560" s="81"/>
      <c r="I560" s="81"/>
      <c r="J560" s="81"/>
      <c r="K560" s="81"/>
      <c r="L560" s="155"/>
      <c r="M560" s="155"/>
      <c r="N560" s="109"/>
      <c r="O560" s="126"/>
      <c r="P560" s="126"/>
      <c r="Q560" s="126"/>
      <c r="R560" s="127"/>
      <c r="S560" s="127"/>
      <c r="T560" s="127"/>
      <c r="U560" s="127"/>
    </row>
    <row r="561" spans="1:21" ht="15" customHeight="1">
      <c r="A561" s="125"/>
      <c r="B561" s="125"/>
      <c r="C561" s="125"/>
      <c r="D561" s="81"/>
      <c r="E561" s="81"/>
      <c r="F561" s="97"/>
      <c r="G561" s="81"/>
      <c r="H561" s="81"/>
      <c r="I561" s="81"/>
      <c r="J561" s="81"/>
      <c r="K561" s="81"/>
      <c r="L561" s="155"/>
      <c r="M561" s="155"/>
      <c r="N561" s="109"/>
      <c r="O561" s="126"/>
      <c r="P561" s="126"/>
      <c r="Q561" s="126"/>
      <c r="R561" s="127"/>
      <c r="S561" s="127"/>
      <c r="T561" s="127"/>
      <c r="U561" s="127"/>
    </row>
    <row r="562" spans="1:21" ht="15" customHeight="1">
      <c r="A562" s="125"/>
      <c r="B562" s="125"/>
      <c r="C562" s="125"/>
      <c r="D562" s="81"/>
      <c r="E562" s="81"/>
      <c r="F562" s="97"/>
      <c r="G562" s="81"/>
      <c r="H562" s="81"/>
      <c r="I562" s="81"/>
      <c r="J562" s="81"/>
      <c r="K562" s="81"/>
      <c r="L562" s="155"/>
      <c r="M562" s="155"/>
      <c r="N562" s="109"/>
      <c r="O562" s="126"/>
      <c r="P562" s="126"/>
      <c r="Q562" s="126"/>
      <c r="R562" s="127"/>
      <c r="S562" s="127"/>
      <c r="T562" s="127"/>
      <c r="U562" s="127"/>
    </row>
    <row r="563" spans="1:21" ht="15" customHeight="1">
      <c r="A563" s="125"/>
      <c r="B563" s="125"/>
      <c r="C563" s="125"/>
      <c r="D563" s="81"/>
      <c r="E563" s="81"/>
      <c r="F563" s="97"/>
      <c r="G563" s="81"/>
      <c r="H563" s="81"/>
      <c r="I563" s="81"/>
      <c r="J563" s="81"/>
      <c r="K563" s="81"/>
      <c r="L563" s="155"/>
      <c r="M563" s="155"/>
      <c r="N563" s="109"/>
      <c r="O563" s="126"/>
      <c r="P563" s="126"/>
      <c r="Q563" s="126"/>
      <c r="R563" s="127"/>
      <c r="S563" s="127"/>
      <c r="T563" s="127"/>
      <c r="U563" s="127"/>
    </row>
    <row r="564" spans="1:21" ht="15" customHeight="1">
      <c r="A564" s="125"/>
      <c r="B564" s="125"/>
      <c r="C564" s="125"/>
      <c r="D564" s="81"/>
      <c r="E564" s="81"/>
      <c r="F564" s="97"/>
      <c r="G564" s="81"/>
      <c r="H564" s="81"/>
      <c r="I564" s="81"/>
      <c r="J564" s="81"/>
      <c r="K564" s="81"/>
      <c r="L564" s="155"/>
      <c r="M564" s="155"/>
      <c r="N564" s="109"/>
      <c r="O564" s="126"/>
      <c r="P564" s="126"/>
      <c r="Q564" s="126"/>
      <c r="R564" s="127"/>
      <c r="S564" s="127"/>
      <c r="T564" s="127"/>
      <c r="U564" s="127"/>
    </row>
    <row r="565" spans="1:21" ht="15" customHeight="1">
      <c r="A565" s="125"/>
      <c r="B565" s="125"/>
      <c r="C565" s="125"/>
      <c r="D565" s="81"/>
      <c r="E565" s="81"/>
      <c r="F565" s="97"/>
      <c r="G565" s="81"/>
      <c r="H565" s="81"/>
      <c r="I565" s="81"/>
      <c r="J565" s="81"/>
      <c r="K565" s="81"/>
      <c r="L565" s="155"/>
      <c r="M565" s="155"/>
      <c r="N565" s="109"/>
      <c r="O565" s="126"/>
      <c r="P565" s="126"/>
      <c r="Q565" s="126"/>
      <c r="R565" s="127"/>
      <c r="S565" s="127"/>
      <c r="T565" s="127"/>
      <c r="U565" s="127"/>
    </row>
    <row r="566" spans="1:21" ht="15" customHeight="1">
      <c r="A566" s="125"/>
      <c r="B566" s="125"/>
      <c r="C566" s="125"/>
      <c r="D566" s="81"/>
      <c r="E566" s="81"/>
      <c r="F566" s="97"/>
      <c r="G566" s="81"/>
      <c r="H566" s="81"/>
      <c r="I566" s="81"/>
      <c r="J566" s="81"/>
      <c r="K566" s="81"/>
      <c r="L566" s="155"/>
      <c r="M566" s="155"/>
      <c r="N566" s="109"/>
      <c r="O566" s="126"/>
      <c r="P566" s="126"/>
      <c r="Q566" s="126"/>
      <c r="R566" s="127"/>
      <c r="S566" s="127"/>
      <c r="T566" s="127"/>
      <c r="U566" s="127"/>
    </row>
    <row r="567" spans="1:21" ht="15" customHeight="1">
      <c r="A567" s="125"/>
      <c r="B567" s="125"/>
      <c r="C567" s="125"/>
      <c r="D567" s="81"/>
      <c r="E567" s="81"/>
      <c r="F567" s="97"/>
      <c r="G567" s="81"/>
      <c r="H567" s="81"/>
      <c r="I567" s="81"/>
      <c r="J567" s="81"/>
      <c r="K567" s="81"/>
      <c r="L567" s="155"/>
      <c r="M567" s="155"/>
      <c r="N567" s="109"/>
      <c r="O567" s="126"/>
      <c r="P567" s="126"/>
      <c r="Q567" s="126"/>
      <c r="R567" s="127"/>
      <c r="S567" s="127"/>
      <c r="T567" s="127"/>
      <c r="U567" s="127"/>
    </row>
    <row r="568" spans="1:21" ht="15" customHeight="1">
      <c r="A568" s="125"/>
      <c r="B568" s="125"/>
      <c r="C568" s="125"/>
      <c r="D568" s="81"/>
      <c r="E568" s="81"/>
      <c r="F568" s="97"/>
      <c r="G568" s="81"/>
      <c r="H568" s="81"/>
      <c r="I568" s="81"/>
      <c r="J568" s="81"/>
      <c r="K568" s="81"/>
      <c r="L568" s="155"/>
      <c r="M568" s="155"/>
      <c r="N568" s="109"/>
      <c r="O568" s="126"/>
      <c r="P568" s="126"/>
      <c r="Q568" s="126"/>
      <c r="R568" s="127"/>
      <c r="S568" s="127"/>
      <c r="T568" s="127"/>
      <c r="U568" s="127"/>
    </row>
    <row r="569" spans="1:21" ht="15" customHeight="1">
      <c r="A569" s="125"/>
      <c r="B569" s="125"/>
      <c r="C569" s="125"/>
      <c r="D569" s="81"/>
      <c r="E569" s="81"/>
      <c r="F569" s="97"/>
      <c r="G569" s="81"/>
      <c r="H569" s="81"/>
      <c r="I569" s="81"/>
      <c r="J569" s="81"/>
      <c r="K569" s="81"/>
      <c r="L569" s="155"/>
      <c r="M569" s="155"/>
      <c r="N569" s="109"/>
      <c r="O569" s="126"/>
      <c r="P569" s="126"/>
      <c r="Q569" s="126"/>
      <c r="R569" s="127"/>
      <c r="S569" s="127"/>
      <c r="T569" s="127"/>
      <c r="U569" s="127"/>
    </row>
    <row r="570" spans="1:21" ht="15" customHeight="1">
      <c r="A570" s="125"/>
      <c r="B570" s="125"/>
      <c r="C570" s="125"/>
      <c r="D570" s="81"/>
      <c r="E570" s="81"/>
      <c r="F570" s="97"/>
      <c r="G570" s="81"/>
      <c r="H570" s="81"/>
      <c r="I570" s="81"/>
      <c r="J570" s="81"/>
      <c r="K570" s="81"/>
      <c r="L570" s="155"/>
      <c r="M570" s="155"/>
      <c r="N570" s="109"/>
      <c r="O570" s="126"/>
      <c r="P570" s="126"/>
      <c r="Q570" s="126"/>
      <c r="R570" s="127"/>
      <c r="S570" s="127"/>
      <c r="T570" s="127"/>
      <c r="U570" s="127"/>
    </row>
    <row r="571" spans="1:21" ht="15" customHeight="1">
      <c r="A571" s="125"/>
      <c r="B571" s="125"/>
      <c r="C571" s="125"/>
      <c r="D571" s="81"/>
      <c r="E571" s="81"/>
      <c r="F571" s="97"/>
      <c r="G571" s="81"/>
      <c r="H571" s="81"/>
      <c r="I571" s="81"/>
      <c r="J571" s="81"/>
      <c r="K571" s="81"/>
      <c r="L571" s="155"/>
      <c r="M571" s="155"/>
      <c r="N571" s="109"/>
      <c r="O571" s="126"/>
      <c r="P571" s="126"/>
      <c r="Q571" s="126"/>
      <c r="R571" s="127"/>
      <c r="S571" s="127"/>
      <c r="T571" s="127"/>
      <c r="U571" s="127"/>
    </row>
    <row r="572" spans="1:21" ht="15" customHeight="1">
      <c r="A572" s="125"/>
      <c r="B572" s="125"/>
      <c r="C572" s="125"/>
      <c r="D572" s="81"/>
      <c r="E572" s="81"/>
      <c r="F572" s="97"/>
      <c r="G572" s="81"/>
      <c r="H572" s="81"/>
      <c r="I572" s="81"/>
      <c r="J572" s="81"/>
      <c r="K572" s="81"/>
      <c r="L572" s="155"/>
      <c r="M572" s="155"/>
      <c r="N572" s="109"/>
      <c r="O572" s="126"/>
      <c r="P572" s="126"/>
      <c r="Q572" s="126"/>
      <c r="R572" s="127"/>
      <c r="S572" s="127"/>
      <c r="T572" s="127"/>
      <c r="U572" s="127"/>
    </row>
    <row r="573" spans="1:21" ht="15" customHeight="1">
      <c r="A573" s="125"/>
      <c r="B573" s="125"/>
      <c r="C573" s="125"/>
      <c r="D573" s="81"/>
      <c r="E573" s="81"/>
      <c r="F573" s="97"/>
      <c r="G573" s="81"/>
      <c r="H573" s="81"/>
      <c r="I573" s="81"/>
      <c r="J573" s="81"/>
      <c r="K573" s="81"/>
      <c r="L573" s="155"/>
      <c r="M573" s="155"/>
      <c r="N573" s="109"/>
      <c r="O573" s="126"/>
      <c r="P573" s="126"/>
      <c r="Q573" s="126"/>
      <c r="R573" s="127"/>
      <c r="S573" s="127"/>
      <c r="T573" s="127"/>
      <c r="U573" s="127"/>
    </row>
    <row r="574" spans="1:21" ht="15" customHeight="1">
      <c r="A574" s="125"/>
      <c r="B574" s="125"/>
      <c r="C574" s="125"/>
      <c r="D574" s="81"/>
      <c r="E574" s="81"/>
      <c r="F574" s="97"/>
      <c r="G574" s="81"/>
      <c r="H574" s="81"/>
      <c r="I574" s="81"/>
      <c r="J574" s="81"/>
      <c r="K574" s="81"/>
      <c r="L574" s="155"/>
      <c r="M574" s="155"/>
      <c r="N574" s="109"/>
      <c r="O574" s="126"/>
      <c r="P574" s="126"/>
      <c r="Q574" s="126"/>
      <c r="R574" s="127"/>
      <c r="S574" s="127"/>
      <c r="T574" s="127"/>
      <c r="U574" s="127"/>
    </row>
    <row r="575" spans="1:21" ht="15" customHeight="1">
      <c r="A575" s="125"/>
      <c r="B575" s="125"/>
      <c r="C575" s="125"/>
      <c r="D575" s="81"/>
      <c r="E575" s="81"/>
      <c r="F575" s="97"/>
      <c r="G575" s="81"/>
      <c r="H575" s="81"/>
      <c r="I575" s="81"/>
      <c r="J575" s="81"/>
      <c r="K575" s="81"/>
      <c r="L575" s="155"/>
      <c r="M575" s="155"/>
      <c r="N575" s="109"/>
      <c r="O575" s="126"/>
      <c r="P575" s="126"/>
      <c r="Q575" s="126"/>
      <c r="R575" s="127"/>
      <c r="S575" s="127"/>
      <c r="T575" s="127"/>
      <c r="U575" s="127"/>
    </row>
    <row r="576" spans="1:21" ht="15" customHeight="1">
      <c r="A576" s="125"/>
      <c r="B576" s="125"/>
      <c r="C576" s="125"/>
      <c r="D576" s="81"/>
      <c r="E576" s="81"/>
      <c r="F576" s="97"/>
      <c r="G576" s="81"/>
      <c r="H576" s="81"/>
      <c r="I576" s="81"/>
      <c r="J576" s="81"/>
      <c r="K576" s="81"/>
      <c r="L576" s="155"/>
      <c r="M576" s="155"/>
      <c r="N576" s="109"/>
      <c r="O576" s="126"/>
      <c r="P576" s="126"/>
      <c r="Q576" s="126"/>
      <c r="R576" s="127"/>
      <c r="S576" s="127"/>
      <c r="T576" s="127"/>
      <c r="U576" s="127"/>
    </row>
    <row r="577" spans="1:21" ht="15" customHeight="1">
      <c r="A577" s="125"/>
      <c r="B577" s="125"/>
      <c r="C577" s="125"/>
      <c r="D577" s="81"/>
      <c r="E577" s="81"/>
      <c r="F577" s="97"/>
      <c r="G577" s="81"/>
      <c r="H577" s="81"/>
      <c r="I577" s="81"/>
      <c r="J577" s="81"/>
      <c r="K577" s="81"/>
      <c r="L577" s="155"/>
      <c r="M577" s="155"/>
      <c r="N577" s="109"/>
      <c r="O577" s="126"/>
      <c r="P577" s="126"/>
      <c r="Q577" s="126"/>
      <c r="R577" s="127"/>
      <c r="S577" s="127"/>
      <c r="T577" s="127"/>
      <c r="U577" s="127"/>
    </row>
    <row r="578" spans="1:21" ht="15" customHeight="1">
      <c r="A578" s="125"/>
      <c r="B578" s="125"/>
      <c r="C578" s="125"/>
      <c r="D578" s="81"/>
      <c r="E578" s="81"/>
      <c r="F578" s="97"/>
      <c r="G578" s="81"/>
      <c r="H578" s="81"/>
      <c r="I578" s="81"/>
      <c r="J578" s="81"/>
      <c r="K578" s="81"/>
      <c r="L578" s="155"/>
      <c r="M578" s="155"/>
      <c r="N578" s="109"/>
      <c r="O578" s="126"/>
      <c r="P578" s="126"/>
      <c r="Q578" s="126"/>
      <c r="R578" s="127"/>
      <c r="S578" s="127"/>
      <c r="T578" s="127"/>
      <c r="U578" s="127"/>
    </row>
    <row r="579" spans="1:21" ht="15" customHeight="1">
      <c r="A579" s="125"/>
      <c r="B579" s="125"/>
      <c r="C579" s="125"/>
      <c r="D579" s="81"/>
      <c r="E579" s="81"/>
      <c r="F579" s="97"/>
      <c r="G579" s="81"/>
      <c r="H579" s="81"/>
      <c r="I579" s="81"/>
      <c r="J579" s="81"/>
      <c r="K579" s="81"/>
      <c r="L579" s="155"/>
      <c r="M579" s="155"/>
      <c r="N579" s="109"/>
      <c r="O579" s="126"/>
      <c r="P579" s="126"/>
      <c r="Q579" s="126"/>
      <c r="R579" s="127"/>
      <c r="S579" s="127"/>
      <c r="T579" s="127"/>
      <c r="U579" s="127"/>
    </row>
    <row r="580" spans="1:21" ht="15" customHeight="1">
      <c r="A580" s="125"/>
      <c r="B580" s="125"/>
      <c r="C580" s="125"/>
      <c r="D580" s="81"/>
      <c r="E580" s="81"/>
      <c r="F580" s="97"/>
      <c r="G580" s="81"/>
      <c r="H580" s="81"/>
      <c r="I580" s="81"/>
      <c r="J580" s="81"/>
      <c r="K580" s="81"/>
      <c r="L580" s="155"/>
      <c r="M580" s="155"/>
      <c r="N580" s="109"/>
      <c r="O580" s="126"/>
      <c r="P580" s="126"/>
      <c r="Q580" s="126"/>
      <c r="R580" s="127"/>
      <c r="S580" s="127"/>
      <c r="T580" s="127"/>
      <c r="U580" s="127"/>
    </row>
    <row r="581" spans="1:21" ht="15" customHeight="1">
      <c r="A581" s="125"/>
      <c r="B581" s="125"/>
      <c r="C581" s="125"/>
      <c r="D581" s="81"/>
      <c r="E581" s="81"/>
      <c r="F581" s="97"/>
      <c r="G581" s="81"/>
      <c r="H581" s="81"/>
      <c r="I581" s="81"/>
      <c r="J581" s="81"/>
      <c r="K581" s="81"/>
      <c r="L581" s="155"/>
      <c r="M581" s="155"/>
      <c r="N581" s="109"/>
      <c r="O581" s="126"/>
      <c r="P581" s="126"/>
      <c r="Q581" s="126"/>
      <c r="R581" s="127"/>
      <c r="S581" s="127"/>
      <c r="T581" s="127"/>
      <c r="U581" s="127"/>
    </row>
    <row r="582" spans="1:21" ht="15" customHeight="1">
      <c r="A582" s="125"/>
      <c r="B582" s="125"/>
      <c r="C582" s="125"/>
      <c r="D582" s="81"/>
      <c r="E582" s="81"/>
      <c r="F582" s="97"/>
      <c r="G582" s="81"/>
      <c r="H582" s="81"/>
      <c r="I582" s="81"/>
      <c r="J582" s="81"/>
      <c r="K582" s="81"/>
      <c r="L582" s="155"/>
      <c r="M582" s="155"/>
      <c r="N582" s="109"/>
      <c r="O582" s="126"/>
      <c r="P582" s="126"/>
      <c r="Q582" s="126"/>
      <c r="R582" s="127"/>
      <c r="S582" s="127"/>
      <c r="T582" s="127"/>
      <c r="U582" s="127"/>
    </row>
    <row r="583" spans="1:21" ht="15" customHeight="1">
      <c r="A583" s="125"/>
      <c r="B583" s="125"/>
      <c r="C583" s="125"/>
      <c r="D583" s="81"/>
      <c r="E583" s="81"/>
      <c r="F583" s="97"/>
      <c r="G583" s="81"/>
      <c r="H583" s="81"/>
      <c r="I583" s="81"/>
      <c r="J583" s="81"/>
      <c r="K583" s="81"/>
      <c r="L583" s="155"/>
      <c r="M583" s="155"/>
      <c r="N583" s="109"/>
      <c r="O583" s="126"/>
      <c r="P583" s="126"/>
      <c r="Q583" s="126"/>
      <c r="R583" s="127"/>
      <c r="S583" s="127"/>
      <c r="T583" s="127"/>
      <c r="U583" s="127"/>
    </row>
    <row r="584" spans="1:21" ht="15" customHeight="1">
      <c r="A584" s="125"/>
      <c r="B584" s="125"/>
      <c r="C584" s="125"/>
      <c r="D584" s="81"/>
      <c r="E584" s="81"/>
      <c r="F584" s="97"/>
      <c r="G584" s="81"/>
      <c r="H584" s="81"/>
      <c r="I584" s="81"/>
      <c r="J584" s="81"/>
      <c r="K584" s="81"/>
      <c r="L584" s="155"/>
      <c r="M584" s="155"/>
      <c r="N584" s="109"/>
      <c r="O584" s="126"/>
      <c r="P584" s="126"/>
      <c r="Q584" s="126"/>
      <c r="R584" s="127"/>
      <c r="S584" s="127"/>
      <c r="T584" s="127"/>
      <c r="U584" s="127"/>
    </row>
    <row r="585" spans="1:21" ht="15" customHeight="1">
      <c r="A585" s="125"/>
      <c r="B585" s="125"/>
      <c r="C585" s="125"/>
      <c r="D585" s="81"/>
      <c r="E585" s="81"/>
      <c r="F585" s="97"/>
      <c r="G585" s="81"/>
      <c r="H585" s="81"/>
      <c r="I585" s="81"/>
      <c r="J585" s="81"/>
      <c r="K585" s="81"/>
      <c r="L585" s="155"/>
      <c r="M585" s="155"/>
      <c r="N585" s="109"/>
      <c r="O585" s="126"/>
      <c r="P585" s="126"/>
      <c r="Q585" s="126"/>
      <c r="R585" s="127"/>
      <c r="S585" s="127"/>
      <c r="T585" s="127"/>
      <c r="U585" s="127"/>
    </row>
    <row r="586" spans="1:21" ht="15" customHeight="1">
      <c r="A586" s="125"/>
      <c r="B586" s="125"/>
      <c r="C586" s="125"/>
      <c r="D586" s="81"/>
      <c r="E586" s="81"/>
      <c r="F586" s="97"/>
      <c r="G586" s="81"/>
      <c r="H586" s="81"/>
      <c r="I586" s="81"/>
      <c r="J586" s="81"/>
      <c r="K586" s="81"/>
      <c r="L586" s="155"/>
      <c r="M586" s="155"/>
      <c r="N586" s="109"/>
      <c r="O586" s="126"/>
      <c r="P586" s="126"/>
      <c r="Q586" s="126"/>
      <c r="R586" s="127"/>
      <c r="S586" s="127"/>
      <c r="T586" s="127"/>
      <c r="U586" s="127"/>
    </row>
    <row r="587" spans="1:21" ht="15" customHeight="1">
      <c r="A587" s="125"/>
      <c r="B587" s="125"/>
      <c r="C587" s="125"/>
      <c r="D587" s="81"/>
      <c r="E587" s="81"/>
      <c r="F587" s="97"/>
      <c r="G587" s="81"/>
      <c r="H587" s="81"/>
      <c r="I587" s="81"/>
      <c r="J587" s="81"/>
      <c r="K587" s="81"/>
      <c r="L587" s="155"/>
      <c r="M587" s="155"/>
      <c r="N587" s="109"/>
      <c r="O587" s="126"/>
      <c r="P587" s="126"/>
      <c r="Q587" s="126"/>
      <c r="R587" s="127"/>
      <c r="S587" s="127"/>
      <c r="T587" s="127"/>
      <c r="U587" s="127"/>
    </row>
    <row r="588" spans="1:21" ht="15" customHeight="1">
      <c r="A588" s="125"/>
      <c r="B588" s="125"/>
      <c r="C588" s="125"/>
      <c r="D588" s="81"/>
      <c r="E588" s="81"/>
      <c r="F588" s="97"/>
      <c r="G588" s="81"/>
      <c r="H588" s="81"/>
      <c r="I588" s="81"/>
      <c r="J588" s="81"/>
      <c r="K588" s="81"/>
      <c r="L588" s="155"/>
      <c r="M588" s="155"/>
      <c r="N588" s="109"/>
      <c r="O588" s="126"/>
      <c r="P588" s="126"/>
      <c r="Q588" s="126"/>
      <c r="R588" s="127"/>
      <c r="S588" s="127"/>
      <c r="T588" s="127"/>
      <c r="U588" s="127"/>
    </row>
    <row r="589" spans="1:21" ht="15" customHeight="1">
      <c r="A589" s="125"/>
      <c r="B589" s="125"/>
      <c r="C589" s="125"/>
      <c r="D589" s="81"/>
      <c r="E589" s="81"/>
      <c r="F589" s="97"/>
      <c r="G589" s="81"/>
      <c r="H589" s="81"/>
      <c r="I589" s="81"/>
      <c r="J589" s="81"/>
      <c r="K589" s="81"/>
      <c r="L589" s="155"/>
      <c r="M589" s="155"/>
      <c r="N589" s="109"/>
      <c r="O589" s="126"/>
      <c r="P589" s="126"/>
      <c r="Q589" s="126"/>
      <c r="R589" s="127"/>
      <c r="S589" s="127"/>
      <c r="T589" s="127"/>
      <c r="U589" s="127"/>
    </row>
    <row r="590" spans="1:21" ht="15" customHeight="1">
      <c r="A590" s="125"/>
      <c r="B590" s="125"/>
      <c r="C590" s="125"/>
      <c r="D590" s="81"/>
      <c r="E590" s="81"/>
      <c r="F590" s="97"/>
      <c r="G590" s="81"/>
      <c r="H590" s="81"/>
      <c r="I590" s="81"/>
      <c r="J590" s="81"/>
      <c r="K590" s="81"/>
      <c r="L590" s="155"/>
      <c r="M590" s="155"/>
      <c r="N590" s="109"/>
      <c r="O590" s="126"/>
      <c r="P590" s="126"/>
      <c r="Q590" s="126"/>
      <c r="R590" s="127"/>
      <c r="S590" s="127"/>
      <c r="T590" s="127"/>
      <c r="U590" s="127"/>
    </row>
    <row r="591" spans="1:21" ht="15" customHeight="1">
      <c r="A591" s="125"/>
      <c r="B591" s="125"/>
      <c r="C591" s="125"/>
      <c r="D591" s="81"/>
      <c r="E591" s="81"/>
      <c r="F591" s="97"/>
      <c r="G591" s="81"/>
      <c r="H591" s="81"/>
      <c r="I591" s="81"/>
      <c r="J591" s="81"/>
      <c r="K591" s="81"/>
      <c r="L591" s="155"/>
      <c r="M591" s="155"/>
      <c r="N591" s="109"/>
      <c r="O591" s="126"/>
      <c r="P591" s="126"/>
      <c r="Q591" s="126"/>
      <c r="R591" s="127"/>
      <c r="S591" s="127"/>
      <c r="T591" s="127"/>
      <c r="U591" s="127"/>
    </row>
    <row r="592" spans="1:21" ht="15" customHeight="1">
      <c r="A592" s="125"/>
      <c r="B592" s="125"/>
      <c r="C592" s="125"/>
      <c r="D592" s="81"/>
      <c r="E592" s="81"/>
      <c r="F592" s="97"/>
      <c r="G592" s="81"/>
      <c r="H592" s="81"/>
      <c r="I592" s="81"/>
      <c r="J592" s="81"/>
      <c r="K592" s="81"/>
      <c r="L592" s="155"/>
      <c r="M592" s="155"/>
      <c r="N592" s="109"/>
      <c r="O592" s="126"/>
      <c r="P592" s="126"/>
      <c r="Q592" s="126"/>
      <c r="R592" s="127"/>
      <c r="S592" s="127"/>
      <c r="T592" s="127"/>
      <c r="U592" s="127"/>
    </row>
    <row r="593" spans="1:21" ht="15" customHeight="1">
      <c r="A593" s="125"/>
      <c r="B593" s="125"/>
      <c r="C593" s="125"/>
      <c r="D593" s="81"/>
      <c r="E593" s="81"/>
      <c r="F593" s="97"/>
      <c r="G593" s="81"/>
      <c r="H593" s="81"/>
      <c r="I593" s="81"/>
      <c r="J593" s="81"/>
      <c r="K593" s="81"/>
      <c r="L593" s="155"/>
      <c r="M593" s="155"/>
      <c r="N593" s="109"/>
      <c r="O593" s="126"/>
      <c r="P593" s="126"/>
      <c r="Q593" s="126"/>
      <c r="R593" s="127"/>
      <c r="S593" s="127"/>
      <c r="T593" s="127"/>
      <c r="U593" s="127"/>
    </row>
    <row r="594" spans="1:21" ht="15" customHeight="1">
      <c r="A594" s="125"/>
      <c r="B594" s="125"/>
      <c r="C594" s="125"/>
      <c r="D594" s="81"/>
      <c r="E594" s="81"/>
      <c r="F594" s="97"/>
      <c r="G594" s="81"/>
      <c r="H594" s="81"/>
      <c r="I594" s="81"/>
      <c r="J594" s="81"/>
      <c r="K594" s="81"/>
      <c r="L594" s="155"/>
      <c r="M594" s="155"/>
      <c r="N594" s="109"/>
      <c r="O594" s="126"/>
      <c r="P594" s="126"/>
      <c r="Q594" s="126"/>
      <c r="R594" s="127"/>
      <c r="S594" s="127"/>
      <c r="T594" s="127"/>
      <c r="U594" s="127"/>
    </row>
    <row r="595" spans="1:21" ht="15" customHeight="1">
      <c r="A595" s="125"/>
      <c r="B595" s="125"/>
      <c r="C595" s="125"/>
      <c r="D595" s="81"/>
      <c r="E595" s="81"/>
      <c r="F595" s="97"/>
      <c r="G595" s="81"/>
      <c r="H595" s="81"/>
      <c r="I595" s="81"/>
      <c r="J595" s="81"/>
      <c r="K595" s="81"/>
      <c r="L595" s="155"/>
      <c r="M595" s="155"/>
      <c r="N595" s="109"/>
      <c r="O595" s="126"/>
      <c r="P595" s="126"/>
      <c r="Q595" s="126"/>
      <c r="R595" s="127"/>
      <c r="S595" s="127"/>
      <c r="T595" s="127"/>
      <c r="U595" s="127"/>
    </row>
    <row r="596" spans="1:21" ht="15" customHeight="1">
      <c r="A596" s="125"/>
      <c r="B596" s="125"/>
      <c r="C596" s="125"/>
      <c r="D596" s="81"/>
      <c r="E596" s="81"/>
      <c r="F596" s="97"/>
      <c r="G596" s="81"/>
      <c r="H596" s="81"/>
      <c r="I596" s="81"/>
      <c r="J596" s="81"/>
      <c r="K596" s="81"/>
      <c r="L596" s="155"/>
      <c r="M596" s="155"/>
      <c r="N596" s="109"/>
      <c r="O596" s="126"/>
      <c r="P596" s="126"/>
      <c r="Q596" s="126"/>
      <c r="R596" s="127"/>
      <c r="S596" s="127"/>
      <c r="T596" s="127"/>
      <c r="U596" s="127"/>
    </row>
    <row r="597" spans="1:21" ht="15" customHeight="1">
      <c r="A597" s="125"/>
      <c r="B597" s="125"/>
      <c r="C597" s="125"/>
      <c r="D597" s="81"/>
      <c r="E597" s="81"/>
      <c r="F597" s="97"/>
      <c r="G597" s="81"/>
      <c r="H597" s="81"/>
      <c r="I597" s="81"/>
      <c r="J597" s="81"/>
      <c r="K597" s="81"/>
      <c r="L597" s="155"/>
      <c r="M597" s="155"/>
      <c r="N597" s="109"/>
      <c r="O597" s="126"/>
      <c r="P597" s="126"/>
      <c r="Q597" s="126"/>
      <c r="R597" s="127"/>
      <c r="S597" s="127"/>
      <c r="T597" s="127"/>
      <c r="U597" s="127"/>
    </row>
    <row r="598" spans="1:21" ht="15" customHeight="1">
      <c r="A598" s="125"/>
      <c r="B598" s="125"/>
      <c r="C598" s="125"/>
      <c r="D598" s="81"/>
      <c r="E598" s="81"/>
      <c r="F598" s="97"/>
      <c r="G598" s="81"/>
      <c r="H598" s="81"/>
      <c r="I598" s="81"/>
      <c r="J598" s="81"/>
      <c r="K598" s="81"/>
      <c r="L598" s="155"/>
      <c r="M598" s="155"/>
      <c r="N598" s="109"/>
      <c r="O598" s="126"/>
      <c r="P598" s="126"/>
      <c r="Q598" s="126"/>
      <c r="R598" s="127"/>
      <c r="S598" s="127"/>
      <c r="T598" s="127"/>
      <c r="U598" s="127"/>
    </row>
    <row r="599" spans="1:21" ht="15" customHeight="1">
      <c r="A599" s="125"/>
      <c r="B599" s="125"/>
      <c r="C599" s="125"/>
      <c r="D599" s="81"/>
      <c r="E599" s="81"/>
      <c r="F599" s="97"/>
      <c r="G599" s="81"/>
      <c r="H599" s="81"/>
      <c r="I599" s="81"/>
      <c r="J599" s="81"/>
      <c r="K599" s="81"/>
      <c r="L599" s="155"/>
      <c r="M599" s="155"/>
      <c r="N599" s="109"/>
      <c r="O599" s="126"/>
      <c r="P599" s="126"/>
      <c r="Q599" s="126"/>
      <c r="R599" s="127"/>
      <c r="S599" s="127"/>
      <c r="T599" s="127"/>
      <c r="U599" s="127"/>
    </row>
    <row r="600" spans="1:21" ht="15" customHeight="1">
      <c r="A600" s="125"/>
      <c r="B600" s="125"/>
      <c r="C600" s="125"/>
      <c r="D600" s="81"/>
      <c r="E600" s="81"/>
      <c r="F600" s="97"/>
      <c r="G600" s="81"/>
      <c r="H600" s="81"/>
      <c r="I600" s="81"/>
      <c r="J600" s="81"/>
      <c r="K600" s="81"/>
      <c r="L600" s="155"/>
      <c r="M600" s="155"/>
      <c r="N600" s="109"/>
      <c r="O600" s="126"/>
      <c r="P600" s="126"/>
      <c r="Q600" s="126"/>
      <c r="R600" s="127"/>
      <c r="S600" s="127"/>
      <c r="T600" s="127"/>
      <c r="U600" s="127"/>
    </row>
    <row r="601" spans="1:21" ht="15" customHeight="1">
      <c r="A601" s="125"/>
      <c r="B601" s="125"/>
      <c r="C601" s="125"/>
      <c r="D601" s="81"/>
      <c r="E601" s="81"/>
      <c r="F601" s="97"/>
      <c r="G601" s="81"/>
      <c r="H601" s="81"/>
      <c r="I601" s="81"/>
      <c r="J601" s="81"/>
      <c r="K601" s="81"/>
      <c r="L601" s="155"/>
      <c r="M601" s="155"/>
      <c r="N601" s="109"/>
      <c r="O601" s="126"/>
      <c r="P601" s="126"/>
      <c r="Q601" s="126"/>
      <c r="R601" s="127"/>
      <c r="S601" s="127"/>
      <c r="T601" s="127"/>
      <c r="U601" s="127"/>
    </row>
    <row r="602" spans="1:21" ht="15" customHeight="1">
      <c r="A602" s="125"/>
      <c r="B602" s="125"/>
      <c r="C602" s="125"/>
      <c r="D602" s="81"/>
      <c r="E602" s="81"/>
      <c r="F602" s="97"/>
      <c r="G602" s="81"/>
      <c r="H602" s="81"/>
      <c r="I602" s="81"/>
      <c r="J602" s="81"/>
      <c r="K602" s="81"/>
      <c r="L602" s="155"/>
      <c r="M602" s="155"/>
      <c r="N602" s="109"/>
      <c r="O602" s="126"/>
      <c r="P602" s="126"/>
      <c r="Q602" s="126"/>
      <c r="R602" s="127"/>
      <c r="S602" s="127"/>
      <c r="T602" s="127"/>
      <c r="U602" s="127"/>
    </row>
    <row r="603" spans="1:21" ht="15" customHeight="1">
      <c r="A603" s="125"/>
      <c r="B603" s="125"/>
      <c r="C603" s="125"/>
      <c r="D603" s="81"/>
      <c r="E603" s="81"/>
      <c r="F603" s="97"/>
      <c r="G603" s="81"/>
      <c r="H603" s="81"/>
      <c r="I603" s="81"/>
      <c r="J603" s="81"/>
      <c r="K603" s="81"/>
      <c r="L603" s="155"/>
      <c r="M603" s="155"/>
      <c r="N603" s="109"/>
      <c r="O603" s="126"/>
      <c r="P603" s="126"/>
      <c r="Q603" s="126"/>
      <c r="R603" s="127"/>
      <c r="S603" s="127"/>
      <c r="T603" s="127"/>
      <c r="U603" s="127"/>
    </row>
    <row r="604" spans="1:21" ht="15" customHeight="1">
      <c r="A604" s="125"/>
      <c r="B604" s="125"/>
      <c r="C604" s="125"/>
      <c r="D604" s="81"/>
      <c r="E604" s="81"/>
      <c r="F604" s="97"/>
      <c r="G604" s="81"/>
      <c r="H604" s="81"/>
      <c r="I604" s="81"/>
      <c r="J604" s="81"/>
      <c r="K604" s="81"/>
      <c r="L604" s="155"/>
      <c r="M604" s="155"/>
      <c r="N604" s="109"/>
      <c r="O604" s="126"/>
      <c r="P604" s="126"/>
      <c r="Q604" s="126"/>
      <c r="R604" s="127"/>
      <c r="S604" s="127"/>
      <c r="T604" s="127"/>
      <c r="U604" s="127"/>
    </row>
    <row r="605" spans="1:21" ht="15" customHeight="1">
      <c r="A605" s="125"/>
      <c r="B605" s="125"/>
      <c r="C605" s="125"/>
      <c r="D605" s="81"/>
      <c r="E605" s="81"/>
      <c r="F605" s="97"/>
      <c r="G605" s="81"/>
      <c r="H605" s="81"/>
      <c r="I605" s="81"/>
      <c r="J605" s="81"/>
      <c r="K605" s="81"/>
      <c r="L605" s="155"/>
      <c r="M605" s="155"/>
      <c r="N605" s="109"/>
      <c r="O605" s="126"/>
      <c r="P605" s="126"/>
      <c r="Q605" s="126"/>
      <c r="R605" s="127"/>
      <c r="S605" s="127"/>
      <c r="T605" s="127"/>
      <c r="U605" s="127"/>
    </row>
    <row r="606" spans="1:21" ht="15" customHeight="1">
      <c r="A606" s="125"/>
      <c r="B606" s="125"/>
      <c r="C606" s="125"/>
      <c r="D606" s="81"/>
      <c r="E606" s="81"/>
      <c r="F606" s="97"/>
      <c r="G606" s="81"/>
      <c r="H606" s="81"/>
      <c r="I606" s="81"/>
      <c r="J606" s="81"/>
      <c r="K606" s="81"/>
      <c r="L606" s="155"/>
      <c r="M606" s="155"/>
      <c r="N606" s="109"/>
      <c r="O606" s="126"/>
      <c r="P606" s="126"/>
      <c r="Q606" s="126"/>
      <c r="R606" s="127"/>
      <c r="S606" s="127"/>
      <c r="T606" s="127"/>
      <c r="U606" s="127"/>
    </row>
    <row r="607" spans="1:21" ht="15" customHeight="1">
      <c r="A607" s="125"/>
      <c r="B607" s="125"/>
      <c r="C607" s="125"/>
      <c r="D607" s="81"/>
      <c r="E607" s="81"/>
      <c r="F607" s="97"/>
      <c r="G607" s="81"/>
      <c r="H607" s="81"/>
      <c r="I607" s="81"/>
      <c r="J607" s="81"/>
      <c r="K607" s="81"/>
      <c r="L607" s="155"/>
      <c r="M607" s="155"/>
      <c r="N607" s="109"/>
      <c r="O607" s="126"/>
      <c r="P607" s="126"/>
      <c r="Q607" s="126"/>
      <c r="R607" s="127"/>
      <c r="S607" s="127"/>
      <c r="T607" s="127"/>
      <c r="U607" s="127"/>
    </row>
    <row r="608" spans="1:21" ht="15" customHeight="1">
      <c r="A608" s="125"/>
      <c r="B608" s="125"/>
      <c r="C608" s="125"/>
      <c r="D608" s="81"/>
      <c r="E608" s="81"/>
      <c r="F608" s="97"/>
      <c r="G608" s="81"/>
      <c r="H608" s="81"/>
      <c r="I608" s="81"/>
      <c r="J608" s="81"/>
      <c r="K608" s="81"/>
      <c r="L608" s="155"/>
      <c r="M608" s="155"/>
      <c r="N608" s="109"/>
      <c r="O608" s="126"/>
      <c r="P608" s="126"/>
      <c r="Q608" s="126"/>
      <c r="R608" s="127"/>
      <c r="S608" s="127"/>
      <c r="T608" s="127"/>
      <c r="U608" s="127"/>
    </row>
    <row r="609" spans="1:21" ht="15" customHeight="1">
      <c r="A609" s="125"/>
      <c r="B609" s="125"/>
      <c r="C609" s="125"/>
      <c r="D609" s="81"/>
      <c r="E609" s="81"/>
      <c r="F609" s="97"/>
      <c r="G609" s="81"/>
      <c r="H609" s="81"/>
      <c r="I609" s="81"/>
      <c r="J609" s="81"/>
      <c r="K609" s="81"/>
      <c r="L609" s="155"/>
      <c r="M609" s="155"/>
      <c r="N609" s="109"/>
      <c r="O609" s="126"/>
      <c r="P609" s="126"/>
      <c r="Q609" s="126"/>
      <c r="R609" s="127"/>
      <c r="S609" s="127"/>
      <c r="T609" s="127"/>
      <c r="U609" s="127"/>
    </row>
    <row r="610" spans="1:21" ht="15" customHeight="1">
      <c r="A610" s="125"/>
      <c r="B610" s="125"/>
      <c r="C610" s="125"/>
      <c r="D610" s="81"/>
      <c r="E610" s="81"/>
      <c r="F610" s="97"/>
      <c r="G610" s="81"/>
      <c r="H610" s="81"/>
      <c r="I610" s="81"/>
      <c r="J610" s="81"/>
      <c r="K610" s="81"/>
      <c r="L610" s="155"/>
      <c r="M610" s="155"/>
      <c r="N610" s="109"/>
      <c r="O610" s="126"/>
      <c r="P610" s="126"/>
      <c r="Q610" s="126"/>
      <c r="R610" s="127"/>
      <c r="S610" s="127"/>
      <c r="T610" s="127"/>
      <c r="U610" s="127"/>
    </row>
    <row r="611" spans="1:21" ht="15" customHeight="1">
      <c r="A611" s="125"/>
      <c r="B611" s="125"/>
      <c r="C611" s="125"/>
      <c r="D611" s="81"/>
      <c r="E611" s="81"/>
      <c r="F611" s="97"/>
      <c r="G611" s="81"/>
      <c r="H611" s="81"/>
      <c r="I611" s="81"/>
      <c r="J611" s="81"/>
      <c r="K611" s="81"/>
      <c r="L611" s="155"/>
      <c r="M611" s="155"/>
      <c r="N611" s="109"/>
      <c r="O611" s="126"/>
      <c r="P611" s="126"/>
      <c r="Q611" s="126"/>
      <c r="R611" s="127"/>
      <c r="S611" s="127"/>
      <c r="T611" s="127"/>
      <c r="U611" s="127"/>
    </row>
    <row r="612" spans="1:21" ht="15" customHeight="1">
      <c r="A612" s="125"/>
      <c r="B612" s="125"/>
      <c r="C612" s="125"/>
      <c r="D612" s="81"/>
      <c r="E612" s="81"/>
      <c r="F612" s="97"/>
      <c r="G612" s="81"/>
      <c r="H612" s="81"/>
      <c r="I612" s="81"/>
      <c r="J612" s="81"/>
      <c r="K612" s="81"/>
      <c r="L612" s="155"/>
      <c r="M612" s="155"/>
      <c r="N612" s="109"/>
      <c r="O612" s="126"/>
      <c r="P612" s="126"/>
      <c r="Q612" s="126"/>
      <c r="R612" s="127"/>
      <c r="S612" s="127"/>
      <c r="T612" s="127"/>
      <c r="U612" s="127"/>
    </row>
    <row r="613" spans="1:21" ht="15" customHeight="1">
      <c r="A613" s="125"/>
      <c r="B613" s="125"/>
      <c r="C613" s="125"/>
      <c r="D613" s="81"/>
      <c r="E613" s="81"/>
      <c r="F613" s="97"/>
      <c r="G613" s="81"/>
      <c r="H613" s="81"/>
      <c r="I613" s="81"/>
      <c r="J613" s="81"/>
      <c r="K613" s="81"/>
      <c r="L613" s="155"/>
      <c r="M613" s="155"/>
      <c r="N613" s="109"/>
      <c r="O613" s="126"/>
      <c r="P613" s="126"/>
      <c r="Q613" s="126"/>
      <c r="R613" s="127"/>
      <c r="S613" s="127"/>
      <c r="T613" s="127"/>
      <c r="U613" s="127"/>
    </row>
    <row r="614" spans="1:21" ht="15" customHeight="1">
      <c r="A614" s="125"/>
      <c r="B614" s="125"/>
      <c r="C614" s="125"/>
      <c r="D614" s="81"/>
      <c r="E614" s="81"/>
      <c r="F614" s="97"/>
      <c r="G614" s="81"/>
      <c r="H614" s="81"/>
      <c r="I614" s="81"/>
      <c r="J614" s="81"/>
      <c r="K614" s="81"/>
      <c r="L614" s="155"/>
      <c r="M614" s="155"/>
      <c r="N614" s="109"/>
      <c r="O614" s="126"/>
      <c r="P614" s="126"/>
      <c r="Q614" s="126"/>
      <c r="R614" s="127"/>
      <c r="S614" s="127"/>
      <c r="T614" s="127"/>
      <c r="U614" s="127"/>
    </row>
    <row r="615" spans="1:21" ht="15" customHeight="1">
      <c r="A615" s="125"/>
      <c r="B615" s="125"/>
      <c r="C615" s="125"/>
      <c r="D615" s="81"/>
      <c r="E615" s="81"/>
      <c r="F615" s="97"/>
      <c r="G615" s="81"/>
      <c r="H615" s="81"/>
      <c r="I615" s="81"/>
      <c r="J615" s="81"/>
      <c r="K615" s="81"/>
      <c r="L615" s="155"/>
      <c r="M615" s="155"/>
      <c r="N615" s="109"/>
      <c r="O615" s="126"/>
      <c r="P615" s="126"/>
      <c r="Q615" s="126"/>
      <c r="R615" s="127"/>
      <c r="S615" s="127"/>
      <c r="T615" s="127"/>
      <c r="U615" s="127"/>
    </row>
    <row r="616" spans="1:21" ht="15" customHeight="1">
      <c r="A616" s="125"/>
      <c r="B616" s="125"/>
      <c r="C616" s="125"/>
      <c r="D616" s="81"/>
      <c r="E616" s="81"/>
      <c r="F616" s="97"/>
      <c r="G616" s="81"/>
      <c r="H616" s="81"/>
      <c r="I616" s="81"/>
      <c r="J616" s="81"/>
      <c r="K616" s="81"/>
      <c r="L616" s="155"/>
      <c r="M616" s="155"/>
      <c r="N616" s="109"/>
      <c r="O616" s="126"/>
      <c r="P616" s="126"/>
      <c r="Q616" s="126"/>
      <c r="R616" s="127"/>
      <c r="S616" s="127"/>
      <c r="T616" s="127"/>
      <c r="U616" s="127"/>
    </row>
    <row r="617" spans="1:21" ht="15" customHeight="1">
      <c r="A617" s="125"/>
      <c r="B617" s="125"/>
      <c r="C617" s="125"/>
      <c r="D617" s="81"/>
      <c r="E617" s="81"/>
      <c r="F617" s="97"/>
      <c r="G617" s="81"/>
      <c r="H617" s="81"/>
      <c r="I617" s="81"/>
      <c r="J617" s="81"/>
      <c r="K617" s="81"/>
      <c r="L617" s="155"/>
      <c r="M617" s="155"/>
      <c r="N617" s="109"/>
      <c r="O617" s="126"/>
      <c r="P617" s="126"/>
      <c r="Q617" s="126"/>
      <c r="R617" s="127"/>
      <c r="S617" s="127"/>
      <c r="T617" s="127"/>
      <c r="U617" s="127"/>
    </row>
    <row r="618" spans="1:21" ht="15" customHeight="1">
      <c r="A618" s="125"/>
      <c r="B618" s="125"/>
      <c r="C618" s="125"/>
      <c r="D618" s="81"/>
      <c r="E618" s="81"/>
      <c r="F618" s="97"/>
      <c r="G618" s="81"/>
      <c r="H618" s="81"/>
      <c r="I618" s="81"/>
      <c r="J618" s="81"/>
      <c r="K618" s="81"/>
      <c r="L618" s="155"/>
      <c r="M618" s="155"/>
      <c r="N618" s="109"/>
      <c r="O618" s="126"/>
      <c r="P618" s="126"/>
      <c r="Q618" s="126"/>
      <c r="R618" s="127"/>
      <c r="S618" s="127"/>
      <c r="T618" s="127"/>
      <c r="U618" s="127"/>
    </row>
    <row r="619" spans="1:21" ht="15" customHeight="1">
      <c r="A619" s="125"/>
      <c r="B619" s="125"/>
      <c r="C619" s="125"/>
      <c r="D619" s="81"/>
      <c r="E619" s="81"/>
      <c r="F619" s="97"/>
      <c r="G619" s="81"/>
      <c r="H619" s="81"/>
      <c r="I619" s="81"/>
      <c r="J619" s="81"/>
      <c r="K619" s="81"/>
      <c r="L619" s="155"/>
      <c r="M619" s="155"/>
      <c r="N619" s="109"/>
      <c r="O619" s="126"/>
      <c r="P619" s="126"/>
      <c r="Q619" s="126"/>
      <c r="R619" s="127"/>
      <c r="S619" s="127"/>
      <c r="T619" s="127"/>
      <c r="U619" s="127"/>
    </row>
    <row r="620" spans="1:21" ht="15" customHeight="1">
      <c r="A620" s="125"/>
      <c r="B620" s="125"/>
      <c r="C620" s="125"/>
      <c r="D620" s="81"/>
      <c r="E620" s="81"/>
      <c r="F620" s="97"/>
      <c r="G620" s="81"/>
      <c r="H620" s="81"/>
      <c r="I620" s="81"/>
      <c r="J620" s="81"/>
      <c r="K620" s="81"/>
      <c r="L620" s="155"/>
      <c r="M620" s="155"/>
      <c r="N620" s="109"/>
      <c r="O620" s="126"/>
      <c r="P620" s="126"/>
      <c r="Q620" s="126"/>
      <c r="R620" s="127"/>
      <c r="S620" s="127"/>
      <c r="T620" s="127"/>
      <c r="U620" s="127"/>
    </row>
    <row r="621" spans="1:21" ht="15" customHeight="1">
      <c r="A621" s="125"/>
      <c r="B621" s="125"/>
      <c r="C621" s="125"/>
      <c r="D621" s="81"/>
      <c r="E621" s="81"/>
      <c r="F621" s="97"/>
      <c r="G621" s="81"/>
      <c r="H621" s="81"/>
      <c r="I621" s="81"/>
      <c r="J621" s="81"/>
      <c r="K621" s="81"/>
      <c r="L621" s="155"/>
      <c r="M621" s="155"/>
      <c r="N621" s="109"/>
      <c r="O621" s="126"/>
      <c r="P621" s="126"/>
      <c r="Q621" s="126"/>
      <c r="R621" s="127"/>
      <c r="S621" s="127"/>
      <c r="T621" s="127"/>
      <c r="U621" s="127"/>
    </row>
    <row r="622" spans="1:21" ht="15" customHeight="1">
      <c r="A622" s="125"/>
      <c r="B622" s="125"/>
      <c r="C622" s="125"/>
      <c r="D622" s="81"/>
      <c r="E622" s="81"/>
      <c r="F622" s="97"/>
      <c r="G622" s="81"/>
      <c r="H622" s="81"/>
      <c r="I622" s="81"/>
      <c r="J622" s="81"/>
      <c r="K622" s="81"/>
      <c r="L622" s="155"/>
      <c r="M622" s="155"/>
      <c r="N622" s="109"/>
      <c r="O622" s="126"/>
      <c r="P622" s="126"/>
      <c r="Q622" s="126"/>
      <c r="R622" s="127"/>
      <c r="S622" s="127"/>
      <c r="T622" s="127"/>
      <c r="U622" s="127"/>
    </row>
    <row r="623" spans="1:21" ht="15" customHeight="1">
      <c r="A623" s="125"/>
      <c r="B623" s="125"/>
      <c r="C623" s="125"/>
      <c r="D623" s="81"/>
      <c r="E623" s="81"/>
      <c r="F623" s="97"/>
      <c r="G623" s="81"/>
      <c r="H623" s="81"/>
      <c r="I623" s="81"/>
      <c r="J623" s="81"/>
      <c r="K623" s="81"/>
      <c r="L623" s="155"/>
      <c r="M623" s="155"/>
      <c r="N623" s="109"/>
      <c r="O623" s="126"/>
      <c r="P623" s="126"/>
      <c r="Q623" s="126"/>
      <c r="R623" s="127"/>
      <c r="S623" s="127"/>
      <c r="T623" s="127"/>
      <c r="U623" s="127"/>
    </row>
    <row r="624" spans="1:21" ht="15" customHeight="1">
      <c r="A624" s="125"/>
      <c r="B624" s="125"/>
      <c r="C624" s="125"/>
      <c r="D624" s="81"/>
      <c r="E624" s="81"/>
      <c r="F624" s="97"/>
      <c r="G624" s="81"/>
      <c r="H624" s="81"/>
      <c r="I624" s="81"/>
      <c r="J624" s="81"/>
      <c r="K624" s="81"/>
      <c r="L624" s="155"/>
      <c r="M624" s="155"/>
      <c r="N624" s="109"/>
      <c r="O624" s="126"/>
      <c r="P624" s="126"/>
      <c r="Q624" s="126"/>
      <c r="R624" s="127"/>
      <c r="S624" s="127"/>
      <c r="T624" s="127"/>
      <c r="U624" s="127"/>
    </row>
    <row r="625" spans="1:21" ht="15" customHeight="1">
      <c r="A625" s="125"/>
      <c r="B625" s="125"/>
      <c r="C625" s="125"/>
      <c r="D625" s="81"/>
      <c r="E625" s="81"/>
      <c r="F625" s="97"/>
      <c r="G625" s="81"/>
      <c r="H625" s="81"/>
      <c r="I625" s="81"/>
      <c r="J625" s="81"/>
      <c r="K625" s="81"/>
      <c r="L625" s="155"/>
      <c r="M625" s="155"/>
      <c r="N625" s="109"/>
      <c r="O625" s="126"/>
      <c r="P625" s="126"/>
      <c r="Q625" s="126"/>
      <c r="R625" s="127"/>
      <c r="S625" s="127"/>
      <c r="T625" s="127"/>
      <c r="U625" s="127"/>
    </row>
    <row r="626" spans="1:21" ht="15" customHeight="1">
      <c r="A626" s="125"/>
      <c r="B626" s="125"/>
      <c r="C626" s="125"/>
      <c r="D626" s="81"/>
      <c r="E626" s="81"/>
      <c r="F626" s="97"/>
      <c r="G626" s="81"/>
      <c r="H626" s="81"/>
      <c r="I626" s="81"/>
      <c r="J626" s="81"/>
      <c r="K626" s="81"/>
      <c r="L626" s="155"/>
      <c r="M626" s="155"/>
      <c r="N626" s="109"/>
      <c r="O626" s="126"/>
      <c r="P626" s="126"/>
      <c r="Q626" s="126"/>
      <c r="R626" s="127"/>
      <c r="S626" s="127"/>
      <c r="T626" s="127"/>
      <c r="U626" s="127"/>
    </row>
    <row r="627" spans="1:21" ht="15" customHeight="1">
      <c r="A627" s="125"/>
      <c r="B627" s="125"/>
      <c r="C627" s="125"/>
      <c r="D627" s="81"/>
      <c r="E627" s="81"/>
      <c r="F627" s="97"/>
      <c r="G627" s="81"/>
      <c r="H627" s="81"/>
      <c r="I627" s="81"/>
      <c r="J627" s="81"/>
      <c r="K627" s="81"/>
      <c r="L627" s="155"/>
      <c r="M627" s="155"/>
      <c r="N627" s="109"/>
      <c r="O627" s="126"/>
      <c r="P627" s="126"/>
      <c r="Q627" s="126"/>
      <c r="R627" s="127"/>
      <c r="S627" s="127"/>
      <c r="T627" s="127"/>
      <c r="U627" s="127"/>
    </row>
    <row r="628" spans="1:21" ht="15" customHeight="1">
      <c r="A628" s="125"/>
      <c r="B628" s="125"/>
      <c r="C628" s="125"/>
      <c r="D628" s="81"/>
      <c r="E628" s="81"/>
      <c r="F628" s="97"/>
      <c r="G628" s="81"/>
      <c r="H628" s="81"/>
      <c r="I628" s="81"/>
      <c r="J628" s="81"/>
      <c r="K628" s="81"/>
      <c r="L628" s="155"/>
      <c r="M628" s="155"/>
      <c r="N628" s="109"/>
      <c r="O628" s="126"/>
      <c r="P628" s="126"/>
      <c r="Q628" s="126"/>
      <c r="R628" s="127"/>
      <c r="S628" s="127"/>
      <c r="T628" s="127"/>
      <c r="U628" s="127"/>
    </row>
    <row r="629" spans="1:21" ht="15" customHeight="1">
      <c r="A629" s="125"/>
      <c r="B629" s="125"/>
      <c r="C629" s="125"/>
      <c r="D629" s="81"/>
      <c r="E629" s="81"/>
      <c r="F629" s="97"/>
      <c r="G629" s="81"/>
      <c r="H629" s="81"/>
      <c r="I629" s="81"/>
      <c r="J629" s="81"/>
      <c r="K629" s="81"/>
      <c r="L629" s="155"/>
      <c r="M629" s="155"/>
      <c r="N629" s="109"/>
      <c r="O629" s="126"/>
      <c r="P629" s="126"/>
      <c r="Q629" s="126"/>
      <c r="R629" s="127"/>
      <c r="S629" s="127"/>
      <c r="T629" s="127"/>
      <c r="U629" s="127"/>
    </row>
    <row r="630" spans="1:21" ht="15" customHeight="1">
      <c r="A630" s="125"/>
      <c r="B630" s="125"/>
      <c r="C630" s="125"/>
      <c r="D630" s="81"/>
      <c r="E630" s="81"/>
      <c r="F630" s="97"/>
      <c r="G630" s="81"/>
      <c r="H630" s="81"/>
      <c r="I630" s="81"/>
      <c r="J630" s="81"/>
      <c r="K630" s="81"/>
      <c r="L630" s="155"/>
      <c r="M630" s="155"/>
      <c r="N630" s="109"/>
      <c r="O630" s="126"/>
      <c r="P630" s="126"/>
      <c r="Q630" s="126"/>
      <c r="R630" s="127"/>
      <c r="S630" s="127"/>
      <c r="T630" s="127"/>
      <c r="U630" s="127"/>
    </row>
    <row r="631" spans="1:21" ht="15" customHeight="1">
      <c r="A631" s="125"/>
      <c r="B631" s="125"/>
      <c r="C631" s="125"/>
      <c r="D631" s="81"/>
      <c r="E631" s="81"/>
      <c r="F631" s="97"/>
      <c r="G631" s="81"/>
      <c r="H631" s="81"/>
      <c r="I631" s="81"/>
      <c r="J631" s="81"/>
      <c r="K631" s="81"/>
      <c r="L631" s="155"/>
      <c r="M631" s="155"/>
      <c r="N631" s="109"/>
      <c r="O631" s="126"/>
      <c r="P631" s="126"/>
      <c r="Q631" s="126"/>
      <c r="R631" s="127"/>
      <c r="S631" s="127"/>
      <c r="T631" s="127"/>
      <c r="U631" s="127"/>
    </row>
    <row r="632" spans="1:21" ht="15" customHeight="1">
      <c r="A632" s="125"/>
      <c r="B632" s="125"/>
      <c r="C632" s="125"/>
      <c r="D632" s="81"/>
      <c r="E632" s="81"/>
      <c r="F632" s="97"/>
      <c r="G632" s="81"/>
      <c r="H632" s="81"/>
      <c r="I632" s="81"/>
      <c r="J632" s="81"/>
      <c r="K632" s="81"/>
      <c r="L632" s="155"/>
      <c r="M632" s="155"/>
      <c r="N632" s="109"/>
      <c r="O632" s="126"/>
      <c r="P632" s="126"/>
      <c r="Q632" s="126"/>
      <c r="R632" s="127"/>
      <c r="S632" s="127"/>
      <c r="T632" s="127"/>
      <c r="U632" s="127"/>
    </row>
    <row r="633" spans="1:21" ht="15" customHeight="1">
      <c r="A633" s="125"/>
      <c r="B633" s="125"/>
      <c r="C633" s="125"/>
      <c r="D633" s="81"/>
      <c r="E633" s="81"/>
      <c r="F633" s="97"/>
      <c r="G633" s="81"/>
      <c r="H633" s="81"/>
      <c r="I633" s="81"/>
      <c r="J633" s="81"/>
      <c r="K633" s="81"/>
      <c r="L633" s="155"/>
      <c r="M633" s="155"/>
      <c r="N633" s="109"/>
      <c r="O633" s="126"/>
      <c r="P633" s="126"/>
      <c r="Q633" s="126"/>
      <c r="R633" s="127"/>
      <c r="S633" s="127"/>
      <c r="T633" s="127"/>
      <c r="U633" s="127"/>
    </row>
    <row r="634" spans="1:21" ht="15" customHeight="1">
      <c r="A634" s="125"/>
      <c r="B634" s="125"/>
      <c r="C634" s="125"/>
      <c r="D634" s="81"/>
      <c r="E634" s="81"/>
      <c r="F634" s="97"/>
      <c r="G634" s="81"/>
      <c r="H634" s="81"/>
      <c r="I634" s="81"/>
      <c r="J634" s="81"/>
      <c r="K634" s="81"/>
      <c r="L634" s="155"/>
      <c r="M634" s="155"/>
      <c r="N634" s="109"/>
      <c r="O634" s="126"/>
      <c r="P634" s="126"/>
      <c r="Q634" s="126"/>
      <c r="R634" s="127"/>
      <c r="S634" s="127"/>
      <c r="T634" s="127"/>
      <c r="U634" s="127"/>
    </row>
    <row r="635" spans="1:21" ht="15" customHeight="1">
      <c r="A635" s="125"/>
      <c r="B635" s="125"/>
      <c r="C635" s="125"/>
      <c r="D635" s="81"/>
      <c r="E635" s="81"/>
      <c r="F635" s="97"/>
      <c r="G635" s="81"/>
      <c r="H635" s="81"/>
      <c r="I635" s="81"/>
      <c r="J635" s="81"/>
      <c r="K635" s="81"/>
      <c r="L635" s="155"/>
      <c r="M635" s="155"/>
      <c r="N635" s="109"/>
      <c r="O635" s="126"/>
      <c r="P635" s="126"/>
      <c r="Q635" s="126"/>
      <c r="R635" s="127"/>
      <c r="S635" s="127"/>
      <c r="T635" s="127"/>
      <c r="U635" s="127"/>
    </row>
    <row r="636" spans="1:21" ht="15" customHeight="1">
      <c r="A636" s="125"/>
      <c r="B636" s="125"/>
      <c r="C636" s="125"/>
      <c r="D636" s="81"/>
      <c r="E636" s="81"/>
      <c r="F636" s="97"/>
      <c r="G636" s="81"/>
      <c r="H636" s="81"/>
      <c r="I636" s="81"/>
      <c r="J636" s="81"/>
      <c r="K636" s="81"/>
      <c r="L636" s="155"/>
      <c r="M636" s="155"/>
      <c r="N636" s="109"/>
      <c r="O636" s="126"/>
      <c r="P636" s="126"/>
      <c r="Q636" s="126"/>
      <c r="R636" s="127"/>
      <c r="S636" s="127"/>
      <c r="T636" s="127"/>
      <c r="U636" s="127"/>
    </row>
    <row r="637" spans="1:21" ht="15" customHeight="1">
      <c r="A637" s="125"/>
      <c r="B637" s="125"/>
      <c r="C637" s="125"/>
      <c r="D637" s="81"/>
      <c r="E637" s="81"/>
      <c r="F637" s="97"/>
      <c r="G637" s="81"/>
      <c r="H637" s="81"/>
      <c r="I637" s="81"/>
      <c r="J637" s="81"/>
      <c r="K637" s="81"/>
      <c r="L637" s="155"/>
      <c r="M637" s="155"/>
      <c r="N637" s="109"/>
      <c r="O637" s="126"/>
      <c r="P637" s="126"/>
      <c r="Q637" s="126"/>
      <c r="R637" s="127"/>
      <c r="S637" s="127"/>
      <c r="T637" s="127"/>
      <c r="U637" s="127"/>
    </row>
    <row r="638" spans="1:21" ht="15" customHeight="1">
      <c r="A638" s="125"/>
      <c r="B638" s="125"/>
      <c r="C638" s="125"/>
      <c r="D638" s="81"/>
      <c r="E638" s="81"/>
      <c r="F638" s="97"/>
      <c r="G638" s="81"/>
      <c r="H638" s="81"/>
      <c r="I638" s="81"/>
      <c r="J638" s="81"/>
      <c r="K638" s="81"/>
      <c r="L638" s="155"/>
      <c r="M638" s="155"/>
      <c r="N638" s="109"/>
      <c r="O638" s="126"/>
      <c r="P638" s="126"/>
      <c r="Q638" s="126"/>
      <c r="R638" s="127"/>
      <c r="S638" s="127"/>
      <c r="T638" s="127"/>
      <c r="U638" s="127"/>
    </row>
    <row r="639" spans="1:21" ht="15" customHeight="1">
      <c r="A639" s="125"/>
      <c r="B639" s="125"/>
      <c r="C639" s="125"/>
      <c r="D639" s="81"/>
      <c r="E639" s="81"/>
      <c r="F639" s="97"/>
      <c r="G639" s="81"/>
      <c r="H639" s="81"/>
      <c r="I639" s="81"/>
      <c r="J639" s="81"/>
      <c r="K639" s="81"/>
      <c r="L639" s="155"/>
      <c r="M639" s="155"/>
      <c r="N639" s="109"/>
      <c r="O639" s="126"/>
      <c r="P639" s="126"/>
      <c r="Q639" s="126"/>
      <c r="R639" s="127"/>
      <c r="S639" s="127"/>
      <c r="T639" s="127"/>
      <c r="U639" s="127"/>
    </row>
    <row r="640" spans="1:21" ht="15" customHeight="1">
      <c r="A640" s="125"/>
      <c r="B640" s="125"/>
      <c r="C640" s="125"/>
      <c r="D640" s="81"/>
      <c r="E640" s="81"/>
      <c r="F640" s="97"/>
      <c r="G640" s="81"/>
      <c r="H640" s="81"/>
      <c r="I640" s="81"/>
      <c r="J640" s="81"/>
      <c r="K640" s="81"/>
      <c r="L640" s="155"/>
      <c r="M640" s="155"/>
      <c r="N640" s="109"/>
      <c r="O640" s="126"/>
      <c r="P640" s="126"/>
      <c r="Q640" s="126"/>
      <c r="R640" s="127"/>
      <c r="S640" s="127"/>
      <c r="T640" s="127"/>
      <c r="U640" s="127"/>
    </row>
    <row r="641" spans="1:21" ht="15" customHeight="1">
      <c r="A641" s="125"/>
      <c r="B641" s="125"/>
      <c r="C641" s="125"/>
      <c r="D641" s="81"/>
      <c r="E641" s="81"/>
      <c r="F641" s="97"/>
      <c r="G641" s="81"/>
      <c r="H641" s="81"/>
      <c r="I641" s="81"/>
      <c r="J641" s="81"/>
      <c r="K641" s="81"/>
      <c r="L641" s="155"/>
      <c r="M641" s="155"/>
      <c r="N641" s="109"/>
      <c r="O641" s="126"/>
      <c r="P641" s="126"/>
      <c r="Q641" s="126"/>
      <c r="R641" s="127"/>
      <c r="S641" s="127"/>
      <c r="T641" s="127"/>
      <c r="U641" s="127"/>
    </row>
    <row r="642" spans="1:21" ht="15" customHeight="1">
      <c r="A642" s="125"/>
      <c r="B642" s="125"/>
      <c r="C642" s="125"/>
      <c r="D642" s="81"/>
      <c r="E642" s="81"/>
      <c r="F642" s="97"/>
      <c r="G642" s="81"/>
      <c r="H642" s="81"/>
      <c r="I642" s="81"/>
      <c r="J642" s="81"/>
      <c r="K642" s="81"/>
      <c r="L642" s="155"/>
      <c r="M642" s="155"/>
      <c r="N642" s="109"/>
      <c r="O642" s="126"/>
      <c r="P642" s="126"/>
      <c r="Q642" s="126"/>
      <c r="R642" s="127"/>
      <c r="S642" s="127"/>
      <c r="T642" s="127"/>
      <c r="U642" s="127"/>
    </row>
    <row r="643" spans="1:21" ht="15" customHeight="1">
      <c r="A643" s="125"/>
      <c r="B643" s="125"/>
      <c r="C643" s="125"/>
      <c r="D643" s="81"/>
      <c r="E643" s="81"/>
      <c r="F643" s="97"/>
      <c r="G643" s="81"/>
      <c r="H643" s="81"/>
      <c r="I643" s="81"/>
      <c r="J643" s="81"/>
      <c r="K643" s="81"/>
      <c r="L643" s="155"/>
      <c r="M643" s="155"/>
      <c r="N643" s="109"/>
      <c r="O643" s="126"/>
      <c r="P643" s="126"/>
      <c r="Q643" s="126"/>
      <c r="R643" s="127"/>
      <c r="S643" s="127"/>
      <c r="T643" s="127"/>
      <c r="U643" s="127"/>
    </row>
    <row r="644" spans="1:21" ht="15" customHeight="1">
      <c r="A644" s="125"/>
      <c r="B644" s="125"/>
      <c r="C644" s="125"/>
      <c r="D644" s="81"/>
      <c r="E644" s="81"/>
      <c r="F644" s="97"/>
      <c r="G644" s="81"/>
      <c r="H644" s="81"/>
      <c r="I644" s="81"/>
      <c r="J644" s="81"/>
      <c r="K644" s="81"/>
      <c r="L644" s="155"/>
      <c r="M644" s="155"/>
      <c r="N644" s="109"/>
      <c r="O644" s="126"/>
      <c r="P644" s="126"/>
      <c r="Q644" s="126"/>
      <c r="R644" s="127"/>
      <c r="S644" s="127"/>
      <c r="T644" s="127"/>
      <c r="U644" s="127"/>
    </row>
    <row r="645" spans="1:21" ht="15" customHeight="1">
      <c r="A645" s="125"/>
      <c r="B645" s="125"/>
      <c r="C645" s="125"/>
      <c r="D645" s="81"/>
      <c r="E645" s="81"/>
      <c r="F645" s="97"/>
      <c r="G645" s="81"/>
      <c r="H645" s="81"/>
      <c r="I645" s="81"/>
      <c r="J645" s="81"/>
      <c r="K645" s="81"/>
      <c r="L645" s="155"/>
      <c r="M645" s="155"/>
      <c r="N645" s="109"/>
      <c r="O645" s="126"/>
      <c r="P645" s="126"/>
      <c r="Q645" s="126"/>
      <c r="R645" s="127"/>
      <c r="S645" s="127"/>
      <c r="T645" s="127"/>
      <c r="U645" s="127"/>
    </row>
    <row r="646" spans="1:21" ht="15" customHeight="1">
      <c r="A646" s="125"/>
      <c r="B646" s="125"/>
      <c r="C646" s="125"/>
      <c r="D646" s="81"/>
      <c r="E646" s="81"/>
      <c r="F646" s="97"/>
      <c r="G646" s="81"/>
      <c r="H646" s="81"/>
      <c r="I646" s="81"/>
      <c r="J646" s="81"/>
      <c r="K646" s="81"/>
      <c r="L646" s="155"/>
      <c r="M646" s="155"/>
      <c r="N646" s="109"/>
      <c r="O646" s="126"/>
      <c r="P646" s="126"/>
      <c r="Q646" s="126"/>
      <c r="R646" s="127"/>
      <c r="S646" s="127"/>
      <c r="T646" s="127"/>
      <c r="U646" s="127"/>
    </row>
    <row r="647" spans="1:21" ht="15" customHeight="1">
      <c r="A647" s="125"/>
      <c r="B647" s="125"/>
      <c r="C647" s="125"/>
      <c r="D647" s="81"/>
      <c r="E647" s="81"/>
      <c r="F647" s="97"/>
      <c r="G647" s="81"/>
      <c r="H647" s="81"/>
      <c r="I647" s="81"/>
      <c r="J647" s="81"/>
      <c r="K647" s="81"/>
      <c r="L647" s="155"/>
      <c r="M647" s="155"/>
      <c r="N647" s="109"/>
      <c r="O647" s="126"/>
      <c r="P647" s="126"/>
      <c r="Q647" s="126"/>
      <c r="R647" s="127"/>
      <c r="S647" s="127"/>
      <c r="T647" s="127"/>
      <c r="U647" s="127"/>
    </row>
    <row r="648" spans="1:21" ht="15" customHeight="1">
      <c r="A648" s="125"/>
      <c r="B648" s="125"/>
      <c r="C648" s="125"/>
      <c r="D648" s="81"/>
      <c r="E648" s="81"/>
      <c r="F648" s="97"/>
      <c r="G648" s="81"/>
      <c r="H648" s="81"/>
      <c r="I648" s="81"/>
      <c r="J648" s="81"/>
      <c r="K648" s="81"/>
      <c r="L648" s="155"/>
      <c r="M648" s="155"/>
      <c r="N648" s="109"/>
      <c r="O648" s="126"/>
      <c r="P648" s="126"/>
      <c r="Q648" s="126"/>
      <c r="R648" s="127"/>
      <c r="S648" s="127"/>
      <c r="T648" s="127"/>
      <c r="U648" s="127"/>
    </row>
    <row r="649" spans="1:21" ht="15" customHeight="1">
      <c r="A649" s="125"/>
      <c r="B649" s="125"/>
      <c r="C649" s="125"/>
      <c r="D649" s="81"/>
      <c r="E649" s="81"/>
      <c r="F649" s="97"/>
      <c r="G649" s="81"/>
      <c r="H649" s="81"/>
      <c r="I649" s="81"/>
      <c r="J649" s="81"/>
      <c r="K649" s="81"/>
      <c r="L649" s="155"/>
      <c r="M649" s="155"/>
      <c r="N649" s="109"/>
      <c r="O649" s="126"/>
      <c r="P649" s="126"/>
      <c r="Q649" s="126"/>
      <c r="R649" s="127"/>
      <c r="S649" s="127"/>
      <c r="T649" s="127"/>
      <c r="U649" s="127"/>
    </row>
    <row r="650" spans="1:21" ht="15" customHeight="1">
      <c r="A650" s="125"/>
      <c r="B650" s="125"/>
      <c r="C650" s="125"/>
      <c r="D650" s="81"/>
      <c r="E650" s="81"/>
      <c r="F650" s="97"/>
      <c r="G650" s="81"/>
      <c r="H650" s="81"/>
      <c r="I650" s="81"/>
      <c r="J650" s="81"/>
      <c r="K650" s="81"/>
      <c r="L650" s="155"/>
      <c r="M650" s="155"/>
      <c r="N650" s="109"/>
      <c r="O650" s="126"/>
      <c r="P650" s="126"/>
      <c r="Q650" s="126"/>
      <c r="R650" s="127"/>
      <c r="S650" s="127"/>
      <c r="T650" s="127"/>
      <c r="U650" s="127"/>
    </row>
    <row r="651" spans="1:21" ht="15" customHeight="1">
      <c r="A651" s="125"/>
      <c r="B651" s="125"/>
      <c r="C651" s="125"/>
      <c r="D651" s="81"/>
      <c r="E651" s="81"/>
      <c r="F651" s="97"/>
      <c r="G651" s="81"/>
      <c r="H651" s="81"/>
      <c r="I651" s="81"/>
      <c r="J651" s="81"/>
      <c r="K651" s="81"/>
      <c r="L651" s="155"/>
      <c r="M651" s="155"/>
      <c r="N651" s="109"/>
      <c r="O651" s="126"/>
      <c r="P651" s="126"/>
      <c r="Q651" s="126"/>
      <c r="R651" s="127"/>
      <c r="S651" s="127"/>
      <c r="T651" s="127"/>
      <c r="U651" s="127"/>
    </row>
    <row r="652" spans="1:21" ht="15" customHeight="1">
      <c r="A652" s="125"/>
      <c r="B652" s="125"/>
      <c r="C652" s="125"/>
      <c r="D652" s="81"/>
      <c r="E652" s="81"/>
      <c r="F652" s="97"/>
      <c r="G652" s="81"/>
      <c r="H652" s="81"/>
      <c r="I652" s="81"/>
      <c r="J652" s="81"/>
      <c r="K652" s="81"/>
      <c r="L652" s="155"/>
      <c r="M652" s="155"/>
      <c r="N652" s="109"/>
      <c r="O652" s="126"/>
      <c r="P652" s="126"/>
      <c r="Q652" s="126"/>
      <c r="R652" s="127"/>
      <c r="S652" s="127"/>
      <c r="T652" s="127"/>
      <c r="U652" s="127"/>
    </row>
    <row r="653" spans="1:21" ht="15" customHeight="1">
      <c r="A653" s="125"/>
      <c r="B653" s="125"/>
      <c r="C653" s="125"/>
      <c r="D653" s="81"/>
      <c r="E653" s="81"/>
      <c r="F653" s="97"/>
      <c r="G653" s="81"/>
      <c r="H653" s="81"/>
      <c r="I653" s="81"/>
      <c r="J653" s="81"/>
      <c r="K653" s="81"/>
      <c r="L653" s="155"/>
      <c r="M653" s="155"/>
      <c r="N653" s="109"/>
      <c r="O653" s="126"/>
      <c r="P653" s="126"/>
      <c r="Q653" s="126"/>
      <c r="R653" s="127"/>
      <c r="S653" s="127"/>
      <c r="T653" s="127"/>
      <c r="U653" s="127"/>
    </row>
    <row r="654" spans="1:21" ht="15" customHeight="1">
      <c r="A654" s="125"/>
      <c r="B654" s="125"/>
      <c r="C654" s="125"/>
      <c r="D654" s="81"/>
      <c r="E654" s="81"/>
      <c r="F654" s="97"/>
      <c r="G654" s="81"/>
      <c r="H654" s="81"/>
      <c r="I654" s="81"/>
      <c r="J654" s="81"/>
      <c r="K654" s="81"/>
      <c r="L654" s="155"/>
      <c r="M654" s="155"/>
      <c r="N654" s="109"/>
      <c r="O654" s="126"/>
      <c r="P654" s="126"/>
      <c r="Q654" s="126"/>
      <c r="R654" s="127"/>
      <c r="S654" s="127"/>
      <c r="T654" s="127"/>
      <c r="U654" s="127"/>
    </row>
    <row r="655" spans="1:21" ht="15" customHeight="1">
      <c r="A655" s="125"/>
      <c r="B655" s="125"/>
      <c r="C655" s="125"/>
      <c r="D655" s="81"/>
      <c r="E655" s="81"/>
      <c r="F655" s="97"/>
      <c r="G655" s="81"/>
      <c r="H655" s="81"/>
      <c r="I655" s="81"/>
      <c r="J655" s="81"/>
      <c r="K655" s="81"/>
      <c r="L655" s="155"/>
      <c r="M655" s="155"/>
      <c r="N655" s="109"/>
      <c r="O655" s="126"/>
      <c r="P655" s="126"/>
      <c r="Q655" s="126"/>
      <c r="R655" s="127"/>
      <c r="S655" s="127"/>
      <c r="T655" s="127"/>
      <c r="U655" s="127"/>
    </row>
    <row r="656" spans="1:21" ht="15" customHeight="1">
      <c r="A656" s="125"/>
      <c r="B656" s="125"/>
      <c r="C656" s="125"/>
      <c r="D656" s="81"/>
      <c r="E656" s="81"/>
      <c r="F656" s="97"/>
      <c r="G656" s="81"/>
      <c r="H656" s="81"/>
      <c r="I656" s="81"/>
      <c r="J656" s="81"/>
      <c r="K656" s="81"/>
      <c r="L656" s="155"/>
      <c r="M656" s="155"/>
      <c r="N656" s="109"/>
      <c r="O656" s="126"/>
      <c r="P656" s="126"/>
      <c r="Q656" s="126"/>
      <c r="R656" s="127"/>
      <c r="S656" s="127"/>
      <c r="T656" s="127"/>
      <c r="U656" s="127"/>
    </row>
    <row r="657" spans="1:21" ht="15" customHeight="1">
      <c r="A657" s="125"/>
      <c r="B657" s="125"/>
      <c r="C657" s="125"/>
      <c r="D657" s="81"/>
      <c r="E657" s="81"/>
      <c r="F657" s="97"/>
      <c r="G657" s="81"/>
      <c r="H657" s="81"/>
      <c r="I657" s="81"/>
      <c r="J657" s="81"/>
      <c r="K657" s="81"/>
      <c r="L657" s="155"/>
      <c r="M657" s="155"/>
      <c r="N657" s="109"/>
      <c r="O657" s="126"/>
      <c r="P657" s="126"/>
      <c r="Q657" s="126"/>
      <c r="R657" s="127"/>
      <c r="S657" s="127"/>
      <c r="T657" s="127"/>
      <c r="U657" s="127"/>
    </row>
    <row r="658" spans="1:21" ht="15" customHeight="1">
      <c r="A658" s="125"/>
      <c r="B658" s="125"/>
      <c r="C658" s="125"/>
      <c r="D658" s="81"/>
      <c r="E658" s="81"/>
      <c r="F658" s="97"/>
      <c r="G658" s="81"/>
      <c r="H658" s="81"/>
      <c r="I658" s="81"/>
      <c r="J658" s="81"/>
      <c r="K658" s="81"/>
      <c r="L658" s="155"/>
      <c r="M658" s="155"/>
      <c r="N658" s="109"/>
      <c r="O658" s="126"/>
      <c r="P658" s="126"/>
      <c r="Q658" s="126"/>
      <c r="R658" s="127"/>
      <c r="S658" s="127"/>
      <c r="T658" s="127"/>
      <c r="U658" s="127"/>
    </row>
    <row r="659" spans="1:21" ht="15" customHeight="1">
      <c r="A659" s="125"/>
      <c r="B659" s="125"/>
      <c r="C659" s="125"/>
      <c r="D659" s="81"/>
      <c r="E659" s="81"/>
      <c r="F659" s="97"/>
      <c r="G659" s="81"/>
      <c r="H659" s="81"/>
      <c r="I659" s="81"/>
      <c r="J659" s="81"/>
      <c r="K659" s="81"/>
      <c r="L659" s="155"/>
      <c r="M659" s="155"/>
      <c r="N659" s="109"/>
      <c r="O659" s="126"/>
      <c r="P659" s="126"/>
      <c r="Q659" s="126"/>
      <c r="R659" s="127"/>
      <c r="S659" s="127"/>
      <c r="T659" s="127"/>
      <c r="U659" s="127"/>
    </row>
    <row r="660" spans="1:21" ht="15" customHeight="1">
      <c r="A660" s="125"/>
      <c r="B660" s="125"/>
      <c r="C660" s="125"/>
      <c r="D660" s="81"/>
      <c r="E660" s="81"/>
      <c r="F660" s="97"/>
      <c r="G660" s="81"/>
      <c r="H660" s="81"/>
      <c r="I660" s="81"/>
      <c r="J660" s="81"/>
      <c r="K660" s="81"/>
      <c r="L660" s="155"/>
      <c r="M660" s="155"/>
      <c r="N660" s="109"/>
      <c r="O660" s="126"/>
      <c r="P660" s="126"/>
      <c r="Q660" s="126"/>
      <c r="R660" s="127"/>
      <c r="S660" s="127"/>
      <c r="T660" s="127"/>
      <c r="U660" s="127"/>
    </row>
    <row r="661" spans="1:21" ht="15" customHeight="1">
      <c r="A661" s="125"/>
      <c r="B661" s="125"/>
      <c r="C661" s="125"/>
      <c r="D661" s="81"/>
      <c r="E661" s="81"/>
      <c r="F661" s="97"/>
      <c r="G661" s="81"/>
      <c r="H661" s="81"/>
      <c r="I661" s="81"/>
      <c r="J661" s="81"/>
      <c r="K661" s="81"/>
      <c r="L661" s="155"/>
      <c r="M661" s="155"/>
      <c r="N661" s="109"/>
      <c r="O661" s="126"/>
      <c r="P661" s="126"/>
      <c r="Q661" s="126"/>
      <c r="R661" s="127"/>
      <c r="S661" s="127"/>
      <c r="T661" s="127"/>
      <c r="U661" s="127"/>
    </row>
    <row r="662" spans="1:21" ht="15" customHeight="1">
      <c r="A662" s="125"/>
      <c r="B662" s="125"/>
      <c r="C662" s="125"/>
      <c r="D662" s="81"/>
      <c r="E662" s="81"/>
      <c r="F662" s="97"/>
      <c r="G662" s="81"/>
      <c r="H662" s="81"/>
      <c r="I662" s="81"/>
      <c r="J662" s="81"/>
      <c r="K662" s="81"/>
      <c r="L662" s="155"/>
      <c r="M662" s="155"/>
      <c r="N662" s="109"/>
      <c r="O662" s="126"/>
      <c r="P662" s="126"/>
      <c r="Q662" s="126"/>
      <c r="R662" s="127"/>
      <c r="S662" s="127"/>
      <c r="T662" s="127"/>
      <c r="U662" s="127"/>
    </row>
    <row r="663" spans="1:21" ht="15" customHeight="1">
      <c r="A663" s="125"/>
      <c r="B663" s="125"/>
      <c r="C663" s="125"/>
      <c r="D663" s="81"/>
      <c r="E663" s="81"/>
      <c r="F663" s="97"/>
      <c r="G663" s="81"/>
      <c r="H663" s="81"/>
      <c r="I663" s="81"/>
      <c r="J663" s="81"/>
      <c r="K663" s="81"/>
      <c r="L663" s="155"/>
      <c r="M663" s="155"/>
      <c r="N663" s="109"/>
      <c r="O663" s="126"/>
      <c r="P663" s="126"/>
      <c r="Q663" s="126"/>
      <c r="R663" s="127"/>
      <c r="S663" s="127"/>
      <c r="T663" s="127"/>
      <c r="U663" s="127"/>
    </row>
    <row r="664" spans="1:21" ht="15" customHeight="1">
      <c r="A664" s="125"/>
      <c r="B664" s="125"/>
      <c r="C664" s="125"/>
      <c r="D664" s="81"/>
      <c r="E664" s="81"/>
      <c r="F664" s="97"/>
      <c r="G664" s="81"/>
      <c r="H664" s="81"/>
      <c r="I664" s="81"/>
      <c r="J664" s="81"/>
      <c r="K664" s="81"/>
      <c r="L664" s="155"/>
      <c r="M664" s="155"/>
      <c r="N664" s="109"/>
      <c r="O664" s="126"/>
      <c r="P664" s="126"/>
      <c r="Q664" s="126"/>
      <c r="R664" s="127"/>
      <c r="S664" s="127"/>
      <c r="T664" s="127"/>
      <c r="U664" s="127"/>
    </row>
    <row r="665" spans="1:21" ht="15" customHeight="1">
      <c r="A665" s="125"/>
      <c r="B665" s="125"/>
      <c r="C665" s="125"/>
      <c r="D665" s="81"/>
      <c r="E665" s="81"/>
      <c r="F665" s="97"/>
      <c r="G665" s="81"/>
      <c r="H665" s="81"/>
      <c r="I665" s="81"/>
      <c r="J665" s="81"/>
      <c r="K665" s="81"/>
      <c r="L665" s="155"/>
      <c r="M665" s="155"/>
      <c r="N665" s="109"/>
      <c r="O665" s="126"/>
      <c r="P665" s="126"/>
      <c r="Q665" s="126"/>
      <c r="R665" s="127"/>
      <c r="S665" s="127"/>
      <c r="T665" s="127"/>
      <c r="U665" s="127"/>
    </row>
    <row r="666" spans="1:21" ht="15" customHeight="1">
      <c r="A666" s="125"/>
      <c r="B666" s="125"/>
      <c r="C666" s="125"/>
      <c r="D666" s="81"/>
      <c r="E666" s="81"/>
      <c r="F666" s="97"/>
      <c r="G666" s="81"/>
      <c r="H666" s="81"/>
      <c r="I666" s="81"/>
      <c r="J666" s="81"/>
      <c r="K666" s="81"/>
      <c r="L666" s="155"/>
      <c r="M666" s="155"/>
      <c r="N666" s="109"/>
      <c r="O666" s="126"/>
      <c r="P666" s="126"/>
      <c r="Q666" s="126"/>
      <c r="R666" s="127"/>
      <c r="S666" s="127"/>
      <c r="T666" s="127"/>
      <c r="U666" s="127"/>
    </row>
    <row r="667" spans="1:21" ht="15" customHeight="1">
      <c r="A667" s="125"/>
      <c r="B667" s="125"/>
      <c r="C667" s="125"/>
      <c r="D667" s="81"/>
      <c r="E667" s="81"/>
      <c r="F667" s="97"/>
      <c r="G667" s="81"/>
      <c r="H667" s="81"/>
      <c r="I667" s="81"/>
      <c r="J667" s="81"/>
      <c r="K667" s="81"/>
      <c r="L667" s="155"/>
      <c r="M667" s="155"/>
      <c r="N667" s="109"/>
      <c r="O667" s="126"/>
      <c r="P667" s="126"/>
      <c r="Q667" s="126"/>
      <c r="R667" s="127"/>
      <c r="S667" s="127"/>
      <c r="T667" s="127"/>
      <c r="U667" s="127"/>
    </row>
    <row r="668" spans="1:21" ht="15" customHeight="1">
      <c r="A668" s="125"/>
      <c r="B668" s="125"/>
      <c r="C668" s="125"/>
      <c r="D668" s="81"/>
      <c r="E668" s="81"/>
      <c r="F668" s="97"/>
      <c r="G668" s="81"/>
      <c r="H668" s="81"/>
      <c r="I668" s="81"/>
      <c r="J668" s="81"/>
      <c r="K668" s="81"/>
      <c r="L668" s="155"/>
      <c r="M668" s="155"/>
      <c r="N668" s="109"/>
      <c r="O668" s="126"/>
      <c r="P668" s="126"/>
      <c r="Q668" s="126"/>
      <c r="R668" s="127"/>
      <c r="S668" s="127"/>
      <c r="T668" s="127"/>
      <c r="U668" s="127"/>
    </row>
    <row r="669" spans="1:21" ht="15" customHeight="1">
      <c r="A669" s="125"/>
      <c r="B669" s="125"/>
      <c r="C669" s="125"/>
      <c r="D669" s="81"/>
      <c r="E669" s="81"/>
      <c r="F669" s="97"/>
      <c r="G669" s="81"/>
      <c r="H669" s="81"/>
      <c r="I669" s="81"/>
      <c r="J669" s="81"/>
      <c r="K669" s="81"/>
      <c r="L669" s="155"/>
      <c r="M669" s="155"/>
      <c r="N669" s="109"/>
      <c r="O669" s="126"/>
      <c r="P669" s="126"/>
      <c r="Q669" s="126"/>
      <c r="R669" s="127"/>
      <c r="S669" s="127"/>
      <c r="T669" s="127"/>
      <c r="U669" s="127"/>
    </row>
    <row r="670" spans="1:21" ht="15" customHeight="1">
      <c r="A670" s="125"/>
      <c r="B670" s="125"/>
      <c r="C670" s="125"/>
      <c r="D670" s="81"/>
      <c r="E670" s="81"/>
      <c r="F670" s="97"/>
      <c r="G670" s="81"/>
      <c r="H670" s="81"/>
      <c r="I670" s="81"/>
      <c r="J670" s="81"/>
      <c r="K670" s="81"/>
      <c r="L670" s="155"/>
      <c r="M670" s="155"/>
      <c r="N670" s="109"/>
      <c r="O670" s="126"/>
      <c r="P670" s="126"/>
      <c r="Q670" s="126"/>
      <c r="R670" s="127"/>
      <c r="S670" s="127"/>
      <c r="T670" s="127"/>
      <c r="U670" s="127"/>
    </row>
    <row r="671" spans="1:21" ht="15" customHeight="1">
      <c r="A671" s="125"/>
      <c r="B671" s="125"/>
      <c r="C671" s="125"/>
      <c r="D671" s="81"/>
      <c r="E671" s="81"/>
      <c r="F671" s="97"/>
      <c r="G671" s="81"/>
      <c r="H671" s="81"/>
      <c r="I671" s="81"/>
      <c r="J671" s="81"/>
      <c r="K671" s="81"/>
      <c r="L671" s="155"/>
      <c r="M671" s="155"/>
      <c r="N671" s="109"/>
      <c r="O671" s="126"/>
      <c r="P671" s="126"/>
      <c r="Q671" s="126"/>
      <c r="R671" s="127"/>
      <c r="S671" s="127"/>
      <c r="T671" s="127"/>
      <c r="U671" s="127"/>
    </row>
    <row r="672" spans="1:21" ht="15" customHeight="1">
      <c r="A672" s="125"/>
      <c r="B672" s="125"/>
      <c r="C672" s="125"/>
      <c r="D672" s="81"/>
      <c r="E672" s="81"/>
      <c r="F672" s="97"/>
      <c r="G672" s="81"/>
      <c r="H672" s="81"/>
      <c r="I672" s="81"/>
      <c r="J672" s="81"/>
      <c r="K672" s="81"/>
      <c r="L672" s="155"/>
      <c r="M672" s="155"/>
      <c r="N672" s="109"/>
      <c r="O672" s="126"/>
      <c r="P672" s="126"/>
      <c r="Q672" s="126"/>
      <c r="R672" s="127"/>
      <c r="S672" s="127"/>
      <c r="T672" s="127"/>
      <c r="U672" s="127"/>
    </row>
    <row r="673" spans="1:21" ht="15" customHeight="1">
      <c r="A673" s="125"/>
      <c r="B673" s="125"/>
      <c r="C673" s="125"/>
      <c r="D673" s="81"/>
      <c r="E673" s="81"/>
      <c r="F673" s="97"/>
      <c r="G673" s="81"/>
      <c r="H673" s="81"/>
      <c r="I673" s="81"/>
      <c r="J673" s="81"/>
      <c r="K673" s="81"/>
      <c r="L673" s="155"/>
      <c r="M673" s="155"/>
      <c r="N673" s="109"/>
      <c r="O673" s="126"/>
      <c r="P673" s="126"/>
      <c r="Q673" s="126"/>
      <c r="R673" s="127"/>
      <c r="S673" s="127"/>
      <c r="T673" s="127"/>
      <c r="U673" s="127"/>
    </row>
    <row r="674" spans="1:21" ht="15" customHeight="1">
      <c r="A674" s="125"/>
      <c r="B674" s="125"/>
      <c r="C674" s="125"/>
      <c r="D674" s="81"/>
      <c r="E674" s="81"/>
      <c r="F674" s="97"/>
      <c r="G674" s="81"/>
      <c r="H674" s="81"/>
      <c r="I674" s="81"/>
      <c r="J674" s="81"/>
      <c r="K674" s="81"/>
      <c r="L674" s="155"/>
      <c r="M674" s="155"/>
      <c r="N674" s="109"/>
      <c r="O674" s="126"/>
      <c r="P674" s="126"/>
      <c r="Q674" s="126"/>
      <c r="R674" s="127"/>
      <c r="S674" s="127"/>
      <c r="T674" s="127"/>
      <c r="U674" s="127"/>
    </row>
    <row r="675" spans="1:21" ht="15" customHeight="1">
      <c r="A675" s="125"/>
      <c r="B675" s="125"/>
      <c r="C675" s="125"/>
      <c r="D675" s="81"/>
      <c r="E675" s="81"/>
      <c r="F675" s="97"/>
      <c r="G675" s="81"/>
      <c r="H675" s="81"/>
      <c r="I675" s="81"/>
      <c r="J675" s="81"/>
      <c r="K675" s="81"/>
      <c r="L675" s="155"/>
      <c r="M675" s="155"/>
      <c r="N675" s="109"/>
      <c r="O675" s="126"/>
      <c r="P675" s="126"/>
      <c r="Q675" s="126"/>
      <c r="R675" s="127"/>
      <c r="S675" s="127"/>
      <c r="T675" s="127"/>
      <c r="U675" s="127"/>
    </row>
    <row r="676" spans="1:21" ht="15" customHeight="1">
      <c r="A676" s="125"/>
      <c r="B676" s="125"/>
      <c r="C676" s="125"/>
      <c r="D676" s="81"/>
      <c r="E676" s="81"/>
      <c r="F676" s="97"/>
      <c r="G676" s="81"/>
      <c r="H676" s="81"/>
      <c r="I676" s="81"/>
      <c r="J676" s="81"/>
      <c r="K676" s="81"/>
      <c r="L676" s="155"/>
      <c r="M676" s="155"/>
      <c r="N676" s="109"/>
      <c r="O676" s="126"/>
      <c r="P676" s="126"/>
      <c r="Q676" s="126"/>
      <c r="R676" s="127"/>
      <c r="S676" s="127"/>
      <c r="T676" s="127"/>
      <c r="U676" s="127"/>
    </row>
    <row r="677" spans="1:21" ht="15" customHeight="1">
      <c r="A677" s="125"/>
      <c r="B677" s="125"/>
      <c r="C677" s="125"/>
      <c r="D677" s="81"/>
      <c r="E677" s="81"/>
      <c r="F677" s="97"/>
      <c r="G677" s="81"/>
      <c r="H677" s="81"/>
      <c r="I677" s="81"/>
      <c r="J677" s="81"/>
      <c r="K677" s="81"/>
      <c r="L677" s="155"/>
      <c r="M677" s="155"/>
      <c r="N677" s="109"/>
      <c r="O677" s="126"/>
      <c r="P677" s="126"/>
      <c r="Q677" s="126"/>
      <c r="R677" s="127"/>
      <c r="S677" s="127"/>
      <c r="T677" s="127"/>
      <c r="U677" s="127"/>
    </row>
    <row r="678" spans="1:21" ht="15" customHeight="1">
      <c r="A678" s="125"/>
      <c r="B678" s="125"/>
      <c r="C678" s="125"/>
      <c r="D678" s="81"/>
      <c r="E678" s="81"/>
      <c r="F678" s="97"/>
      <c r="G678" s="81"/>
      <c r="H678" s="81"/>
      <c r="I678" s="81"/>
      <c r="J678" s="81"/>
      <c r="K678" s="81"/>
      <c r="L678" s="155"/>
      <c r="M678" s="155"/>
      <c r="N678" s="109"/>
      <c r="O678" s="126"/>
      <c r="P678" s="126"/>
      <c r="Q678" s="126"/>
      <c r="R678" s="127"/>
      <c r="S678" s="127"/>
      <c r="T678" s="127"/>
      <c r="U678" s="127"/>
    </row>
    <row r="679" spans="1:21" ht="15" customHeight="1">
      <c r="A679" s="125"/>
      <c r="B679" s="125"/>
      <c r="C679" s="125"/>
      <c r="D679" s="81"/>
      <c r="E679" s="81"/>
      <c r="F679" s="97"/>
      <c r="G679" s="81"/>
      <c r="H679" s="81"/>
      <c r="I679" s="81"/>
      <c r="J679" s="81"/>
      <c r="K679" s="81"/>
      <c r="L679" s="155"/>
      <c r="M679" s="155"/>
      <c r="N679" s="109"/>
      <c r="O679" s="126"/>
      <c r="P679" s="126"/>
      <c r="Q679" s="126"/>
      <c r="R679" s="127"/>
      <c r="S679" s="127"/>
      <c r="T679" s="127"/>
      <c r="U679" s="127"/>
    </row>
    <row r="680" spans="1:21" ht="15" customHeight="1">
      <c r="A680" s="125"/>
      <c r="B680" s="125"/>
      <c r="C680" s="125"/>
      <c r="D680" s="81"/>
      <c r="E680" s="81"/>
      <c r="F680" s="97"/>
      <c r="G680" s="81"/>
      <c r="H680" s="81"/>
      <c r="I680" s="81"/>
      <c r="J680" s="81"/>
      <c r="K680" s="81"/>
      <c r="L680" s="155"/>
      <c r="M680" s="155"/>
      <c r="N680" s="109"/>
      <c r="O680" s="126"/>
      <c r="P680" s="126"/>
      <c r="Q680" s="126"/>
      <c r="R680" s="127"/>
      <c r="S680" s="127"/>
      <c r="T680" s="127"/>
      <c r="U680" s="127"/>
    </row>
    <row r="681" spans="1:21" ht="15" customHeight="1">
      <c r="A681" s="125"/>
      <c r="B681" s="125"/>
      <c r="C681" s="125"/>
      <c r="D681" s="81"/>
      <c r="E681" s="81"/>
      <c r="F681" s="97"/>
      <c r="G681" s="81"/>
      <c r="H681" s="81"/>
      <c r="I681" s="81"/>
      <c r="J681" s="81"/>
      <c r="K681" s="81"/>
      <c r="L681" s="155"/>
      <c r="M681" s="155"/>
      <c r="N681" s="109"/>
      <c r="O681" s="126"/>
      <c r="P681" s="126"/>
      <c r="Q681" s="126"/>
      <c r="R681" s="127"/>
      <c r="S681" s="127"/>
      <c r="T681" s="127"/>
      <c r="U681" s="127"/>
    </row>
    <row r="682" spans="1:21" ht="15" customHeight="1">
      <c r="A682" s="125"/>
      <c r="B682" s="125"/>
      <c r="C682" s="125"/>
      <c r="D682" s="81"/>
      <c r="E682" s="81"/>
      <c r="F682" s="97"/>
      <c r="G682" s="81"/>
      <c r="H682" s="81"/>
      <c r="I682" s="81"/>
      <c r="J682" s="81"/>
      <c r="K682" s="81"/>
      <c r="L682" s="155"/>
      <c r="M682" s="155"/>
      <c r="N682" s="109"/>
      <c r="O682" s="126"/>
      <c r="P682" s="126"/>
      <c r="Q682" s="126"/>
      <c r="R682" s="127"/>
      <c r="S682" s="127"/>
      <c r="T682" s="127"/>
      <c r="U682" s="127"/>
    </row>
    <row r="683" spans="1:21" ht="15" customHeight="1">
      <c r="A683" s="125"/>
      <c r="B683" s="125"/>
      <c r="C683" s="125"/>
      <c r="D683" s="81"/>
      <c r="E683" s="81"/>
      <c r="F683" s="97"/>
      <c r="G683" s="81"/>
      <c r="H683" s="81"/>
      <c r="I683" s="81"/>
      <c r="J683" s="81"/>
      <c r="K683" s="81"/>
      <c r="L683" s="155"/>
      <c r="M683" s="155"/>
      <c r="N683" s="109"/>
      <c r="O683" s="126"/>
      <c r="P683" s="126"/>
      <c r="Q683" s="126"/>
      <c r="R683" s="127"/>
      <c r="S683" s="127"/>
      <c r="T683" s="127"/>
      <c r="U683" s="127"/>
    </row>
    <row r="684" spans="1:21" ht="15" customHeight="1">
      <c r="A684" s="125"/>
      <c r="B684" s="125"/>
      <c r="C684" s="125"/>
      <c r="D684" s="81"/>
      <c r="E684" s="81"/>
      <c r="F684" s="97"/>
      <c r="G684" s="81"/>
      <c r="H684" s="81"/>
      <c r="I684" s="81"/>
      <c r="J684" s="81"/>
      <c r="K684" s="81"/>
      <c r="L684" s="155"/>
      <c r="M684" s="155"/>
      <c r="N684" s="109"/>
      <c r="O684" s="126"/>
      <c r="P684" s="126"/>
      <c r="Q684" s="126"/>
      <c r="R684" s="127"/>
      <c r="S684" s="127"/>
      <c r="T684" s="127"/>
      <c r="U684" s="127"/>
    </row>
    <row r="685" spans="1:21" ht="15" customHeight="1">
      <c r="A685" s="125"/>
      <c r="B685" s="125"/>
      <c r="C685" s="125"/>
      <c r="D685" s="81"/>
      <c r="E685" s="81"/>
      <c r="F685" s="97"/>
      <c r="G685" s="81"/>
      <c r="H685" s="81"/>
      <c r="I685" s="81"/>
      <c r="J685" s="81"/>
      <c r="K685" s="81"/>
      <c r="L685" s="155"/>
      <c r="M685" s="155"/>
      <c r="N685" s="109"/>
      <c r="O685" s="126"/>
      <c r="P685" s="126"/>
      <c r="Q685" s="126"/>
      <c r="R685" s="127"/>
      <c r="S685" s="127"/>
      <c r="T685" s="127"/>
      <c r="U685" s="127"/>
    </row>
    <row r="686" spans="1:21" ht="15" customHeight="1">
      <c r="A686" s="125"/>
      <c r="B686" s="125"/>
      <c r="C686" s="125"/>
      <c r="D686" s="81"/>
      <c r="E686" s="81"/>
      <c r="F686" s="97"/>
      <c r="G686" s="81"/>
      <c r="H686" s="81"/>
      <c r="I686" s="81"/>
      <c r="J686" s="81"/>
      <c r="K686" s="81"/>
      <c r="L686" s="155"/>
      <c r="M686" s="155"/>
      <c r="N686" s="109"/>
      <c r="O686" s="126"/>
      <c r="P686" s="126"/>
      <c r="Q686" s="126"/>
      <c r="R686" s="127"/>
      <c r="S686" s="127"/>
      <c r="T686" s="127"/>
      <c r="U686" s="127"/>
    </row>
    <row r="687" spans="1:21" ht="15" customHeight="1">
      <c r="A687" s="125"/>
      <c r="B687" s="125"/>
      <c r="C687" s="125"/>
      <c r="D687" s="81"/>
      <c r="E687" s="81"/>
      <c r="F687" s="97"/>
      <c r="G687" s="81"/>
      <c r="H687" s="81"/>
      <c r="I687" s="81"/>
      <c r="J687" s="81"/>
      <c r="K687" s="81"/>
      <c r="L687" s="155"/>
      <c r="M687" s="155"/>
      <c r="N687" s="109"/>
      <c r="O687" s="126"/>
      <c r="P687" s="126"/>
      <c r="Q687" s="126"/>
      <c r="R687" s="127"/>
      <c r="S687" s="127"/>
      <c r="T687" s="127"/>
      <c r="U687" s="127"/>
    </row>
    <row r="688" spans="1:21" ht="15" customHeight="1">
      <c r="A688" s="125"/>
      <c r="B688" s="125"/>
      <c r="C688" s="125"/>
      <c r="D688" s="81"/>
      <c r="E688" s="81"/>
      <c r="F688" s="97"/>
      <c r="G688" s="81"/>
      <c r="H688" s="81"/>
      <c r="I688" s="81"/>
      <c r="J688" s="81"/>
      <c r="K688" s="81"/>
      <c r="L688" s="155"/>
      <c r="M688" s="155"/>
      <c r="N688" s="109"/>
      <c r="O688" s="126"/>
      <c r="P688" s="126"/>
      <c r="Q688" s="126"/>
      <c r="R688" s="127"/>
      <c r="S688" s="127"/>
      <c r="T688" s="127"/>
      <c r="U688" s="127"/>
    </row>
    <row r="689" spans="1:21" ht="15" customHeight="1">
      <c r="A689" s="125"/>
      <c r="B689" s="125"/>
      <c r="C689" s="125"/>
      <c r="D689" s="81"/>
      <c r="E689" s="81"/>
      <c r="F689" s="97"/>
      <c r="G689" s="81"/>
      <c r="H689" s="81"/>
      <c r="I689" s="81"/>
      <c r="J689" s="81"/>
      <c r="K689" s="81"/>
      <c r="L689" s="155"/>
      <c r="M689" s="155"/>
      <c r="N689" s="109"/>
      <c r="O689" s="126"/>
      <c r="P689" s="126"/>
      <c r="Q689" s="126"/>
      <c r="R689" s="127"/>
      <c r="S689" s="127"/>
      <c r="T689" s="127"/>
      <c r="U689" s="127"/>
    </row>
    <row r="690" spans="1:21" ht="15" customHeight="1">
      <c r="A690" s="125"/>
      <c r="B690" s="125"/>
      <c r="C690" s="125"/>
      <c r="D690" s="81"/>
      <c r="E690" s="81"/>
      <c r="F690" s="97"/>
      <c r="G690" s="81"/>
      <c r="H690" s="81"/>
      <c r="I690" s="81"/>
      <c r="J690" s="81"/>
      <c r="K690" s="81"/>
      <c r="L690" s="155"/>
      <c r="M690" s="155"/>
      <c r="N690" s="109"/>
      <c r="O690" s="126"/>
      <c r="P690" s="126"/>
      <c r="Q690" s="126"/>
      <c r="R690" s="127"/>
      <c r="S690" s="127"/>
      <c r="T690" s="127"/>
      <c r="U690" s="127"/>
    </row>
    <row r="691" spans="1:21" ht="15" customHeight="1">
      <c r="A691" s="125"/>
      <c r="B691" s="125"/>
      <c r="C691" s="125"/>
      <c r="D691" s="81"/>
      <c r="E691" s="81"/>
      <c r="F691" s="97"/>
      <c r="G691" s="81"/>
      <c r="H691" s="81"/>
      <c r="I691" s="81"/>
      <c r="J691" s="81"/>
      <c r="K691" s="81"/>
      <c r="L691" s="155"/>
      <c r="M691" s="155"/>
      <c r="N691" s="109"/>
      <c r="O691" s="126"/>
      <c r="P691" s="126"/>
      <c r="Q691" s="126"/>
      <c r="R691" s="127"/>
      <c r="S691" s="127"/>
      <c r="T691" s="127"/>
      <c r="U691" s="127"/>
    </row>
    <row r="692" spans="1:21" ht="15" customHeight="1">
      <c r="A692" s="125"/>
      <c r="B692" s="125"/>
      <c r="C692" s="125"/>
      <c r="D692" s="81"/>
      <c r="E692" s="81"/>
      <c r="F692" s="97"/>
      <c r="G692" s="81"/>
      <c r="H692" s="81"/>
      <c r="I692" s="81"/>
      <c r="J692" s="81"/>
      <c r="K692" s="81"/>
      <c r="L692" s="155"/>
      <c r="M692" s="155"/>
      <c r="N692" s="109"/>
      <c r="O692" s="126"/>
      <c r="P692" s="126"/>
      <c r="Q692" s="126"/>
      <c r="R692" s="127"/>
      <c r="S692" s="127"/>
      <c r="T692" s="127"/>
      <c r="U692" s="127"/>
    </row>
    <row r="693" spans="1:21" ht="15" customHeight="1">
      <c r="A693" s="125"/>
      <c r="B693" s="125"/>
      <c r="C693" s="125"/>
      <c r="D693" s="81"/>
      <c r="E693" s="81"/>
      <c r="F693" s="97"/>
      <c r="G693" s="81"/>
      <c r="H693" s="81"/>
      <c r="I693" s="81"/>
      <c r="J693" s="81"/>
      <c r="K693" s="81"/>
      <c r="L693" s="155"/>
      <c r="M693" s="155"/>
      <c r="N693" s="109"/>
      <c r="O693" s="126"/>
      <c r="P693" s="126"/>
      <c r="Q693" s="126"/>
      <c r="R693" s="127"/>
      <c r="S693" s="127"/>
      <c r="T693" s="127"/>
      <c r="U693" s="127"/>
    </row>
    <row r="694" spans="1:21" ht="15" customHeight="1">
      <c r="A694" s="125"/>
      <c r="B694" s="125"/>
      <c r="C694" s="125"/>
      <c r="D694" s="81"/>
      <c r="E694" s="81"/>
      <c r="F694" s="97"/>
      <c r="G694" s="81"/>
      <c r="H694" s="81"/>
      <c r="I694" s="81"/>
      <c r="J694" s="81"/>
      <c r="K694" s="81"/>
      <c r="L694" s="155"/>
      <c r="M694" s="155"/>
      <c r="N694" s="109"/>
      <c r="O694" s="126"/>
      <c r="P694" s="126"/>
      <c r="Q694" s="126"/>
      <c r="R694" s="127"/>
      <c r="S694" s="127"/>
      <c r="T694" s="127"/>
      <c r="U694" s="127"/>
    </row>
    <row r="695" spans="1:21" ht="15" customHeight="1">
      <c r="A695" s="125"/>
      <c r="B695" s="125"/>
      <c r="C695" s="125"/>
      <c r="D695" s="81"/>
      <c r="E695" s="81"/>
      <c r="F695" s="97"/>
      <c r="G695" s="81"/>
      <c r="H695" s="81"/>
      <c r="I695" s="81"/>
      <c r="J695" s="81"/>
      <c r="K695" s="81"/>
      <c r="L695" s="155"/>
      <c r="M695" s="155"/>
      <c r="N695" s="109"/>
      <c r="O695" s="126"/>
      <c r="P695" s="126"/>
      <c r="Q695" s="126"/>
      <c r="R695" s="127"/>
      <c r="S695" s="127"/>
      <c r="T695" s="127"/>
      <c r="U695" s="127"/>
    </row>
    <row r="696" spans="1:21" ht="15" customHeight="1">
      <c r="A696" s="125"/>
      <c r="B696" s="125"/>
      <c r="C696" s="125"/>
      <c r="D696" s="81"/>
      <c r="E696" s="81"/>
      <c r="F696" s="97"/>
      <c r="G696" s="81"/>
      <c r="H696" s="81"/>
      <c r="I696" s="81"/>
      <c r="J696" s="81"/>
      <c r="K696" s="81"/>
      <c r="L696" s="155"/>
      <c r="M696" s="155"/>
      <c r="N696" s="109"/>
      <c r="O696" s="126"/>
      <c r="P696" s="126"/>
      <c r="Q696" s="126"/>
      <c r="R696" s="127"/>
      <c r="S696" s="127"/>
      <c r="T696" s="127"/>
      <c r="U696" s="127"/>
    </row>
    <row r="697" spans="1:21" ht="15" customHeight="1">
      <c r="A697" s="125"/>
      <c r="B697" s="125"/>
      <c r="C697" s="125"/>
      <c r="D697" s="81"/>
      <c r="E697" s="81"/>
      <c r="F697" s="97"/>
      <c r="G697" s="81"/>
      <c r="H697" s="81"/>
      <c r="I697" s="81"/>
      <c r="J697" s="81"/>
      <c r="K697" s="81"/>
      <c r="L697" s="155"/>
      <c r="M697" s="155"/>
      <c r="N697" s="109"/>
      <c r="O697" s="126"/>
      <c r="P697" s="126"/>
      <c r="Q697" s="126"/>
      <c r="R697" s="127"/>
      <c r="S697" s="127"/>
      <c r="T697" s="127"/>
      <c r="U697" s="127"/>
    </row>
    <row r="698" spans="1:21" ht="15" customHeight="1">
      <c r="A698" s="125"/>
      <c r="B698" s="125"/>
      <c r="C698" s="125"/>
      <c r="D698" s="81"/>
      <c r="E698" s="81"/>
      <c r="F698" s="97"/>
      <c r="G698" s="81"/>
      <c r="H698" s="81"/>
      <c r="I698" s="81"/>
      <c r="J698" s="81"/>
      <c r="K698" s="81"/>
      <c r="L698" s="155"/>
      <c r="M698" s="155"/>
      <c r="N698" s="109"/>
      <c r="O698" s="126"/>
      <c r="P698" s="126"/>
      <c r="Q698" s="126"/>
      <c r="R698" s="127"/>
      <c r="S698" s="127"/>
      <c r="T698" s="127"/>
      <c r="U698" s="127"/>
    </row>
    <row r="699" spans="1:21" ht="15" customHeight="1">
      <c r="A699" s="125"/>
      <c r="B699" s="125"/>
      <c r="C699" s="125"/>
      <c r="D699" s="81"/>
      <c r="E699" s="81"/>
      <c r="F699" s="97"/>
      <c r="G699" s="81"/>
      <c r="H699" s="81"/>
      <c r="I699" s="81"/>
      <c r="J699" s="81"/>
      <c r="K699" s="81"/>
      <c r="L699" s="155"/>
      <c r="M699" s="155"/>
      <c r="N699" s="109"/>
      <c r="O699" s="126"/>
      <c r="P699" s="126"/>
      <c r="Q699" s="126"/>
      <c r="R699" s="127"/>
      <c r="S699" s="127"/>
      <c r="T699" s="127"/>
      <c r="U699" s="127"/>
    </row>
    <row r="700" spans="1:21" ht="15" customHeight="1">
      <c r="A700" s="125"/>
      <c r="B700" s="125"/>
      <c r="C700" s="125"/>
      <c r="D700" s="81"/>
      <c r="E700" s="81"/>
      <c r="F700" s="97"/>
      <c r="G700" s="81"/>
      <c r="H700" s="81"/>
      <c r="I700" s="81"/>
      <c r="J700" s="81"/>
      <c r="K700" s="81"/>
      <c r="L700" s="155"/>
      <c r="M700" s="155"/>
      <c r="N700" s="109"/>
      <c r="O700" s="126"/>
      <c r="P700" s="126"/>
      <c r="Q700" s="126"/>
      <c r="R700" s="127"/>
      <c r="S700" s="127"/>
      <c r="T700" s="127"/>
      <c r="U700" s="127"/>
    </row>
    <row r="701" spans="1:21" ht="15" customHeight="1">
      <c r="A701" s="125"/>
      <c r="B701" s="125"/>
      <c r="C701" s="125"/>
      <c r="D701" s="81"/>
      <c r="E701" s="81"/>
      <c r="F701" s="97"/>
      <c r="G701" s="81"/>
      <c r="H701" s="81"/>
      <c r="I701" s="81"/>
      <c r="J701" s="81"/>
      <c r="K701" s="81"/>
      <c r="L701" s="155"/>
      <c r="M701" s="155"/>
      <c r="N701" s="109"/>
      <c r="O701" s="126"/>
      <c r="P701" s="126"/>
      <c r="Q701" s="126"/>
      <c r="R701" s="127"/>
      <c r="S701" s="127"/>
      <c r="T701" s="127"/>
      <c r="U701" s="127"/>
    </row>
    <row r="702" spans="1:21" ht="15" customHeight="1">
      <c r="A702" s="125"/>
      <c r="B702" s="125"/>
      <c r="C702" s="125"/>
      <c r="D702" s="81"/>
      <c r="E702" s="81"/>
      <c r="F702" s="97"/>
      <c r="G702" s="81"/>
      <c r="H702" s="81"/>
      <c r="I702" s="81"/>
      <c r="J702" s="81"/>
      <c r="K702" s="81"/>
      <c r="L702" s="155"/>
      <c r="M702" s="155"/>
      <c r="N702" s="109"/>
      <c r="O702" s="126"/>
      <c r="P702" s="126"/>
      <c r="Q702" s="126"/>
      <c r="R702" s="127"/>
      <c r="S702" s="127"/>
      <c r="T702" s="127"/>
      <c r="U702" s="127"/>
    </row>
    <row r="703" spans="1:21" ht="15" customHeight="1">
      <c r="A703" s="125"/>
      <c r="B703" s="125"/>
      <c r="C703" s="125"/>
      <c r="D703" s="81"/>
      <c r="E703" s="81"/>
      <c r="F703" s="97"/>
      <c r="G703" s="81"/>
      <c r="H703" s="81"/>
      <c r="I703" s="81"/>
      <c r="J703" s="81"/>
      <c r="K703" s="81"/>
      <c r="L703" s="155"/>
      <c r="M703" s="155"/>
      <c r="N703" s="109"/>
      <c r="O703" s="126"/>
      <c r="P703" s="126"/>
      <c r="Q703" s="126"/>
      <c r="R703" s="127"/>
      <c r="S703" s="127"/>
      <c r="T703" s="127"/>
      <c r="U703" s="127"/>
    </row>
    <row r="704" spans="1:21" ht="15" customHeight="1">
      <c r="A704" s="125"/>
      <c r="B704" s="125"/>
      <c r="C704" s="125"/>
      <c r="D704" s="81"/>
      <c r="E704" s="81"/>
      <c r="F704" s="97"/>
      <c r="G704" s="81"/>
      <c r="H704" s="81"/>
      <c r="I704" s="81"/>
      <c r="J704" s="81"/>
      <c r="K704" s="81"/>
      <c r="L704" s="155"/>
      <c r="M704" s="155"/>
      <c r="N704" s="109"/>
      <c r="O704" s="126"/>
      <c r="P704" s="126"/>
      <c r="Q704" s="126"/>
      <c r="R704" s="127"/>
      <c r="S704" s="127"/>
      <c r="T704" s="127"/>
      <c r="U704" s="127"/>
    </row>
    <row r="705" spans="1:21" ht="15" customHeight="1">
      <c r="A705" s="125"/>
      <c r="B705" s="125"/>
      <c r="C705" s="125"/>
      <c r="D705" s="81"/>
      <c r="E705" s="81"/>
      <c r="F705" s="97"/>
      <c r="G705" s="81"/>
      <c r="H705" s="81"/>
      <c r="I705" s="81"/>
      <c r="J705" s="81"/>
      <c r="K705" s="81"/>
      <c r="L705" s="155"/>
      <c r="M705" s="155"/>
      <c r="N705" s="109"/>
      <c r="O705" s="126"/>
      <c r="P705" s="126"/>
      <c r="Q705" s="126"/>
      <c r="R705" s="127"/>
      <c r="S705" s="127"/>
      <c r="T705" s="127"/>
      <c r="U705" s="127"/>
    </row>
    <row r="706" spans="1:21" ht="15" customHeight="1">
      <c r="A706" s="125"/>
      <c r="B706" s="125"/>
      <c r="C706" s="125"/>
      <c r="D706" s="81"/>
      <c r="E706" s="81"/>
      <c r="F706" s="97"/>
      <c r="G706" s="81"/>
      <c r="H706" s="81"/>
      <c r="I706" s="81"/>
      <c r="J706" s="81"/>
      <c r="K706" s="81"/>
      <c r="L706" s="155"/>
      <c r="M706" s="155"/>
      <c r="N706" s="109"/>
      <c r="O706" s="126"/>
      <c r="P706" s="126"/>
      <c r="Q706" s="126"/>
      <c r="R706" s="127"/>
      <c r="S706" s="127"/>
      <c r="T706" s="127"/>
      <c r="U706" s="127"/>
    </row>
    <row r="707" spans="1:21" ht="15" customHeight="1">
      <c r="A707" s="125"/>
      <c r="B707" s="125"/>
      <c r="C707" s="125"/>
      <c r="D707" s="81"/>
      <c r="E707" s="81"/>
      <c r="F707" s="97"/>
      <c r="G707" s="81"/>
      <c r="H707" s="81"/>
      <c r="I707" s="81"/>
      <c r="J707" s="81"/>
      <c r="K707" s="81"/>
      <c r="L707" s="155"/>
      <c r="M707" s="155"/>
      <c r="N707" s="109"/>
      <c r="O707" s="126"/>
      <c r="P707" s="126"/>
      <c r="Q707" s="126"/>
      <c r="R707" s="127"/>
      <c r="S707" s="127"/>
      <c r="T707" s="127"/>
      <c r="U707" s="127"/>
    </row>
    <row r="708" spans="1:21" ht="15" customHeight="1">
      <c r="A708" s="125"/>
      <c r="B708" s="125"/>
      <c r="C708" s="125"/>
      <c r="D708" s="81"/>
      <c r="E708" s="81"/>
      <c r="F708" s="97"/>
      <c r="G708" s="81"/>
      <c r="H708" s="81"/>
      <c r="I708" s="81"/>
      <c r="J708" s="81"/>
      <c r="K708" s="81"/>
      <c r="L708" s="155"/>
      <c r="M708" s="155"/>
      <c r="N708" s="109"/>
      <c r="O708" s="126"/>
      <c r="P708" s="126"/>
      <c r="Q708" s="126"/>
      <c r="R708" s="127"/>
      <c r="S708" s="127"/>
      <c r="T708" s="127"/>
      <c r="U708" s="127"/>
    </row>
    <row r="709" spans="1:21" ht="15" customHeight="1">
      <c r="A709" s="125"/>
      <c r="B709" s="125"/>
      <c r="C709" s="125"/>
      <c r="D709" s="81"/>
      <c r="E709" s="81"/>
      <c r="F709" s="97"/>
      <c r="G709" s="81"/>
      <c r="H709" s="81"/>
      <c r="I709" s="81"/>
      <c r="J709" s="81"/>
      <c r="K709" s="81"/>
      <c r="L709" s="155"/>
      <c r="M709" s="155"/>
      <c r="N709" s="109"/>
      <c r="O709" s="126"/>
      <c r="P709" s="126"/>
      <c r="Q709" s="126"/>
      <c r="R709" s="127"/>
      <c r="S709" s="127"/>
      <c r="T709" s="127"/>
      <c r="U709" s="127"/>
    </row>
    <row r="710" spans="1:21" ht="15" customHeight="1">
      <c r="A710" s="125"/>
      <c r="B710" s="125"/>
      <c r="C710" s="125"/>
      <c r="D710" s="81"/>
      <c r="E710" s="81"/>
      <c r="F710" s="97"/>
      <c r="G710" s="81"/>
      <c r="H710" s="81"/>
      <c r="I710" s="81"/>
      <c r="J710" s="81"/>
      <c r="K710" s="81"/>
      <c r="L710" s="155"/>
      <c r="M710" s="155"/>
      <c r="N710" s="109"/>
      <c r="O710" s="126"/>
      <c r="P710" s="126"/>
      <c r="Q710" s="126"/>
      <c r="R710" s="127"/>
      <c r="S710" s="127"/>
      <c r="T710" s="127"/>
      <c r="U710" s="127"/>
    </row>
    <row r="711" spans="1:21" ht="15" customHeight="1">
      <c r="A711" s="125"/>
      <c r="B711" s="125"/>
      <c r="C711" s="125"/>
      <c r="D711" s="81"/>
      <c r="E711" s="81"/>
      <c r="F711" s="97"/>
      <c r="G711" s="81"/>
      <c r="H711" s="81"/>
      <c r="I711" s="81"/>
      <c r="J711" s="81"/>
      <c r="K711" s="81"/>
      <c r="L711" s="155"/>
      <c r="M711" s="155"/>
      <c r="N711" s="109"/>
      <c r="O711" s="126"/>
      <c r="P711" s="126"/>
      <c r="Q711" s="126"/>
      <c r="R711" s="127"/>
      <c r="S711" s="127"/>
      <c r="T711" s="127"/>
      <c r="U711" s="127"/>
    </row>
    <row r="712" spans="1:21" ht="15" customHeight="1">
      <c r="A712" s="125"/>
      <c r="B712" s="125"/>
      <c r="C712" s="125"/>
      <c r="D712" s="81"/>
      <c r="E712" s="81"/>
      <c r="F712" s="97"/>
      <c r="G712" s="81"/>
      <c r="H712" s="81"/>
      <c r="I712" s="81"/>
      <c r="J712" s="81"/>
      <c r="K712" s="81"/>
      <c r="L712" s="155"/>
      <c r="M712" s="155"/>
      <c r="N712" s="109"/>
      <c r="O712" s="126"/>
      <c r="P712" s="126"/>
      <c r="Q712" s="126"/>
      <c r="R712" s="127"/>
      <c r="S712" s="127"/>
      <c r="T712" s="127"/>
      <c r="U712" s="127"/>
    </row>
    <row r="713" spans="1:21" ht="15" customHeight="1">
      <c r="A713" s="125"/>
      <c r="B713" s="125"/>
      <c r="C713" s="125"/>
      <c r="D713" s="81"/>
      <c r="E713" s="81"/>
      <c r="F713" s="97"/>
      <c r="G713" s="81"/>
      <c r="H713" s="81"/>
      <c r="I713" s="81"/>
      <c r="J713" s="81"/>
      <c r="K713" s="81"/>
      <c r="L713" s="155"/>
      <c r="M713" s="155"/>
      <c r="N713" s="109"/>
      <c r="O713" s="126"/>
      <c r="P713" s="126"/>
      <c r="Q713" s="126"/>
      <c r="R713" s="127"/>
      <c r="S713" s="127"/>
      <c r="T713" s="127"/>
      <c r="U713" s="127"/>
    </row>
    <row r="714" spans="1:21" ht="15" customHeight="1">
      <c r="A714" s="125"/>
      <c r="B714" s="125"/>
      <c r="C714" s="125"/>
      <c r="D714" s="81"/>
      <c r="E714" s="81"/>
      <c r="F714" s="97"/>
      <c r="G714" s="81"/>
      <c r="H714" s="81"/>
      <c r="I714" s="81"/>
      <c r="J714" s="81"/>
      <c r="K714" s="81"/>
      <c r="L714" s="155"/>
      <c r="M714" s="155"/>
      <c r="N714" s="109"/>
      <c r="O714" s="126"/>
      <c r="P714" s="126"/>
      <c r="Q714" s="126"/>
      <c r="R714" s="127"/>
      <c r="S714" s="127"/>
      <c r="T714" s="127"/>
      <c r="U714" s="127"/>
    </row>
    <row r="715" spans="1:21" ht="15" customHeight="1">
      <c r="A715" s="125"/>
      <c r="B715" s="125"/>
      <c r="C715" s="125"/>
      <c r="D715" s="81"/>
      <c r="E715" s="81"/>
      <c r="F715" s="97"/>
      <c r="G715" s="81"/>
      <c r="H715" s="81"/>
      <c r="I715" s="81"/>
      <c r="J715" s="81"/>
      <c r="K715" s="81"/>
      <c r="L715" s="155"/>
      <c r="M715" s="155"/>
      <c r="N715" s="109"/>
      <c r="O715" s="126"/>
      <c r="P715" s="126"/>
      <c r="Q715" s="126"/>
      <c r="R715" s="127"/>
      <c r="S715" s="127"/>
      <c r="T715" s="127"/>
      <c r="U715" s="127"/>
    </row>
    <row r="716" spans="1:21" ht="15" customHeight="1">
      <c r="A716" s="125"/>
      <c r="B716" s="125"/>
      <c r="C716" s="125"/>
      <c r="D716" s="81"/>
      <c r="E716" s="81"/>
      <c r="F716" s="97"/>
      <c r="G716" s="81"/>
      <c r="H716" s="81"/>
      <c r="I716" s="81"/>
      <c r="J716" s="81"/>
      <c r="K716" s="81"/>
      <c r="L716" s="155"/>
      <c r="M716" s="155"/>
      <c r="N716" s="109"/>
      <c r="O716" s="126"/>
      <c r="P716" s="126"/>
      <c r="Q716" s="126"/>
      <c r="R716" s="127"/>
      <c r="S716" s="127"/>
      <c r="T716" s="127"/>
      <c r="U716" s="127"/>
    </row>
    <row r="717" spans="1:21" ht="15" customHeight="1">
      <c r="A717" s="125"/>
      <c r="B717" s="125"/>
      <c r="C717" s="125"/>
      <c r="D717" s="81"/>
      <c r="E717" s="81"/>
      <c r="F717" s="97"/>
      <c r="G717" s="81"/>
      <c r="H717" s="81"/>
      <c r="I717" s="81"/>
      <c r="J717" s="81"/>
      <c r="K717" s="81"/>
      <c r="L717" s="155"/>
      <c r="M717" s="155"/>
      <c r="N717" s="109"/>
      <c r="O717" s="126"/>
      <c r="P717" s="126"/>
      <c r="Q717" s="126"/>
      <c r="R717" s="127"/>
      <c r="S717" s="127"/>
      <c r="T717" s="127"/>
      <c r="U717" s="127"/>
    </row>
    <row r="718" spans="1:21" ht="15" customHeight="1">
      <c r="A718" s="125"/>
      <c r="B718" s="125"/>
      <c r="C718" s="125"/>
      <c r="D718" s="81"/>
      <c r="E718" s="81"/>
      <c r="F718" s="97"/>
      <c r="G718" s="81"/>
      <c r="H718" s="81"/>
      <c r="I718" s="81"/>
      <c r="J718" s="81"/>
      <c r="K718" s="81"/>
      <c r="L718" s="155"/>
      <c r="M718" s="155"/>
      <c r="N718" s="109"/>
      <c r="O718" s="126"/>
      <c r="P718" s="126"/>
      <c r="Q718" s="126"/>
      <c r="R718" s="127"/>
      <c r="S718" s="127"/>
      <c r="T718" s="127"/>
      <c r="U718" s="127"/>
    </row>
    <row r="719" spans="1:21" ht="15" customHeight="1">
      <c r="A719" s="125"/>
      <c r="B719" s="125"/>
      <c r="C719" s="125"/>
      <c r="D719" s="81"/>
      <c r="E719" s="81"/>
      <c r="F719" s="97"/>
      <c r="G719" s="81"/>
      <c r="H719" s="81"/>
      <c r="I719" s="81"/>
      <c r="J719" s="81"/>
      <c r="K719" s="81"/>
      <c r="L719" s="155"/>
      <c r="M719" s="155"/>
      <c r="N719" s="109"/>
      <c r="O719" s="126"/>
      <c r="P719" s="126"/>
      <c r="Q719" s="126"/>
      <c r="R719" s="127"/>
      <c r="S719" s="127"/>
      <c r="T719" s="127"/>
      <c r="U719" s="127"/>
    </row>
    <row r="720" spans="1:21" ht="15" customHeight="1">
      <c r="A720" s="125"/>
      <c r="B720" s="125"/>
      <c r="C720" s="125"/>
      <c r="D720" s="81"/>
      <c r="E720" s="81"/>
      <c r="F720" s="97"/>
      <c r="G720" s="81"/>
      <c r="H720" s="81"/>
      <c r="I720" s="81"/>
      <c r="J720" s="81"/>
      <c r="K720" s="81"/>
      <c r="L720" s="155"/>
      <c r="M720" s="155"/>
      <c r="N720" s="109"/>
      <c r="O720" s="126"/>
      <c r="P720" s="126"/>
      <c r="Q720" s="126"/>
      <c r="R720" s="127"/>
      <c r="S720" s="127"/>
      <c r="T720" s="127"/>
      <c r="U720" s="127"/>
    </row>
    <row r="721" spans="1:21" ht="15" customHeight="1">
      <c r="A721" s="125"/>
      <c r="B721" s="125"/>
      <c r="C721" s="125"/>
      <c r="D721" s="81"/>
      <c r="E721" s="81"/>
      <c r="F721" s="97"/>
      <c r="G721" s="81"/>
      <c r="H721" s="81"/>
      <c r="I721" s="81"/>
      <c r="J721" s="81"/>
      <c r="K721" s="81"/>
      <c r="L721" s="155"/>
      <c r="M721" s="155"/>
      <c r="N721" s="109"/>
      <c r="O721" s="126"/>
      <c r="P721" s="126"/>
      <c r="Q721" s="126"/>
      <c r="R721" s="127"/>
      <c r="S721" s="127"/>
      <c r="T721" s="127"/>
      <c r="U721" s="127"/>
    </row>
    <row r="722" spans="1:21" ht="15" customHeight="1">
      <c r="A722" s="125"/>
      <c r="B722" s="125"/>
      <c r="C722" s="125"/>
      <c r="D722" s="81"/>
      <c r="E722" s="81"/>
      <c r="F722" s="97"/>
      <c r="G722" s="81"/>
      <c r="H722" s="81"/>
      <c r="I722" s="81"/>
      <c r="J722" s="81"/>
      <c r="K722" s="81"/>
      <c r="L722" s="155"/>
      <c r="M722" s="155"/>
      <c r="N722" s="109"/>
      <c r="O722" s="126"/>
      <c r="P722" s="126"/>
      <c r="Q722" s="126"/>
      <c r="R722" s="127"/>
      <c r="S722" s="127"/>
      <c r="T722" s="127"/>
      <c r="U722" s="127"/>
    </row>
    <row r="723" spans="1:21" ht="15" customHeight="1">
      <c r="A723" s="125"/>
      <c r="B723" s="125"/>
      <c r="C723" s="125"/>
      <c r="D723" s="81"/>
      <c r="E723" s="81"/>
      <c r="F723" s="97"/>
      <c r="G723" s="81"/>
      <c r="H723" s="81"/>
      <c r="I723" s="81"/>
      <c r="J723" s="81"/>
      <c r="K723" s="81"/>
      <c r="L723" s="155"/>
      <c r="M723" s="155"/>
      <c r="N723" s="109"/>
      <c r="O723" s="126"/>
      <c r="P723" s="126"/>
      <c r="Q723" s="126"/>
      <c r="R723" s="127"/>
      <c r="S723" s="127"/>
      <c r="T723" s="127"/>
      <c r="U723" s="127"/>
    </row>
    <row r="724" spans="1:21" ht="15" customHeight="1">
      <c r="A724" s="125"/>
      <c r="B724" s="125"/>
      <c r="C724" s="125"/>
      <c r="D724" s="81"/>
      <c r="E724" s="81"/>
      <c r="F724" s="97"/>
      <c r="G724" s="81"/>
      <c r="H724" s="81"/>
      <c r="I724" s="81"/>
      <c r="J724" s="81"/>
      <c r="K724" s="81"/>
      <c r="L724" s="155"/>
      <c r="M724" s="155"/>
      <c r="N724" s="109"/>
      <c r="O724" s="126"/>
      <c r="P724" s="126"/>
      <c r="Q724" s="126"/>
      <c r="R724" s="127"/>
      <c r="S724" s="127"/>
      <c r="T724" s="127"/>
      <c r="U724" s="127"/>
    </row>
    <row r="725" spans="1:21" ht="15" customHeight="1">
      <c r="A725" s="125"/>
      <c r="B725" s="125"/>
      <c r="C725" s="125"/>
      <c r="D725" s="81"/>
      <c r="E725" s="81"/>
      <c r="F725" s="97"/>
      <c r="G725" s="81"/>
      <c r="H725" s="81"/>
      <c r="I725" s="81"/>
      <c r="J725" s="81"/>
      <c r="K725" s="81"/>
      <c r="L725" s="155"/>
      <c r="M725" s="155"/>
      <c r="N725" s="109"/>
      <c r="O725" s="126"/>
      <c r="P725" s="126"/>
      <c r="Q725" s="126"/>
      <c r="R725" s="127"/>
      <c r="S725" s="127"/>
      <c r="T725" s="127"/>
      <c r="U725" s="127"/>
    </row>
    <row r="726" spans="1:21" ht="15" customHeight="1">
      <c r="A726" s="125"/>
      <c r="B726" s="125"/>
      <c r="C726" s="125"/>
      <c r="D726" s="81"/>
      <c r="E726" s="81"/>
      <c r="F726" s="97"/>
      <c r="G726" s="81"/>
      <c r="H726" s="81"/>
      <c r="I726" s="81"/>
      <c r="J726" s="81"/>
      <c r="K726" s="81"/>
      <c r="L726" s="155"/>
      <c r="M726" s="155"/>
      <c r="N726" s="109"/>
      <c r="O726" s="126"/>
      <c r="P726" s="126"/>
      <c r="Q726" s="126"/>
      <c r="R726" s="127"/>
      <c r="S726" s="127"/>
      <c r="T726" s="127"/>
      <c r="U726" s="127"/>
    </row>
    <row r="727" spans="1:21" ht="15" customHeight="1">
      <c r="A727" s="125"/>
      <c r="B727" s="125"/>
      <c r="C727" s="125"/>
      <c r="D727" s="81"/>
      <c r="E727" s="81"/>
      <c r="F727" s="97"/>
      <c r="G727" s="81"/>
      <c r="H727" s="81"/>
      <c r="I727" s="81"/>
      <c r="J727" s="81"/>
      <c r="K727" s="81"/>
      <c r="L727" s="155"/>
      <c r="M727" s="155"/>
      <c r="N727" s="109"/>
      <c r="O727" s="126"/>
      <c r="P727" s="126"/>
      <c r="Q727" s="126"/>
      <c r="R727" s="127"/>
      <c r="S727" s="127"/>
      <c r="T727" s="127"/>
      <c r="U727" s="127"/>
    </row>
    <row r="728" spans="1:21" ht="15" customHeight="1">
      <c r="A728" s="125"/>
      <c r="B728" s="125"/>
      <c r="C728" s="125"/>
      <c r="D728" s="81"/>
      <c r="E728" s="81"/>
      <c r="F728" s="97"/>
      <c r="G728" s="81"/>
      <c r="H728" s="81"/>
      <c r="I728" s="81"/>
      <c r="J728" s="81"/>
      <c r="K728" s="81"/>
      <c r="L728" s="155"/>
      <c r="M728" s="155"/>
      <c r="N728" s="109"/>
      <c r="O728" s="126"/>
      <c r="P728" s="126"/>
      <c r="Q728" s="126"/>
      <c r="R728" s="127"/>
      <c r="S728" s="127"/>
      <c r="T728" s="127"/>
      <c r="U728" s="127"/>
    </row>
    <row r="729" spans="1:21" ht="15" customHeight="1">
      <c r="A729" s="125"/>
      <c r="B729" s="125"/>
      <c r="C729" s="125"/>
      <c r="D729" s="81"/>
      <c r="E729" s="81"/>
      <c r="F729" s="97"/>
      <c r="G729" s="81"/>
      <c r="H729" s="81"/>
      <c r="I729" s="81"/>
      <c r="J729" s="81"/>
      <c r="K729" s="81"/>
      <c r="L729" s="155"/>
      <c r="M729" s="155"/>
      <c r="N729" s="109"/>
      <c r="O729" s="126"/>
      <c r="P729" s="126"/>
      <c r="Q729" s="126"/>
      <c r="R729" s="127"/>
      <c r="S729" s="127"/>
      <c r="T729" s="127"/>
      <c r="U729" s="127"/>
    </row>
    <row r="730" spans="1:21" ht="15" customHeight="1">
      <c r="A730" s="125"/>
      <c r="B730" s="125"/>
      <c r="C730" s="125"/>
      <c r="D730" s="81"/>
      <c r="E730" s="81"/>
      <c r="F730" s="97"/>
      <c r="G730" s="81"/>
      <c r="H730" s="81"/>
      <c r="I730" s="81"/>
      <c r="J730" s="81"/>
      <c r="K730" s="81"/>
      <c r="L730" s="155"/>
      <c r="M730" s="155"/>
      <c r="N730" s="109"/>
      <c r="O730" s="126"/>
      <c r="P730" s="126"/>
      <c r="Q730" s="126"/>
      <c r="R730" s="127"/>
      <c r="S730" s="127"/>
      <c r="T730" s="127"/>
      <c r="U730" s="127"/>
    </row>
    <row r="731" spans="1:21" ht="15" customHeight="1">
      <c r="A731" s="125"/>
      <c r="B731" s="125"/>
      <c r="C731" s="125"/>
      <c r="D731" s="81"/>
      <c r="E731" s="81"/>
      <c r="F731" s="97"/>
      <c r="G731" s="81"/>
      <c r="H731" s="81"/>
      <c r="I731" s="81"/>
      <c r="J731" s="81"/>
      <c r="K731" s="81"/>
      <c r="L731" s="155"/>
      <c r="M731" s="155"/>
      <c r="N731" s="109"/>
      <c r="O731" s="126"/>
      <c r="P731" s="126"/>
      <c r="Q731" s="126"/>
      <c r="R731" s="127"/>
      <c r="S731" s="127"/>
      <c r="T731" s="127"/>
      <c r="U731" s="127"/>
    </row>
    <row r="732" spans="1:21" ht="15" customHeight="1">
      <c r="A732" s="125"/>
      <c r="B732" s="125"/>
      <c r="C732" s="125"/>
      <c r="D732" s="81"/>
      <c r="E732" s="81"/>
      <c r="F732" s="97"/>
      <c r="G732" s="81"/>
      <c r="H732" s="81"/>
      <c r="I732" s="81"/>
      <c r="J732" s="81"/>
      <c r="K732" s="81"/>
      <c r="L732" s="155"/>
      <c r="M732" s="155"/>
      <c r="N732" s="109"/>
      <c r="O732" s="126"/>
      <c r="P732" s="126"/>
      <c r="Q732" s="126"/>
      <c r="R732" s="127"/>
      <c r="S732" s="127"/>
      <c r="T732" s="127"/>
      <c r="U732" s="127"/>
    </row>
    <row r="733" spans="1:21" ht="15" customHeight="1">
      <c r="A733" s="125"/>
      <c r="B733" s="125"/>
      <c r="C733" s="125"/>
      <c r="D733" s="81"/>
      <c r="E733" s="81"/>
      <c r="F733" s="97"/>
      <c r="G733" s="81"/>
      <c r="H733" s="81"/>
      <c r="I733" s="81"/>
      <c r="J733" s="81"/>
      <c r="K733" s="81"/>
      <c r="L733" s="155"/>
      <c r="M733" s="155"/>
      <c r="N733" s="109"/>
      <c r="O733" s="126"/>
      <c r="P733" s="126"/>
      <c r="Q733" s="126"/>
      <c r="R733" s="127"/>
      <c r="S733" s="127"/>
      <c r="T733" s="127"/>
      <c r="U733" s="127"/>
    </row>
    <row r="734" spans="1:21" ht="15" customHeight="1">
      <c r="A734" s="125"/>
      <c r="B734" s="125"/>
      <c r="C734" s="125"/>
      <c r="D734" s="81"/>
      <c r="E734" s="81"/>
      <c r="F734" s="97"/>
      <c r="G734" s="81"/>
      <c r="H734" s="81"/>
      <c r="I734" s="81"/>
      <c r="J734" s="81"/>
      <c r="K734" s="81"/>
      <c r="L734" s="155"/>
      <c r="M734" s="155"/>
      <c r="N734" s="109"/>
      <c r="O734" s="126"/>
      <c r="P734" s="126"/>
      <c r="Q734" s="126"/>
      <c r="R734" s="127"/>
      <c r="S734" s="127"/>
      <c r="T734" s="127"/>
      <c r="U734" s="127"/>
    </row>
    <row r="735" spans="1:21" ht="15" customHeight="1">
      <c r="A735" s="125"/>
      <c r="B735" s="125"/>
      <c r="C735" s="125"/>
      <c r="D735" s="81"/>
      <c r="E735" s="81"/>
      <c r="F735" s="97"/>
      <c r="G735" s="81"/>
      <c r="H735" s="81"/>
      <c r="I735" s="81"/>
      <c r="J735" s="81"/>
      <c r="K735" s="81"/>
      <c r="L735" s="155"/>
      <c r="M735" s="155"/>
      <c r="N735" s="109"/>
      <c r="O735" s="126"/>
      <c r="P735" s="126"/>
      <c r="Q735" s="126"/>
      <c r="R735" s="127"/>
      <c r="S735" s="127"/>
      <c r="T735" s="127"/>
      <c r="U735" s="127"/>
    </row>
    <row r="736" spans="1:21" ht="15" customHeight="1">
      <c r="A736" s="125"/>
      <c r="B736" s="125"/>
      <c r="C736" s="125"/>
      <c r="D736" s="81"/>
      <c r="E736" s="81"/>
      <c r="F736" s="97"/>
      <c r="G736" s="81"/>
      <c r="H736" s="81"/>
      <c r="I736" s="81"/>
      <c r="J736" s="81"/>
      <c r="K736" s="81"/>
      <c r="L736" s="155"/>
      <c r="M736" s="155"/>
      <c r="N736" s="109"/>
      <c r="O736" s="126"/>
      <c r="P736" s="126"/>
      <c r="Q736" s="126"/>
      <c r="R736" s="127"/>
      <c r="S736" s="127"/>
      <c r="T736" s="127"/>
      <c r="U736" s="127"/>
    </row>
    <row r="737" spans="1:21" ht="15" customHeight="1">
      <c r="A737" s="125"/>
      <c r="B737" s="125"/>
      <c r="C737" s="125"/>
      <c r="D737" s="81"/>
      <c r="E737" s="81"/>
      <c r="F737" s="97"/>
      <c r="G737" s="81"/>
      <c r="H737" s="81"/>
      <c r="I737" s="81"/>
      <c r="J737" s="81"/>
      <c r="K737" s="81"/>
      <c r="L737" s="155"/>
      <c r="M737" s="155"/>
      <c r="N737" s="109"/>
      <c r="O737" s="126"/>
      <c r="P737" s="126"/>
      <c r="Q737" s="126"/>
      <c r="R737" s="127"/>
      <c r="S737" s="127"/>
      <c r="T737" s="127"/>
      <c r="U737" s="127"/>
    </row>
    <row r="738" spans="1:21" ht="15" customHeight="1">
      <c r="A738" s="125"/>
      <c r="B738" s="125"/>
      <c r="C738" s="125"/>
      <c r="D738" s="81"/>
      <c r="E738" s="81"/>
      <c r="F738" s="97"/>
      <c r="G738" s="81"/>
      <c r="H738" s="81"/>
      <c r="I738" s="81"/>
      <c r="J738" s="81"/>
      <c r="K738" s="81"/>
      <c r="L738" s="155"/>
      <c r="M738" s="155"/>
      <c r="N738" s="109"/>
      <c r="O738" s="126"/>
      <c r="P738" s="126"/>
      <c r="Q738" s="126"/>
      <c r="R738" s="127"/>
      <c r="S738" s="127"/>
      <c r="T738" s="127"/>
      <c r="U738" s="127"/>
    </row>
    <row r="739" spans="1:21" ht="15" customHeight="1">
      <c r="A739" s="125"/>
      <c r="B739" s="125"/>
      <c r="C739" s="125"/>
      <c r="D739" s="81"/>
      <c r="E739" s="81"/>
      <c r="F739" s="97"/>
      <c r="G739" s="81"/>
      <c r="H739" s="81"/>
      <c r="I739" s="81"/>
      <c r="J739" s="81"/>
      <c r="K739" s="81"/>
      <c r="L739" s="155"/>
      <c r="M739" s="155"/>
      <c r="N739" s="109"/>
      <c r="O739" s="126"/>
      <c r="P739" s="126"/>
      <c r="Q739" s="126"/>
      <c r="R739" s="127"/>
      <c r="S739" s="127"/>
      <c r="T739" s="127"/>
      <c r="U739" s="127"/>
    </row>
    <row r="740" spans="1:21" ht="15" customHeight="1">
      <c r="A740" s="125"/>
      <c r="B740" s="125"/>
      <c r="C740" s="125"/>
      <c r="D740" s="81"/>
      <c r="E740" s="81"/>
      <c r="F740" s="97"/>
      <c r="G740" s="81"/>
      <c r="H740" s="81"/>
      <c r="I740" s="81"/>
      <c r="J740" s="81"/>
      <c r="K740" s="81"/>
      <c r="L740" s="155"/>
      <c r="M740" s="155"/>
      <c r="N740" s="109"/>
      <c r="O740" s="126"/>
      <c r="P740" s="126"/>
      <c r="Q740" s="126"/>
      <c r="R740" s="127"/>
      <c r="S740" s="127"/>
      <c r="T740" s="127"/>
      <c r="U740" s="127"/>
    </row>
    <row r="741" spans="1:21" ht="15" customHeight="1">
      <c r="A741" s="125"/>
      <c r="B741" s="125"/>
      <c r="C741" s="125"/>
      <c r="D741" s="81"/>
      <c r="E741" s="81"/>
      <c r="F741" s="97"/>
      <c r="G741" s="81"/>
      <c r="H741" s="81"/>
      <c r="I741" s="81"/>
      <c r="J741" s="81"/>
      <c r="K741" s="81"/>
      <c r="L741" s="155"/>
      <c r="M741" s="155"/>
      <c r="N741" s="109"/>
      <c r="O741" s="126"/>
      <c r="P741" s="126"/>
      <c r="Q741" s="126"/>
      <c r="R741" s="127"/>
      <c r="S741" s="127"/>
      <c r="T741" s="127"/>
      <c r="U741" s="127"/>
    </row>
    <row r="742" spans="1:21" ht="15" customHeight="1">
      <c r="A742" s="125"/>
      <c r="B742" s="125"/>
      <c r="C742" s="125"/>
      <c r="D742" s="81"/>
      <c r="E742" s="81"/>
      <c r="F742" s="97"/>
      <c r="G742" s="81"/>
      <c r="H742" s="81"/>
      <c r="I742" s="81"/>
      <c r="J742" s="81"/>
      <c r="K742" s="81"/>
      <c r="L742" s="155"/>
      <c r="M742" s="155"/>
      <c r="N742" s="109"/>
      <c r="O742" s="126"/>
      <c r="P742" s="126"/>
      <c r="Q742" s="126"/>
      <c r="R742" s="127"/>
      <c r="S742" s="127"/>
      <c r="T742" s="127"/>
      <c r="U742" s="127"/>
    </row>
    <row r="743" spans="1:21" ht="15" customHeight="1">
      <c r="A743" s="125"/>
      <c r="B743" s="125"/>
      <c r="C743" s="125"/>
      <c r="D743" s="81"/>
      <c r="E743" s="81"/>
      <c r="F743" s="97"/>
      <c r="G743" s="81"/>
      <c r="H743" s="81"/>
      <c r="I743" s="81"/>
      <c r="J743" s="81"/>
      <c r="K743" s="81"/>
      <c r="L743" s="155"/>
      <c r="M743" s="155"/>
      <c r="N743" s="109"/>
      <c r="O743" s="126"/>
      <c r="P743" s="126"/>
      <c r="Q743" s="126"/>
      <c r="R743" s="127"/>
      <c r="S743" s="127"/>
      <c r="T743" s="127"/>
      <c r="U743" s="127"/>
    </row>
    <row r="744" spans="1:21" ht="15" customHeight="1">
      <c r="A744" s="125"/>
      <c r="B744" s="125"/>
      <c r="C744" s="125"/>
      <c r="D744" s="81"/>
      <c r="E744" s="81"/>
      <c r="F744" s="97"/>
      <c r="G744" s="81"/>
      <c r="H744" s="81"/>
      <c r="I744" s="81"/>
      <c r="J744" s="81"/>
      <c r="K744" s="81"/>
      <c r="L744" s="155"/>
      <c r="M744" s="155"/>
      <c r="N744" s="109"/>
      <c r="O744" s="126"/>
      <c r="P744" s="126"/>
      <c r="Q744" s="126"/>
      <c r="R744" s="127"/>
      <c r="S744" s="127"/>
      <c r="T744" s="127"/>
      <c r="U744" s="127"/>
    </row>
    <row r="745" spans="1:21" ht="15" customHeight="1">
      <c r="A745" s="125"/>
      <c r="B745" s="125"/>
      <c r="C745" s="125"/>
      <c r="D745" s="81"/>
      <c r="E745" s="81"/>
      <c r="F745" s="97"/>
      <c r="G745" s="81"/>
      <c r="H745" s="81"/>
      <c r="I745" s="81"/>
      <c r="J745" s="81"/>
      <c r="K745" s="81"/>
      <c r="L745" s="155"/>
      <c r="M745" s="155"/>
      <c r="N745" s="109"/>
      <c r="O745" s="126"/>
      <c r="P745" s="126"/>
      <c r="Q745" s="126"/>
      <c r="R745" s="127"/>
      <c r="S745" s="127"/>
      <c r="T745" s="127"/>
      <c r="U745" s="127"/>
    </row>
    <row r="746" spans="1:21" ht="15" customHeight="1">
      <c r="A746" s="125"/>
      <c r="B746" s="125"/>
      <c r="C746" s="125"/>
      <c r="D746" s="81"/>
      <c r="E746" s="81"/>
      <c r="F746" s="97"/>
      <c r="G746" s="81"/>
      <c r="H746" s="81"/>
      <c r="I746" s="81"/>
      <c r="J746" s="81"/>
      <c r="K746" s="81"/>
      <c r="L746" s="155"/>
      <c r="M746" s="155"/>
      <c r="N746" s="109"/>
      <c r="O746" s="126"/>
      <c r="P746" s="126"/>
      <c r="Q746" s="126"/>
      <c r="R746" s="127"/>
      <c r="S746" s="127"/>
      <c r="T746" s="127"/>
      <c r="U746" s="127"/>
    </row>
    <row r="747" spans="1:21" ht="15" customHeight="1">
      <c r="A747" s="125"/>
      <c r="B747" s="125"/>
      <c r="C747" s="125"/>
      <c r="D747" s="81"/>
      <c r="E747" s="81"/>
      <c r="F747" s="97"/>
      <c r="G747" s="81"/>
      <c r="H747" s="81"/>
      <c r="I747" s="81"/>
      <c r="J747" s="81"/>
      <c r="K747" s="81"/>
      <c r="L747" s="155"/>
      <c r="M747" s="155"/>
      <c r="N747" s="109"/>
      <c r="O747" s="126"/>
      <c r="P747" s="126"/>
      <c r="Q747" s="126"/>
      <c r="R747" s="127"/>
      <c r="S747" s="127"/>
      <c r="T747" s="127"/>
      <c r="U747" s="127"/>
    </row>
    <row r="748" spans="1:21" ht="15" customHeight="1">
      <c r="A748" s="125"/>
      <c r="B748" s="125"/>
      <c r="C748" s="125"/>
      <c r="D748" s="81"/>
      <c r="E748" s="81"/>
      <c r="F748" s="97"/>
      <c r="G748" s="81"/>
      <c r="H748" s="81"/>
      <c r="I748" s="81"/>
      <c r="J748" s="81"/>
      <c r="K748" s="81"/>
      <c r="L748" s="155"/>
      <c r="M748" s="155"/>
      <c r="N748" s="109"/>
      <c r="O748" s="126"/>
      <c r="P748" s="126"/>
      <c r="Q748" s="126"/>
      <c r="R748" s="127"/>
      <c r="S748" s="127"/>
      <c r="T748" s="127"/>
      <c r="U748" s="127"/>
    </row>
    <row r="749" spans="1:21" ht="15" customHeight="1">
      <c r="A749" s="125"/>
      <c r="B749" s="125"/>
      <c r="C749" s="125"/>
      <c r="D749" s="81"/>
      <c r="E749" s="81"/>
      <c r="F749" s="97"/>
      <c r="G749" s="81"/>
      <c r="H749" s="81"/>
      <c r="I749" s="81"/>
      <c r="J749" s="81"/>
      <c r="K749" s="81"/>
      <c r="L749" s="155"/>
      <c r="M749" s="155"/>
      <c r="N749" s="109"/>
      <c r="O749" s="126"/>
      <c r="P749" s="126"/>
      <c r="Q749" s="126"/>
      <c r="R749" s="127"/>
      <c r="S749" s="127"/>
      <c r="T749" s="127"/>
      <c r="U749" s="127"/>
    </row>
    <row r="750" spans="1:21" ht="15" customHeight="1">
      <c r="A750" s="125"/>
      <c r="B750" s="125"/>
      <c r="C750" s="125"/>
      <c r="D750" s="81"/>
      <c r="E750" s="81"/>
      <c r="F750" s="97"/>
      <c r="G750" s="81"/>
      <c r="H750" s="81"/>
      <c r="I750" s="81"/>
      <c r="J750" s="81"/>
      <c r="K750" s="81"/>
      <c r="L750" s="155"/>
      <c r="M750" s="155"/>
      <c r="N750" s="109"/>
      <c r="O750" s="126"/>
      <c r="P750" s="126"/>
      <c r="Q750" s="126"/>
      <c r="R750" s="127"/>
      <c r="S750" s="127"/>
      <c r="T750" s="127"/>
      <c r="U750" s="127"/>
    </row>
    <row r="751" spans="1:21" ht="15" customHeight="1">
      <c r="A751" s="125"/>
      <c r="B751" s="125"/>
      <c r="C751" s="125"/>
      <c r="D751" s="81"/>
      <c r="E751" s="81"/>
      <c r="F751" s="97"/>
      <c r="G751" s="81"/>
      <c r="H751" s="81"/>
      <c r="I751" s="81"/>
      <c r="J751" s="81"/>
      <c r="K751" s="81"/>
      <c r="L751" s="155"/>
      <c r="M751" s="155"/>
      <c r="N751" s="109"/>
      <c r="O751" s="126"/>
      <c r="P751" s="126"/>
      <c r="Q751" s="126"/>
      <c r="R751" s="127"/>
      <c r="S751" s="127"/>
      <c r="T751" s="127"/>
      <c r="U751" s="127"/>
    </row>
    <row r="752" spans="1:21" ht="15" customHeight="1">
      <c r="A752" s="125"/>
      <c r="B752" s="125"/>
      <c r="C752" s="125"/>
      <c r="D752" s="81"/>
      <c r="E752" s="81"/>
      <c r="F752" s="97"/>
      <c r="G752" s="81"/>
      <c r="H752" s="81"/>
      <c r="I752" s="81"/>
      <c r="J752" s="81"/>
      <c r="K752" s="81"/>
      <c r="L752" s="155"/>
      <c r="M752" s="155"/>
      <c r="N752" s="109"/>
      <c r="O752" s="126"/>
      <c r="P752" s="126"/>
      <c r="Q752" s="126"/>
      <c r="R752" s="127"/>
      <c r="S752" s="127"/>
      <c r="T752" s="127"/>
      <c r="U752" s="127"/>
    </row>
    <row r="753" spans="1:21" ht="15" customHeight="1">
      <c r="A753" s="125"/>
      <c r="B753" s="125"/>
      <c r="C753" s="125"/>
      <c r="D753" s="81"/>
      <c r="E753" s="81"/>
      <c r="F753" s="97"/>
      <c r="G753" s="81"/>
      <c r="H753" s="81"/>
      <c r="I753" s="81"/>
      <c r="J753" s="81"/>
      <c r="K753" s="81"/>
      <c r="L753" s="155"/>
      <c r="M753" s="155"/>
      <c r="N753" s="109"/>
      <c r="O753" s="126"/>
      <c r="P753" s="126"/>
      <c r="Q753" s="126"/>
      <c r="R753" s="127"/>
      <c r="S753" s="127"/>
      <c r="T753" s="127"/>
      <c r="U753" s="127"/>
    </row>
    <row r="754" spans="1:21" ht="15" customHeight="1">
      <c r="A754" s="125"/>
      <c r="B754" s="125"/>
      <c r="C754" s="125"/>
      <c r="D754" s="81"/>
      <c r="E754" s="81"/>
      <c r="F754" s="97"/>
      <c r="G754" s="81"/>
      <c r="H754" s="81"/>
      <c r="I754" s="81"/>
      <c r="J754" s="81"/>
      <c r="K754" s="81"/>
      <c r="L754" s="155"/>
      <c r="M754" s="155"/>
      <c r="N754" s="109"/>
      <c r="O754" s="126"/>
      <c r="P754" s="126"/>
      <c r="Q754" s="126"/>
      <c r="R754" s="127"/>
      <c r="S754" s="127"/>
      <c r="T754" s="127"/>
      <c r="U754" s="127"/>
    </row>
    <row r="755" spans="1:21" ht="15" customHeight="1">
      <c r="A755" s="125"/>
      <c r="B755" s="125"/>
      <c r="C755" s="125"/>
      <c r="D755" s="81"/>
      <c r="E755" s="81"/>
      <c r="F755" s="97"/>
      <c r="G755" s="81"/>
      <c r="H755" s="81"/>
      <c r="I755" s="81"/>
      <c r="J755" s="81"/>
      <c r="K755" s="81"/>
      <c r="L755" s="155"/>
      <c r="M755" s="155"/>
      <c r="N755" s="109"/>
      <c r="O755" s="126"/>
      <c r="P755" s="126"/>
      <c r="Q755" s="126"/>
      <c r="R755" s="127"/>
      <c r="S755" s="127"/>
      <c r="T755" s="127"/>
      <c r="U755" s="127"/>
    </row>
    <row r="756" spans="1:21" ht="15" customHeight="1">
      <c r="A756" s="125"/>
      <c r="B756" s="125"/>
      <c r="C756" s="125"/>
      <c r="D756" s="81"/>
      <c r="E756" s="81"/>
      <c r="F756" s="97"/>
      <c r="G756" s="81"/>
      <c r="H756" s="81"/>
      <c r="I756" s="81"/>
      <c r="J756" s="81"/>
      <c r="K756" s="81"/>
      <c r="L756" s="155"/>
      <c r="M756" s="155"/>
      <c r="N756" s="109"/>
      <c r="O756" s="126"/>
      <c r="P756" s="126"/>
      <c r="Q756" s="126"/>
      <c r="R756" s="127"/>
      <c r="S756" s="127"/>
      <c r="T756" s="127"/>
      <c r="U756" s="127"/>
    </row>
    <row r="757" spans="1:21" ht="15" customHeight="1">
      <c r="A757" s="125"/>
      <c r="B757" s="125"/>
      <c r="C757" s="125"/>
      <c r="D757" s="81"/>
      <c r="E757" s="81"/>
      <c r="F757" s="97"/>
      <c r="G757" s="81"/>
      <c r="H757" s="81"/>
      <c r="I757" s="81"/>
      <c r="J757" s="81"/>
      <c r="K757" s="81"/>
      <c r="L757" s="155"/>
      <c r="M757" s="155"/>
      <c r="N757" s="109"/>
      <c r="O757" s="126"/>
      <c r="P757" s="126"/>
      <c r="Q757" s="126"/>
      <c r="R757" s="127"/>
      <c r="S757" s="127"/>
      <c r="T757" s="127"/>
      <c r="U757" s="127"/>
    </row>
    <row r="758" spans="1:21" ht="15" customHeight="1">
      <c r="A758" s="125"/>
      <c r="B758" s="125"/>
      <c r="C758" s="125"/>
      <c r="D758" s="81"/>
      <c r="E758" s="81"/>
      <c r="F758" s="97"/>
      <c r="G758" s="81"/>
      <c r="H758" s="81"/>
      <c r="I758" s="81"/>
      <c r="J758" s="81"/>
      <c r="K758" s="81"/>
      <c r="L758" s="155"/>
      <c r="M758" s="155"/>
      <c r="N758" s="109"/>
      <c r="O758" s="126"/>
      <c r="P758" s="126"/>
      <c r="Q758" s="126"/>
      <c r="R758" s="127"/>
      <c r="S758" s="127"/>
      <c r="T758" s="127"/>
      <c r="U758" s="127"/>
    </row>
    <row r="759" spans="1:21" ht="15" customHeight="1">
      <c r="A759" s="125"/>
      <c r="B759" s="125"/>
      <c r="C759" s="125"/>
      <c r="D759" s="81"/>
      <c r="E759" s="81"/>
      <c r="F759" s="97"/>
      <c r="G759" s="81"/>
      <c r="H759" s="81"/>
      <c r="I759" s="81"/>
      <c r="J759" s="81"/>
      <c r="K759" s="81"/>
      <c r="L759" s="155"/>
      <c r="M759" s="155"/>
      <c r="N759" s="109"/>
      <c r="O759" s="126"/>
      <c r="P759" s="126"/>
      <c r="Q759" s="126"/>
      <c r="R759" s="127"/>
      <c r="S759" s="127"/>
      <c r="T759" s="127"/>
      <c r="U759" s="127"/>
    </row>
    <row r="760" spans="1:21" ht="15" customHeight="1">
      <c r="A760" s="125"/>
      <c r="B760" s="125"/>
      <c r="C760" s="125"/>
      <c r="D760" s="81"/>
      <c r="E760" s="81"/>
      <c r="F760" s="97"/>
      <c r="G760" s="81"/>
      <c r="H760" s="81"/>
      <c r="I760" s="81"/>
      <c r="J760" s="81"/>
      <c r="K760" s="81"/>
      <c r="L760" s="155"/>
      <c r="M760" s="155"/>
      <c r="N760" s="109"/>
      <c r="O760" s="126"/>
      <c r="P760" s="126"/>
      <c r="Q760" s="126"/>
      <c r="R760" s="127"/>
      <c r="S760" s="127"/>
      <c r="T760" s="127"/>
      <c r="U760" s="127"/>
    </row>
    <row r="761" spans="1:21" ht="15" customHeight="1">
      <c r="A761" s="125"/>
      <c r="B761" s="125"/>
      <c r="C761" s="125"/>
      <c r="D761" s="81"/>
      <c r="E761" s="81"/>
      <c r="F761" s="97"/>
      <c r="G761" s="81"/>
      <c r="H761" s="81"/>
      <c r="I761" s="81"/>
      <c r="J761" s="81"/>
      <c r="K761" s="81"/>
      <c r="L761" s="155"/>
      <c r="M761" s="155"/>
      <c r="N761" s="109"/>
      <c r="O761" s="126"/>
      <c r="P761" s="126"/>
      <c r="Q761" s="126"/>
      <c r="R761" s="127"/>
      <c r="S761" s="127"/>
      <c r="T761" s="127"/>
      <c r="U761" s="127"/>
    </row>
    <row r="762" spans="1:21" ht="15" customHeight="1">
      <c r="A762" s="125"/>
      <c r="B762" s="125"/>
      <c r="C762" s="125"/>
      <c r="D762" s="81"/>
      <c r="E762" s="81"/>
      <c r="F762" s="97"/>
      <c r="G762" s="81"/>
      <c r="H762" s="81"/>
      <c r="I762" s="81"/>
      <c r="J762" s="81"/>
      <c r="K762" s="81"/>
      <c r="L762" s="155"/>
      <c r="M762" s="155"/>
      <c r="N762" s="109"/>
      <c r="O762" s="126"/>
      <c r="P762" s="126"/>
      <c r="Q762" s="126"/>
      <c r="R762" s="127"/>
      <c r="S762" s="127"/>
      <c r="T762" s="127"/>
      <c r="U762" s="127"/>
    </row>
    <row r="763" spans="1:21" ht="15" customHeight="1">
      <c r="A763" s="125"/>
      <c r="B763" s="125"/>
      <c r="C763" s="125"/>
      <c r="D763" s="81"/>
      <c r="E763" s="81"/>
      <c r="F763" s="97"/>
      <c r="G763" s="81"/>
      <c r="H763" s="81"/>
      <c r="I763" s="81"/>
      <c r="J763" s="81"/>
      <c r="K763" s="81"/>
      <c r="L763" s="155"/>
      <c r="M763" s="155"/>
      <c r="N763" s="109"/>
      <c r="O763" s="126"/>
      <c r="P763" s="126"/>
      <c r="Q763" s="126"/>
      <c r="R763" s="127"/>
      <c r="S763" s="127"/>
      <c r="T763" s="127"/>
      <c r="U763" s="127"/>
    </row>
    <row r="764" spans="1:21" ht="15" customHeight="1">
      <c r="A764" s="125"/>
      <c r="B764" s="125"/>
      <c r="C764" s="125"/>
      <c r="D764" s="81"/>
      <c r="E764" s="81"/>
      <c r="F764" s="97"/>
      <c r="G764" s="81"/>
      <c r="H764" s="81"/>
      <c r="I764" s="81"/>
      <c r="J764" s="81"/>
      <c r="K764" s="81"/>
      <c r="L764" s="155"/>
      <c r="M764" s="155"/>
      <c r="N764" s="109"/>
      <c r="O764" s="126"/>
      <c r="P764" s="126"/>
      <c r="Q764" s="126"/>
      <c r="R764" s="127"/>
      <c r="S764" s="127"/>
      <c r="T764" s="127"/>
      <c r="U764" s="127"/>
    </row>
    <row r="765" spans="1:21" ht="15" customHeight="1">
      <c r="A765" s="125"/>
      <c r="B765" s="125"/>
      <c r="C765" s="125"/>
      <c r="D765" s="81"/>
      <c r="E765" s="81"/>
      <c r="F765" s="97"/>
      <c r="G765" s="81"/>
      <c r="H765" s="81"/>
      <c r="I765" s="81"/>
      <c r="J765" s="81"/>
      <c r="K765" s="81"/>
      <c r="L765" s="155"/>
      <c r="M765" s="155"/>
      <c r="N765" s="109"/>
      <c r="O765" s="126"/>
      <c r="P765" s="126"/>
      <c r="Q765" s="126"/>
      <c r="R765" s="127"/>
      <c r="S765" s="127"/>
      <c r="T765" s="127"/>
      <c r="U765" s="127"/>
    </row>
    <row r="766" spans="1:21" ht="15" customHeight="1">
      <c r="A766" s="125"/>
      <c r="B766" s="125"/>
      <c r="C766" s="125"/>
      <c r="D766" s="81"/>
      <c r="E766" s="81"/>
      <c r="F766" s="97"/>
      <c r="G766" s="81"/>
      <c r="H766" s="81"/>
      <c r="I766" s="81"/>
      <c r="J766" s="81"/>
      <c r="K766" s="81"/>
      <c r="L766" s="155"/>
      <c r="M766" s="155"/>
      <c r="N766" s="109"/>
      <c r="O766" s="126"/>
      <c r="P766" s="126"/>
      <c r="Q766" s="126"/>
      <c r="R766" s="127"/>
      <c r="S766" s="127"/>
      <c r="T766" s="127"/>
      <c r="U766" s="127"/>
    </row>
    <row r="767" spans="1:21" ht="15" customHeight="1">
      <c r="A767" s="125"/>
      <c r="B767" s="125"/>
      <c r="C767" s="125"/>
      <c r="D767" s="81"/>
      <c r="E767" s="81"/>
      <c r="F767" s="97"/>
      <c r="G767" s="81"/>
      <c r="H767" s="81"/>
      <c r="I767" s="81"/>
      <c r="J767" s="81"/>
      <c r="K767" s="81"/>
      <c r="L767" s="155"/>
      <c r="M767" s="155"/>
      <c r="N767" s="109"/>
      <c r="O767" s="126"/>
      <c r="P767" s="126"/>
      <c r="Q767" s="126"/>
      <c r="R767" s="127"/>
      <c r="S767" s="127"/>
      <c r="T767" s="127"/>
      <c r="U767" s="127"/>
    </row>
    <row r="768" spans="1:21" ht="15" customHeight="1">
      <c r="A768" s="125"/>
      <c r="B768" s="125"/>
      <c r="C768" s="125"/>
      <c r="D768" s="81"/>
      <c r="E768" s="81"/>
      <c r="F768" s="97"/>
      <c r="G768" s="81"/>
      <c r="H768" s="81"/>
      <c r="I768" s="81"/>
      <c r="J768" s="81"/>
      <c r="K768" s="81"/>
      <c r="L768" s="155"/>
      <c r="M768" s="155"/>
      <c r="N768" s="109"/>
      <c r="O768" s="126"/>
      <c r="P768" s="126"/>
      <c r="Q768" s="126"/>
      <c r="R768" s="127"/>
      <c r="S768" s="127"/>
      <c r="T768" s="127"/>
      <c r="U768" s="127"/>
    </row>
    <row r="769" spans="1:21" ht="15" customHeight="1">
      <c r="A769" s="125"/>
      <c r="B769" s="125"/>
      <c r="C769" s="125"/>
      <c r="D769" s="81"/>
      <c r="E769" s="81"/>
      <c r="F769" s="97"/>
      <c r="G769" s="81"/>
      <c r="H769" s="81"/>
      <c r="I769" s="81"/>
      <c r="J769" s="81"/>
      <c r="K769" s="81"/>
      <c r="L769" s="155"/>
      <c r="M769" s="155"/>
      <c r="N769" s="109"/>
      <c r="O769" s="126"/>
      <c r="P769" s="126"/>
      <c r="Q769" s="126"/>
      <c r="R769" s="127"/>
      <c r="S769" s="127"/>
      <c r="T769" s="127"/>
      <c r="U769" s="127"/>
    </row>
    <row r="770" spans="1:21" ht="15" customHeight="1">
      <c r="A770" s="125"/>
      <c r="B770" s="125"/>
      <c r="C770" s="125"/>
      <c r="D770" s="81"/>
      <c r="E770" s="81"/>
      <c r="F770" s="97"/>
      <c r="G770" s="81"/>
      <c r="H770" s="81"/>
      <c r="I770" s="81"/>
      <c r="J770" s="81"/>
      <c r="K770" s="81"/>
      <c r="L770" s="155"/>
      <c r="M770" s="155"/>
      <c r="N770" s="109"/>
      <c r="O770" s="126"/>
      <c r="P770" s="126"/>
      <c r="Q770" s="126"/>
      <c r="R770" s="127"/>
      <c r="S770" s="127"/>
      <c r="T770" s="127"/>
      <c r="U770" s="127"/>
    </row>
    <row r="771" spans="1:21" ht="15" customHeight="1">
      <c r="A771" s="125"/>
      <c r="B771" s="125"/>
      <c r="C771" s="125"/>
      <c r="D771" s="81"/>
      <c r="E771" s="81"/>
      <c r="F771" s="97"/>
      <c r="G771" s="81"/>
      <c r="H771" s="81"/>
      <c r="I771" s="81"/>
      <c r="J771" s="81"/>
      <c r="K771" s="81"/>
      <c r="L771" s="155"/>
      <c r="M771" s="155"/>
      <c r="N771" s="109"/>
      <c r="O771" s="126"/>
      <c r="P771" s="126"/>
      <c r="Q771" s="126"/>
      <c r="R771" s="127"/>
      <c r="S771" s="127"/>
      <c r="T771" s="127"/>
      <c r="U771" s="127"/>
    </row>
    <row r="772" spans="1:21" ht="15" customHeight="1">
      <c r="A772" s="125"/>
      <c r="B772" s="125"/>
      <c r="C772" s="125"/>
      <c r="D772" s="81"/>
      <c r="E772" s="81"/>
      <c r="F772" s="97"/>
      <c r="G772" s="81"/>
      <c r="H772" s="81"/>
      <c r="I772" s="81"/>
      <c r="J772" s="81"/>
      <c r="K772" s="81"/>
      <c r="L772" s="155"/>
      <c r="M772" s="155"/>
      <c r="N772" s="109"/>
      <c r="O772" s="126"/>
      <c r="P772" s="126"/>
      <c r="Q772" s="126"/>
      <c r="R772" s="127"/>
      <c r="S772" s="127"/>
      <c r="T772" s="127"/>
      <c r="U772" s="127"/>
    </row>
    <row r="773" spans="1:21" ht="15" customHeight="1">
      <c r="A773" s="125"/>
      <c r="B773" s="125"/>
      <c r="C773" s="125"/>
      <c r="D773" s="81"/>
      <c r="E773" s="81"/>
      <c r="F773" s="97"/>
      <c r="G773" s="81"/>
      <c r="H773" s="81"/>
      <c r="I773" s="81"/>
      <c r="J773" s="81"/>
      <c r="K773" s="81"/>
      <c r="L773" s="155"/>
      <c r="M773" s="155"/>
      <c r="N773" s="109"/>
      <c r="O773" s="126"/>
      <c r="P773" s="126"/>
      <c r="Q773" s="126"/>
      <c r="R773" s="127"/>
      <c r="S773" s="127"/>
      <c r="T773" s="127"/>
      <c r="U773" s="127"/>
    </row>
    <row r="774" spans="1:21" ht="15" customHeight="1">
      <c r="A774" s="125"/>
      <c r="B774" s="125"/>
      <c r="C774" s="125"/>
      <c r="D774" s="81"/>
      <c r="E774" s="81"/>
      <c r="F774" s="97"/>
      <c r="G774" s="81"/>
      <c r="H774" s="81"/>
      <c r="I774" s="81"/>
      <c r="J774" s="81"/>
      <c r="K774" s="81"/>
      <c r="L774" s="155"/>
      <c r="M774" s="155"/>
      <c r="N774" s="109"/>
      <c r="O774" s="126"/>
      <c r="P774" s="126"/>
      <c r="Q774" s="126"/>
      <c r="R774" s="127"/>
      <c r="S774" s="127"/>
      <c r="T774" s="127"/>
      <c r="U774" s="127"/>
    </row>
    <row r="775" spans="1:21" ht="15" customHeight="1">
      <c r="A775" s="125"/>
      <c r="B775" s="125"/>
      <c r="C775" s="125"/>
      <c r="D775" s="81"/>
      <c r="E775" s="81"/>
      <c r="F775" s="97"/>
      <c r="G775" s="81"/>
      <c r="H775" s="81"/>
      <c r="I775" s="81"/>
      <c r="J775" s="81"/>
      <c r="K775" s="81"/>
      <c r="L775" s="155"/>
      <c r="M775" s="155"/>
      <c r="N775" s="109"/>
      <c r="O775" s="126"/>
      <c r="P775" s="126"/>
      <c r="Q775" s="126"/>
      <c r="R775" s="127"/>
      <c r="S775" s="127"/>
      <c r="T775" s="127"/>
      <c r="U775" s="127"/>
    </row>
    <row r="776" spans="1:21" ht="15" customHeight="1">
      <c r="A776" s="125"/>
      <c r="B776" s="125"/>
      <c r="C776" s="125"/>
      <c r="D776" s="81"/>
      <c r="E776" s="81"/>
      <c r="F776" s="97"/>
      <c r="G776" s="81"/>
      <c r="H776" s="81"/>
      <c r="I776" s="81"/>
      <c r="J776" s="81"/>
      <c r="K776" s="81"/>
      <c r="L776" s="155"/>
      <c r="M776" s="155"/>
      <c r="N776" s="109"/>
      <c r="O776" s="126"/>
      <c r="P776" s="126"/>
      <c r="Q776" s="126"/>
      <c r="R776" s="127"/>
      <c r="S776" s="127"/>
      <c r="T776" s="127"/>
      <c r="U776" s="127"/>
    </row>
    <row r="777" spans="1:21" ht="15" customHeight="1">
      <c r="A777" s="125"/>
      <c r="B777" s="125"/>
      <c r="C777" s="125"/>
      <c r="D777" s="81"/>
      <c r="E777" s="81"/>
      <c r="F777" s="97"/>
      <c r="G777" s="81"/>
      <c r="H777" s="81"/>
      <c r="I777" s="81"/>
      <c r="J777" s="81"/>
      <c r="K777" s="81"/>
      <c r="L777" s="155"/>
      <c r="M777" s="155"/>
      <c r="N777" s="109"/>
      <c r="O777" s="126"/>
      <c r="P777" s="126"/>
      <c r="Q777" s="126"/>
      <c r="R777" s="127"/>
      <c r="S777" s="127"/>
      <c r="T777" s="127"/>
      <c r="U777" s="127"/>
    </row>
    <row r="778" spans="1:21" ht="15" customHeight="1">
      <c r="A778" s="125"/>
      <c r="B778" s="125"/>
      <c r="C778" s="125"/>
      <c r="D778" s="81"/>
      <c r="E778" s="81"/>
      <c r="F778" s="97"/>
      <c r="G778" s="81"/>
      <c r="H778" s="81"/>
      <c r="I778" s="81"/>
      <c r="J778" s="81"/>
      <c r="K778" s="81"/>
      <c r="L778" s="155"/>
      <c r="M778" s="155"/>
      <c r="N778" s="109"/>
      <c r="O778" s="126"/>
      <c r="P778" s="126"/>
      <c r="Q778" s="126"/>
      <c r="R778" s="127"/>
      <c r="S778" s="127"/>
      <c r="T778" s="127"/>
      <c r="U778" s="127"/>
    </row>
    <row r="779" spans="1:21" ht="15" customHeight="1">
      <c r="A779" s="125"/>
      <c r="B779" s="125"/>
      <c r="C779" s="125"/>
      <c r="D779" s="81"/>
      <c r="E779" s="81"/>
      <c r="F779" s="97"/>
      <c r="G779" s="81"/>
      <c r="H779" s="81"/>
      <c r="I779" s="81"/>
      <c r="J779" s="81"/>
      <c r="K779" s="81"/>
      <c r="L779" s="155"/>
      <c r="M779" s="155"/>
      <c r="N779" s="109"/>
      <c r="O779" s="126"/>
      <c r="P779" s="126"/>
      <c r="Q779" s="126"/>
      <c r="R779" s="127"/>
      <c r="S779" s="127"/>
      <c r="T779" s="127"/>
      <c r="U779" s="127"/>
    </row>
    <row r="780" spans="1:21" ht="15" customHeight="1">
      <c r="A780" s="125"/>
      <c r="B780" s="125"/>
      <c r="C780" s="125"/>
      <c r="D780" s="81"/>
      <c r="E780" s="81"/>
      <c r="F780" s="97"/>
      <c r="G780" s="81"/>
      <c r="H780" s="81"/>
      <c r="I780" s="81"/>
      <c r="J780" s="81"/>
      <c r="K780" s="81"/>
      <c r="L780" s="155"/>
      <c r="M780" s="155"/>
      <c r="N780" s="109"/>
      <c r="O780" s="126"/>
      <c r="P780" s="126"/>
      <c r="Q780" s="126"/>
      <c r="R780" s="127"/>
      <c r="S780" s="127"/>
      <c r="T780" s="127"/>
      <c r="U780" s="127"/>
    </row>
    <row r="781" spans="1:21" ht="15" customHeight="1">
      <c r="A781" s="125"/>
      <c r="B781" s="125"/>
      <c r="C781" s="125"/>
      <c r="D781" s="81"/>
      <c r="E781" s="81"/>
      <c r="F781" s="97"/>
      <c r="G781" s="81"/>
      <c r="H781" s="81"/>
      <c r="I781" s="81"/>
      <c r="J781" s="81"/>
      <c r="K781" s="81"/>
      <c r="L781" s="155"/>
      <c r="M781" s="155"/>
      <c r="N781" s="109"/>
      <c r="O781" s="126"/>
      <c r="P781" s="126"/>
      <c r="Q781" s="126"/>
      <c r="R781" s="127"/>
      <c r="S781" s="127"/>
      <c r="T781" s="127"/>
      <c r="U781" s="127"/>
    </row>
    <row r="782" spans="1:21" ht="15" customHeight="1">
      <c r="A782" s="125"/>
      <c r="B782" s="125"/>
      <c r="C782" s="125"/>
      <c r="D782" s="81"/>
      <c r="E782" s="81"/>
      <c r="F782" s="97"/>
      <c r="G782" s="81"/>
      <c r="H782" s="81"/>
      <c r="I782" s="81"/>
      <c r="J782" s="81"/>
      <c r="K782" s="81"/>
      <c r="L782" s="155"/>
      <c r="M782" s="155"/>
      <c r="N782" s="109"/>
      <c r="O782" s="126"/>
      <c r="P782" s="126"/>
      <c r="Q782" s="126"/>
      <c r="R782" s="127"/>
      <c r="S782" s="127"/>
      <c r="T782" s="127"/>
      <c r="U782" s="127"/>
    </row>
    <row r="783" spans="1:21" ht="15" customHeight="1">
      <c r="A783" s="125"/>
      <c r="B783" s="125"/>
      <c r="C783" s="125"/>
      <c r="D783" s="81"/>
      <c r="E783" s="81"/>
      <c r="F783" s="97"/>
      <c r="G783" s="81"/>
      <c r="H783" s="81"/>
      <c r="I783" s="81"/>
      <c r="J783" s="81"/>
      <c r="K783" s="81"/>
      <c r="L783" s="155"/>
      <c r="M783" s="155"/>
      <c r="N783" s="109"/>
      <c r="O783" s="126"/>
      <c r="P783" s="126"/>
      <c r="Q783" s="126"/>
      <c r="R783" s="127"/>
      <c r="S783" s="127"/>
      <c r="T783" s="127"/>
      <c r="U783" s="127"/>
    </row>
    <row r="784" spans="1:21" ht="15" customHeight="1">
      <c r="A784" s="125"/>
      <c r="B784" s="125"/>
      <c r="C784" s="125"/>
      <c r="D784" s="81"/>
      <c r="E784" s="81"/>
      <c r="F784" s="97"/>
      <c r="G784" s="81"/>
      <c r="H784" s="81"/>
      <c r="I784" s="81"/>
      <c r="J784" s="81"/>
      <c r="K784" s="81"/>
      <c r="L784" s="155"/>
      <c r="M784" s="155"/>
      <c r="N784" s="109"/>
      <c r="O784" s="126"/>
      <c r="P784" s="126"/>
      <c r="Q784" s="126"/>
      <c r="R784" s="127"/>
      <c r="S784" s="127"/>
      <c r="T784" s="127"/>
      <c r="U784" s="127"/>
    </row>
    <row r="785" spans="1:21" ht="15" customHeight="1">
      <c r="A785" s="125"/>
      <c r="B785" s="125"/>
      <c r="C785" s="125"/>
      <c r="D785" s="81"/>
      <c r="E785" s="81"/>
      <c r="F785" s="97"/>
      <c r="G785" s="81"/>
      <c r="H785" s="81"/>
      <c r="I785" s="81"/>
      <c r="J785" s="81"/>
      <c r="K785" s="81"/>
      <c r="L785" s="155"/>
      <c r="M785" s="155"/>
      <c r="N785" s="109"/>
      <c r="O785" s="126"/>
      <c r="P785" s="126"/>
      <c r="Q785" s="126"/>
      <c r="R785" s="127"/>
      <c r="S785" s="127"/>
      <c r="T785" s="127"/>
      <c r="U785" s="127"/>
    </row>
    <row r="786" spans="1:21" ht="15" customHeight="1">
      <c r="A786" s="125"/>
      <c r="B786" s="125"/>
      <c r="C786" s="125"/>
      <c r="D786" s="81"/>
      <c r="E786" s="81"/>
      <c r="F786" s="97"/>
      <c r="G786" s="81"/>
      <c r="H786" s="81"/>
      <c r="I786" s="81"/>
      <c r="J786" s="81"/>
      <c r="K786" s="81"/>
      <c r="L786" s="155"/>
      <c r="M786" s="155"/>
      <c r="N786" s="109"/>
      <c r="O786" s="126"/>
      <c r="P786" s="126"/>
      <c r="Q786" s="126"/>
      <c r="R786" s="127"/>
      <c r="S786" s="127"/>
      <c r="T786" s="127"/>
      <c r="U786" s="127"/>
    </row>
    <row r="787" spans="1:21" ht="15" customHeight="1">
      <c r="A787" s="125"/>
      <c r="B787" s="125"/>
      <c r="C787" s="125"/>
      <c r="D787" s="81"/>
      <c r="E787" s="81"/>
      <c r="F787" s="97"/>
      <c r="G787" s="81"/>
      <c r="H787" s="81"/>
      <c r="I787" s="81"/>
      <c r="J787" s="81"/>
      <c r="K787" s="81"/>
      <c r="L787" s="155"/>
      <c r="M787" s="155"/>
      <c r="N787" s="109"/>
      <c r="O787" s="126"/>
      <c r="P787" s="126"/>
      <c r="Q787" s="126"/>
      <c r="R787" s="127"/>
      <c r="S787" s="127"/>
      <c r="T787" s="127"/>
      <c r="U787" s="127"/>
    </row>
    <row r="788" spans="1:21" ht="15" customHeight="1">
      <c r="A788" s="125"/>
      <c r="B788" s="125"/>
      <c r="C788" s="125"/>
      <c r="D788" s="81"/>
      <c r="E788" s="81"/>
      <c r="F788" s="97"/>
      <c r="G788" s="81"/>
      <c r="H788" s="81"/>
      <c r="I788" s="81"/>
      <c r="J788" s="81"/>
      <c r="K788" s="81"/>
      <c r="L788" s="155"/>
      <c r="M788" s="155"/>
      <c r="N788" s="109"/>
      <c r="O788" s="126"/>
      <c r="P788" s="126"/>
      <c r="Q788" s="126"/>
      <c r="R788" s="127"/>
      <c r="S788" s="127"/>
      <c r="T788" s="127"/>
      <c r="U788" s="127"/>
    </row>
    <row r="789" spans="1:21" ht="15" customHeight="1">
      <c r="A789" s="125"/>
      <c r="B789" s="125"/>
      <c r="C789" s="125"/>
      <c r="D789" s="81"/>
      <c r="E789" s="81"/>
      <c r="F789" s="97"/>
      <c r="G789" s="81"/>
      <c r="H789" s="81"/>
      <c r="I789" s="81"/>
      <c r="J789" s="81"/>
      <c r="K789" s="81"/>
      <c r="L789" s="155"/>
      <c r="M789" s="155"/>
      <c r="N789" s="109"/>
      <c r="O789" s="126"/>
      <c r="P789" s="126"/>
      <c r="Q789" s="126"/>
      <c r="R789" s="127"/>
      <c r="S789" s="127"/>
      <c r="T789" s="127"/>
      <c r="U789" s="127"/>
    </row>
    <row r="790" spans="1:21" ht="15" customHeight="1">
      <c r="A790" s="125"/>
      <c r="B790" s="125"/>
      <c r="C790" s="125"/>
      <c r="D790" s="81"/>
      <c r="E790" s="81"/>
      <c r="F790" s="97"/>
      <c r="G790" s="81"/>
      <c r="H790" s="81"/>
      <c r="I790" s="81"/>
      <c r="J790" s="81"/>
      <c r="K790" s="81"/>
      <c r="L790" s="155"/>
      <c r="M790" s="155"/>
      <c r="N790" s="109"/>
      <c r="O790" s="126"/>
      <c r="P790" s="126"/>
      <c r="Q790" s="126"/>
      <c r="R790" s="127"/>
      <c r="S790" s="127"/>
      <c r="T790" s="127"/>
      <c r="U790" s="127"/>
    </row>
    <row r="791" spans="1:21" ht="15" customHeight="1">
      <c r="A791" s="125"/>
      <c r="B791" s="125"/>
      <c r="C791" s="125"/>
      <c r="D791" s="81"/>
      <c r="E791" s="81"/>
      <c r="F791" s="97"/>
      <c r="G791" s="81"/>
      <c r="H791" s="81"/>
      <c r="I791" s="81"/>
      <c r="J791" s="81"/>
      <c r="K791" s="81"/>
      <c r="L791" s="155"/>
      <c r="M791" s="155"/>
      <c r="N791" s="109"/>
      <c r="O791" s="126"/>
      <c r="P791" s="126"/>
      <c r="Q791" s="126"/>
      <c r="R791" s="127"/>
      <c r="S791" s="127"/>
      <c r="T791" s="127"/>
      <c r="U791" s="127"/>
    </row>
    <row r="792" spans="1:21" ht="15" customHeight="1">
      <c r="A792" s="125"/>
      <c r="B792" s="125"/>
      <c r="C792" s="125"/>
      <c r="D792" s="81"/>
      <c r="E792" s="81"/>
      <c r="F792" s="97"/>
      <c r="G792" s="81"/>
      <c r="H792" s="81"/>
      <c r="I792" s="81"/>
      <c r="J792" s="81"/>
      <c r="K792" s="81"/>
      <c r="L792" s="155"/>
      <c r="M792" s="155"/>
      <c r="N792" s="109"/>
      <c r="O792" s="126"/>
      <c r="P792" s="126"/>
      <c r="Q792" s="126"/>
      <c r="R792" s="127"/>
      <c r="S792" s="127"/>
      <c r="T792" s="127"/>
      <c r="U792" s="127"/>
    </row>
    <row r="793" spans="1:21" ht="15" customHeight="1">
      <c r="A793" s="125"/>
      <c r="B793" s="125"/>
      <c r="C793" s="125"/>
      <c r="D793" s="81"/>
      <c r="E793" s="81"/>
      <c r="F793" s="97"/>
      <c r="G793" s="81"/>
      <c r="H793" s="81"/>
      <c r="I793" s="81"/>
      <c r="J793" s="81"/>
      <c r="K793" s="81"/>
      <c r="L793" s="155"/>
      <c r="M793" s="155"/>
      <c r="N793" s="109"/>
      <c r="O793" s="126"/>
      <c r="P793" s="126"/>
      <c r="Q793" s="126"/>
      <c r="R793" s="127"/>
      <c r="S793" s="127"/>
      <c r="T793" s="127"/>
      <c r="U793" s="127"/>
    </row>
    <row r="794" spans="1:21" ht="15" customHeight="1">
      <c r="A794" s="125"/>
      <c r="B794" s="125"/>
      <c r="C794" s="125"/>
      <c r="D794" s="81"/>
      <c r="E794" s="81"/>
      <c r="F794" s="97"/>
      <c r="G794" s="81"/>
      <c r="H794" s="81"/>
      <c r="I794" s="81"/>
      <c r="J794" s="81"/>
      <c r="K794" s="81"/>
      <c r="L794" s="155"/>
      <c r="M794" s="155"/>
      <c r="N794" s="109"/>
      <c r="O794" s="126"/>
      <c r="P794" s="126"/>
      <c r="Q794" s="126"/>
      <c r="R794" s="127"/>
      <c r="S794" s="127"/>
      <c r="T794" s="127"/>
      <c r="U794" s="127"/>
    </row>
    <row r="795" spans="1:21" ht="15" customHeight="1">
      <c r="A795" s="125"/>
      <c r="B795" s="125"/>
      <c r="C795" s="125"/>
      <c r="D795" s="81"/>
      <c r="E795" s="81"/>
      <c r="F795" s="97"/>
      <c r="G795" s="81"/>
      <c r="H795" s="81"/>
      <c r="I795" s="81"/>
      <c r="J795" s="81"/>
      <c r="K795" s="81"/>
      <c r="L795" s="155"/>
      <c r="M795" s="155"/>
      <c r="N795" s="109"/>
      <c r="O795" s="126"/>
      <c r="P795" s="126"/>
      <c r="Q795" s="126"/>
      <c r="R795" s="127"/>
      <c r="S795" s="127"/>
      <c r="T795" s="127"/>
      <c r="U795" s="127"/>
    </row>
    <row r="796" spans="1:21" ht="15" customHeight="1">
      <c r="A796" s="125"/>
      <c r="B796" s="125"/>
      <c r="C796" s="125"/>
      <c r="D796" s="81"/>
      <c r="E796" s="81"/>
      <c r="F796" s="97"/>
      <c r="G796" s="81"/>
      <c r="H796" s="81"/>
      <c r="I796" s="81"/>
      <c r="J796" s="81"/>
      <c r="K796" s="81"/>
      <c r="L796" s="155"/>
      <c r="M796" s="155"/>
      <c r="N796" s="109"/>
      <c r="O796" s="126"/>
      <c r="P796" s="126"/>
      <c r="Q796" s="126"/>
      <c r="R796" s="127"/>
      <c r="S796" s="127"/>
      <c r="T796" s="127"/>
      <c r="U796" s="127"/>
    </row>
    <row r="797" spans="1:21" ht="15" customHeight="1">
      <c r="A797" s="125"/>
      <c r="B797" s="125"/>
      <c r="C797" s="125"/>
      <c r="D797" s="81"/>
      <c r="E797" s="81"/>
      <c r="F797" s="97"/>
      <c r="G797" s="81"/>
      <c r="H797" s="81"/>
      <c r="I797" s="81"/>
      <c r="J797" s="81"/>
      <c r="K797" s="81"/>
      <c r="L797" s="155"/>
      <c r="M797" s="155"/>
      <c r="N797" s="109"/>
      <c r="O797" s="126"/>
      <c r="P797" s="126"/>
      <c r="Q797" s="126"/>
      <c r="R797" s="127"/>
      <c r="S797" s="127"/>
      <c r="T797" s="127"/>
      <c r="U797" s="127"/>
    </row>
    <row r="798" spans="1:21" ht="15" customHeight="1">
      <c r="A798" s="125"/>
      <c r="B798" s="125"/>
      <c r="C798" s="125"/>
      <c r="D798" s="81"/>
      <c r="E798" s="81"/>
      <c r="F798" s="97"/>
      <c r="G798" s="81"/>
      <c r="H798" s="81"/>
      <c r="I798" s="81"/>
      <c r="J798" s="81"/>
      <c r="K798" s="81"/>
      <c r="L798" s="155"/>
      <c r="M798" s="155"/>
      <c r="N798" s="109"/>
      <c r="O798" s="126"/>
      <c r="P798" s="126"/>
      <c r="Q798" s="126"/>
      <c r="R798" s="127"/>
      <c r="S798" s="127"/>
      <c r="T798" s="127"/>
      <c r="U798" s="127"/>
    </row>
    <row r="799" spans="1:21" ht="15" customHeight="1">
      <c r="A799" s="125"/>
      <c r="B799" s="125"/>
      <c r="C799" s="125"/>
      <c r="D799" s="81"/>
      <c r="E799" s="81"/>
      <c r="F799" s="97"/>
      <c r="G799" s="81"/>
      <c r="H799" s="81"/>
      <c r="I799" s="81"/>
      <c r="J799" s="81"/>
      <c r="K799" s="81"/>
      <c r="L799" s="155"/>
      <c r="M799" s="155"/>
      <c r="N799" s="109"/>
      <c r="O799" s="126"/>
      <c r="P799" s="126"/>
      <c r="Q799" s="126"/>
      <c r="R799" s="127"/>
      <c r="S799" s="127"/>
      <c r="T799" s="127"/>
      <c r="U799" s="127"/>
    </row>
    <row r="800" spans="1:21" ht="15" customHeight="1">
      <c r="A800" s="125"/>
      <c r="B800" s="125"/>
      <c r="C800" s="125"/>
      <c r="D800" s="81"/>
      <c r="E800" s="81"/>
      <c r="F800" s="97"/>
      <c r="G800" s="81"/>
      <c r="H800" s="81"/>
      <c r="I800" s="81"/>
      <c r="J800" s="81"/>
      <c r="K800" s="81"/>
      <c r="L800" s="155"/>
      <c r="M800" s="155"/>
      <c r="N800" s="109"/>
      <c r="O800" s="126"/>
      <c r="P800" s="126"/>
      <c r="Q800" s="126"/>
      <c r="R800" s="127"/>
      <c r="S800" s="127"/>
      <c r="T800" s="127"/>
      <c r="U800" s="127"/>
    </row>
    <row r="801" spans="1:21" ht="15" customHeight="1">
      <c r="A801" s="125"/>
      <c r="B801" s="125"/>
      <c r="C801" s="125"/>
      <c r="D801" s="81"/>
      <c r="E801" s="81"/>
      <c r="F801" s="97"/>
      <c r="G801" s="81"/>
      <c r="H801" s="81"/>
      <c r="I801" s="81"/>
      <c r="J801" s="81"/>
      <c r="K801" s="81"/>
      <c r="L801" s="155"/>
      <c r="M801" s="155"/>
      <c r="N801" s="109"/>
      <c r="O801" s="126"/>
      <c r="P801" s="126"/>
      <c r="Q801" s="126"/>
      <c r="R801" s="127"/>
      <c r="S801" s="127"/>
      <c r="T801" s="127"/>
      <c r="U801" s="127"/>
    </row>
    <row r="802" spans="1:21" ht="15" customHeight="1">
      <c r="A802" s="125"/>
      <c r="B802" s="125"/>
      <c r="C802" s="125"/>
      <c r="D802" s="81"/>
      <c r="E802" s="81"/>
      <c r="F802" s="97"/>
      <c r="G802" s="81"/>
      <c r="H802" s="81"/>
      <c r="I802" s="81"/>
      <c r="J802" s="81"/>
      <c r="K802" s="81"/>
      <c r="L802" s="155"/>
      <c r="M802" s="155"/>
      <c r="N802" s="109"/>
      <c r="O802" s="126"/>
      <c r="P802" s="126"/>
      <c r="Q802" s="126"/>
      <c r="R802" s="127"/>
      <c r="S802" s="127"/>
      <c r="T802" s="127"/>
      <c r="U802" s="127"/>
    </row>
    <row r="803" spans="1:21" ht="15" customHeight="1">
      <c r="A803" s="125"/>
      <c r="B803" s="125"/>
      <c r="C803" s="125"/>
      <c r="D803" s="81"/>
      <c r="E803" s="81"/>
      <c r="F803" s="97"/>
      <c r="G803" s="81"/>
      <c r="H803" s="81"/>
      <c r="I803" s="81"/>
      <c r="J803" s="81"/>
      <c r="K803" s="81"/>
      <c r="L803" s="155"/>
      <c r="M803" s="155"/>
      <c r="N803" s="109"/>
      <c r="O803" s="126"/>
      <c r="P803" s="126"/>
      <c r="Q803" s="126"/>
      <c r="R803" s="127"/>
      <c r="S803" s="127"/>
      <c r="T803" s="127"/>
      <c r="U803" s="127"/>
    </row>
    <row r="804" spans="1:21" ht="15" customHeight="1">
      <c r="A804" s="125"/>
      <c r="B804" s="125"/>
      <c r="C804" s="125"/>
      <c r="D804" s="81"/>
      <c r="E804" s="81"/>
      <c r="F804" s="97"/>
      <c r="G804" s="81"/>
      <c r="H804" s="81"/>
      <c r="I804" s="81"/>
      <c r="J804" s="81"/>
      <c r="K804" s="81"/>
      <c r="L804" s="155"/>
      <c r="M804" s="155"/>
      <c r="N804" s="109"/>
      <c r="O804" s="126"/>
      <c r="P804" s="126"/>
      <c r="Q804" s="126"/>
      <c r="R804" s="127"/>
      <c r="S804" s="127"/>
      <c r="T804" s="127"/>
      <c r="U804" s="127"/>
    </row>
    <row r="805" spans="1:21" ht="15" customHeight="1">
      <c r="A805" s="125"/>
      <c r="B805" s="125"/>
      <c r="C805" s="125"/>
      <c r="D805" s="81"/>
      <c r="E805" s="81"/>
      <c r="F805" s="97"/>
      <c r="G805" s="81"/>
      <c r="H805" s="81"/>
      <c r="I805" s="81"/>
      <c r="J805" s="81"/>
      <c r="K805" s="81"/>
      <c r="L805" s="155"/>
      <c r="M805" s="155"/>
      <c r="N805" s="109"/>
      <c r="O805" s="126"/>
      <c r="P805" s="126"/>
      <c r="Q805" s="126"/>
      <c r="R805" s="127"/>
      <c r="S805" s="127"/>
      <c r="T805" s="127"/>
      <c r="U805" s="127"/>
    </row>
    <row r="806" spans="1:21" ht="15" customHeight="1">
      <c r="A806" s="125"/>
      <c r="B806" s="125"/>
      <c r="C806" s="125"/>
      <c r="D806" s="81"/>
      <c r="E806" s="81"/>
      <c r="F806" s="97"/>
      <c r="G806" s="81"/>
      <c r="H806" s="81"/>
      <c r="I806" s="81"/>
      <c r="J806" s="81"/>
      <c r="K806" s="81"/>
      <c r="L806" s="155"/>
      <c r="M806" s="155"/>
      <c r="N806" s="109"/>
      <c r="O806" s="126"/>
      <c r="P806" s="126"/>
      <c r="Q806" s="126"/>
      <c r="R806" s="127"/>
      <c r="S806" s="127"/>
      <c r="T806" s="127"/>
      <c r="U806" s="127"/>
    </row>
    <row r="807" spans="1:21" ht="15" customHeight="1">
      <c r="A807" s="125"/>
      <c r="B807" s="125"/>
      <c r="C807" s="125"/>
      <c r="D807" s="81"/>
      <c r="E807" s="81"/>
      <c r="F807" s="97"/>
      <c r="G807" s="81"/>
      <c r="H807" s="81"/>
      <c r="I807" s="81"/>
      <c r="J807" s="81"/>
      <c r="K807" s="81"/>
      <c r="L807" s="155"/>
      <c r="M807" s="155"/>
      <c r="N807" s="109"/>
      <c r="O807" s="126"/>
      <c r="P807" s="126"/>
      <c r="Q807" s="126"/>
      <c r="R807" s="127"/>
      <c r="S807" s="127"/>
      <c r="T807" s="127"/>
      <c r="U807" s="127"/>
    </row>
    <row r="808" spans="1:21" ht="15" customHeight="1">
      <c r="A808" s="125"/>
      <c r="B808" s="125"/>
      <c r="C808" s="125"/>
      <c r="D808" s="81"/>
      <c r="E808" s="81"/>
      <c r="F808" s="97"/>
      <c r="G808" s="81"/>
      <c r="H808" s="81"/>
      <c r="I808" s="81"/>
      <c r="J808" s="81"/>
      <c r="K808" s="81"/>
      <c r="L808" s="155"/>
      <c r="M808" s="155"/>
      <c r="N808" s="109"/>
      <c r="O808" s="126"/>
      <c r="P808" s="126"/>
      <c r="Q808" s="126"/>
      <c r="R808" s="127"/>
      <c r="S808" s="127"/>
      <c r="T808" s="127"/>
      <c r="U808" s="127"/>
    </row>
    <row r="809" spans="1:21" ht="15" customHeight="1">
      <c r="A809" s="125"/>
      <c r="B809" s="125"/>
      <c r="C809" s="125"/>
      <c r="D809" s="81"/>
      <c r="E809" s="81"/>
      <c r="F809" s="97"/>
      <c r="G809" s="81"/>
      <c r="H809" s="81"/>
      <c r="I809" s="81"/>
      <c r="J809" s="81"/>
      <c r="K809" s="81"/>
      <c r="L809" s="155"/>
      <c r="M809" s="155"/>
      <c r="N809" s="109"/>
      <c r="O809" s="126"/>
      <c r="P809" s="126"/>
      <c r="Q809" s="126"/>
      <c r="R809" s="127"/>
      <c r="S809" s="127"/>
      <c r="T809" s="127"/>
      <c r="U809" s="127"/>
    </row>
    <row r="810" spans="1:21" ht="15" customHeight="1">
      <c r="A810" s="125"/>
      <c r="B810" s="125"/>
      <c r="C810" s="125"/>
      <c r="D810" s="81"/>
      <c r="E810" s="81"/>
      <c r="F810" s="97"/>
      <c r="G810" s="81"/>
      <c r="H810" s="81"/>
      <c r="I810" s="81"/>
      <c r="J810" s="81"/>
      <c r="K810" s="81"/>
      <c r="L810" s="155"/>
      <c r="M810" s="155"/>
      <c r="N810" s="109"/>
      <c r="O810" s="126"/>
      <c r="P810" s="126"/>
      <c r="Q810" s="126"/>
      <c r="R810" s="127"/>
      <c r="S810" s="127"/>
      <c r="T810" s="127"/>
      <c r="U810" s="127"/>
    </row>
    <row r="811" spans="1:21" ht="15" customHeight="1">
      <c r="A811" s="125"/>
      <c r="B811" s="125"/>
      <c r="C811" s="125"/>
      <c r="D811" s="81"/>
      <c r="E811" s="81"/>
      <c r="F811" s="97"/>
      <c r="G811" s="81"/>
      <c r="H811" s="81"/>
      <c r="I811" s="81"/>
      <c r="J811" s="81"/>
      <c r="K811" s="81"/>
      <c r="L811" s="155"/>
      <c r="M811" s="155"/>
      <c r="N811" s="109"/>
      <c r="O811" s="126"/>
      <c r="P811" s="126"/>
      <c r="Q811" s="126"/>
      <c r="R811" s="127"/>
      <c r="S811" s="127"/>
      <c r="T811" s="127"/>
      <c r="U811" s="127"/>
    </row>
    <row r="812" spans="1:21" ht="15" customHeight="1">
      <c r="A812" s="125"/>
      <c r="B812" s="125"/>
      <c r="C812" s="125"/>
      <c r="D812" s="81"/>
      <c r="E812" s="81"/>
      <c r="F812" s="97"/>
      <c r="G812" s="81"/>
      <c r="H812" s="81"/>
      <c r="I812" s="81"/>
      <c r="J812" s="81"/>
      <c r="K812" s="81"/>
      <c r="L812" s="155"/>
      <c r="M812" s="155"/>
      <c r="N812" s="109"/>
      <c r="O812" s="126"/>
      <c r="P812" s="126"/>
      <c r="Q812" s="126"/>
      <c r="R812" s="127"/>
      <c r="S812" s="127"/>
      <c r="T812" s="127"/>
      <c r="U812" s="127"/>
    </row>
    <row r="813" spans="1:21" ht="15" customHeight="1">
      <c r="A813" s="125"/>
      <c r="B813" s="125"/>
      <c r="C813" s="125"/>
      <c r="D813" s="81"/>
      <c r="E813" s="81"/>
      <c r="F813" s="97"/>
      <c r="G813" s="81"/>
      <c r="H813" s="81"/>
      <c r="I813" s="81"/>
      <c r="J813" s="81"/>
      <c r="K813" s="81"/>
      <c r="L813" s="155"/>
      <c r="M813" s="155"/>
      <c r="N813" s="109"/>
      <c r="O813" s="126"/>
      <c r="P813" s="126"/>
      <c r="Q813" s="126"/>
      <c r="R813" s="127"/>
      <c r="S813" s="127"/>
      <c r="T813" s="127"/>
      <c r="U813" s="127"/>
    </row>
    <row r="814" spans="1:21" ht="15" customHeight="1">
      <c r="A814" s="125"/>
      <c r="B814" s="125"/>
      <c r="C814" s="125"/>
      <c r="D814" s="81"/>
      <c r="E814" s="81"/>
      <c r="F814" s="97"/>
      <c r="G814" s="81"/>
      <c r="H814" s="81"/>
      <c r="I814" s="81"/>
      <c r="J814" s="81"/>
      <c r="K814" s="81"/>
      <c r="L814" s="155"/>
      <c r="M814" s="155"/>
      <c r="N814" s="109"/>
      <c r="O814" s="126"/>
      <c r="P814" s="126"/>
      <c r="Q814" s="126"/>
      <c r="R814" s="127"/>
      <c r="S814" s="127"/>
      <c r="T814" s="127"/>
      <c r="U814" s="127"/>
    </row>
    <row r="815" spans="1:21" ht="15" customHeight="1">
      <c r="A815" s="125"/>
      <c r="B815" s="125"/>
      <c r="C815" s="125"/>
      <c r="D815" s="81"/>
      <c r="E815" s="81"/>
      <c r="F815" s="97"/>
      <c r="G815" s="81"/>
      <c r="H815" s="81"/>
      <c r="I815" s="81"/>
      <c r="J815" s="81"/>
      <c r="K815" s="81"/>
      <c r="L815" s="155"/>
      <c r="M815" s="155"/>
      <c r="N815" s="109"/>
      <c r="O815" s="126"/>
      <c r="P815" s="126"/>
      <c r="Q815" s="126"/>
      <c r="R815" s="127"/>
      <c r="S815" s="127"/>
      <c r="T815" s="127"/>
      <c r="U815" s="127"/>
    </row>
    <row r="816" spans="1:21" ht="15" customHeight="1">
      <c r="A816" s="125"/>
      <c r="B816" s="125"/>
      <c r="C816" s="125"/>
      <c r="D816" s="81"/>
      <c r="E816" s="81"/>
      <c r="F816" s="97"/>
      <c r="G816" s="81"/>
      <c r="H816" s="81"/>
      <c r="I816" s="81"/>
      <c r="J816" s="81"/>
      <c r="K816" s="81"/>
      <c r="L816" s="155"/>
      <c r="M816" s="155"/>
      <c r="N816" s="109"/>
      <c r="O816" s="126"/>
      <c r="P816" s="126"/>
      <c r="Q816" s="126"/>
      <c r="R816" s="127"/>
      <c r="S816" s="127"/>
      <c r="T816" s="127"/>
      <c r="U816" s="127"/>
    </row>
    <row r="817" spans="1:21" ht="15" customHeight="1">
      <c r="A817" s="125"/>
      <c r="B817" s="125"/>
      <c r="C817" s="125"/>
      <c r="D817" s="81"/>
      <c r="E817" s="81"/>
      <c r="F817" s="97"/>
      <c r="G817" s="81"/>
      <c r="H817" s="81"/>
      <c r="I817" s="81"/>
      <c r="J817" s="81"/>
      <c r="K817" s="81"/>
      <c r="L817" s="155"/>
      <c r="M817" s="155"/>
      <c r="N817" s="109"/>
      <c r="O817" s="126"/>
      <c r="P817" s="126"/>
      <c r="Q817" s="126"/>
      <c r="R817" s="127"/>
      <c r="S817" s="127"/>
      <c r="T817" s="127"/>
      <c r="U817" s="127"/>
    </row>
    <row r="818" spans="1:21" ht="15" customHeight="1">
      <c r="A818" s="125"/>
      <c r="B818" s="125"/>
      <c r="C818" s="125"/>
      <c r="D818" s="81"/>
      <c r="E818" s="81"/>
      <c r="F818" s="97"/>
      <c r="G818" s="81"/>
      <c r="H818" s="81"/>
      <c r="I818" s="81"/>
      <c r="J818" s="81"/>
      <c r="K818" s="81"/>
      <c r="L818" s="155"/>
      <c r="M818" s="155"/>
      <c r="N818" s="109"/>
      <c r="O818" s="126"/>
      <c r="P818" s="126"/>
      <c r="Q818" s="126"/>
      <c r="R818" s="127"/>
      <c r="S818" s="127"/>
      <c r="T818" s="127"/>
      <c r="U818" s="127"/>
    </row>
    <row r="819" spans="1:21" ht="15" customHeight="1">
      <c r="A819" s="125"/>
      <c r="B819" s="125"/>
      <c r="C819" s="125"/>
      <c r="D819" s="81"/>
      <c r="E819" s="81"/>
      <c r="F819" s="97"/>
      <c r="G819" s="81"/>
      <c r="H819" s="81"/>
      <c r="I819" s="81"/>
      <c r="J819" s="81"/>
      <c r="K819" s="81"/>
      <c r="L819" s="155"/>
      <c r="M819" s="155"/>
      <c r="N819" s="109"/>
      <c r="O819" s="126"/>
      <c r="P819" s="126"/>
      <c r="Q819" s="126"/>
      <c r="R819" s="127"/>
      <c r="S819" s="127"/>
      <c r="T819" s="127"/>
      <c r="U819" s="127"/>
    </row>
    <row r="820" spans="1:21" ht="15" customHeight="1">
      <c r="A820" s="125"/>
      <c r="B820" s="125"/>
      <c r="C820" s="125"/>
      <c r="D820" s="81"/>
      <c r="E820" s="81"/>
      <c r="F820" s="97"/>
      <c r="G820" s="81"/>
      <c r="H820" s="81"/>
      <c r="I820" s="81"/>
      <c r="J820" s="81"/>
      <c r="K820" s="81"/>
      <c r="L820" s="155"/>
      <c r="M820" s="155"/>
      <c r="N820" s="109"/>
      <c r="O820" s="126"/>
      <c r="P820" s="126"/>
      <c r="Q820" s="126"/>
      <c r="R820" s="127"/>
      <c r="S820" s="127"/>
      <c r="T820" s="127"/>
      <c r="U820" s="127"/>
    </row>
    <row r="821" spans="1:21" ht="15" customHeight="1">
      <c r="A821" s="125"/>
      <c r="B821" s="125"/>
      <c r="C821" s="125"/>
      <c r="D821" s="81"/>
      <c r="E821" s="81"/>
      <c r="F821" s="97"/>
      <c r="G821" s="81"/>
      <c r="H821" s="81"/>
      <c r="I821" s="81"/>
      <c r="J821" s="81"/>
      <c r="K821" s="81"/>
      <c r="L821" s="155"/>
      <c r="M821" s="155"/>
      <c r="N821" s="109"/>
      <c r="O821" s="126"/>
      <c r="P821" s="126"/>
      <c r="Q821" s="126"/>
      <c r="R821" s="127"/>
      <c r="S821" s="127"/>
      <c r="T821" s="127"/>
      <c r="U821" s="127"/>
    </row>
    <row r="822" spans="1:21" ht="15" customHeight="1">
      <c r="A822" s="125"/>
      <c r="B822" s="125"/>
      <c r="C822" s="125"/>
      <c r="D822" s="81"/>
      <c r="E822" s="81"/>
      <c r="F822" s="97"/>
      <c r="G822" s="81"/>
      <c r="H822" s="81"/>
      <c r="I822" s="81"/>
      <c r="J822" s="81"/>
      <c r="K822" s="81"/>
      <c r="L822" s="155"/>
      <c r="M822" s="155"/>
      <c r="N822" s="109"/>
      <c r="O822" s="126"/>
      <c r="P822" s="126"/>
      <c r="Q822" s="126"/>
      <c r="R822" s="127"/>
      <c r="S822" s="127"/>
      <c r="T822" s="127"/>
      <c r="U822" s="127"/>
    </row>
    <row r="823" spans="1:21" ht="15" customHeight="1">
      <c r="A823" s="125"/>
      <c r="B823" s="125"/>
      <c r="C823" s="125"/>
      <c r="D823" s="81"/>
      <c r="E823" s="81"/>
      <c r="F823" s="97"/>
      <c r="G823" s="81"/>
      <c r="H823" s="81"/>
      <c r="I823" s="81"/>
      <c r="J823" s="81"/>
      <c r="K823" s="81"/>
      <c r="L823" s="155"/>
      <c r="M823" s="155"/>
      <c r="N823" s="109"/>
      <c r="O823" s="126"/>
      <c r="P823" s="126"/>
      <c r="Q823" s="126"/>
      <c r="R823" s="127"/>
      <c r="S823" s="127"/>
      <c r="T823" s="127"/>
      <c r="U823" s="127"/>
    </row>
    <row r="824" spans="1:21" ht="15" customHeight="1">
      <c r="A824" s="125"/>
      <c r="B824" s="125"/>
      <c r="C824" s="125"/>
      <c r="D824" s="81"/>
      <c r="E824" s="81"/>
      <c r="F824" s="97"/>
      <c r="G824" s="81"/>
      <c r="H824" s="81"/>
      <c r="I824" s="81"/>
      <c r="J824" s="81"/>
      <c r="K824" s="81"/>
      <c r="L824" s="155"/>
      <c r="M824" s="155"/>
      <c r="N824" s="109"/>
      <c r="O824" s="126"/>
      <c r="P824" s="126"/>
      <c r="Q824" s="126"/>
      <c r="R824" s="127"/>
      <c r="S824" s="127"/>
      <c r="T824" s="127"/>
      <c r="U824" s="127"/>
    </row>
    <row r="825" spans="1:21" ht="15" customHeight="1">
      <c r="A825" s="125"/>
      <c r="B825" s="125"/>
      <c r="C825" s="125"/>
      <c r="D825" s="81"/>
      <c r="E825" s="81"/>
      <c r="F825" s="97"/>
      <c r="G825" s="81"/>
      <c r="H825" s="81"/>
      <c r="I825" s="81"/>
      <c r="J825" s="81"/>
      <c r="K825" s="81"/>
      <c r="L825" s="155"/>
      <c r="M825" s="155"/>
      <c r="N825" s="109"/>
      <c r="O825" s="126"/>
      <c r="P825" s="126"/>
      <c r="Q825" s="126"/>
      <c r="R825" s="127"/>
      <c r="S825" s="127"/>
      <c r="T825" s="127"/>
      <c r="U825" s="127"/>
    </row>
    <row r="826" spans="1:21" ht="15" customHeight="1">
      <c r="A826" s="125"/>
      <c r="B826" s="125"/>
      <c r="C826" s="125"/>
      <c r="D826" s="81"/>
      <c r="E826" s="81"/>
      <c r="F826" s="97"/>
      <c r="G826" s="81"/>
      <c r="H826" s="81"/>
      <c r="I826" s="81"/>
      <c r="J826" s="81"/>
      <c r="K826" s="81"/>
      <c r="L826" s="155"/>
      <c r="M826" s="155"/>
      <c r="N826" s="109"/>
      <c r="O826" s="126"/>
      <c r="P826" s="126"/>
      <c r="Q826" s="126"/>
      <c r="R826" s="127"/>
      <c r="S826" s="127"/>
      <c r="T826" s="127"/>
      <c r="U826" s="127"/>
    </row>
    <row r="827" spans="1:21" ht="15" customHeight="1">
      <c r="A827" s="125"/>
      <c r="B827" s="125"/>
      <c r="C827" s="125"/>
      <c r="D827" s="81"/>
      <c r="E827" s="81"/>
      <c r="F827" s="97"/>
      <c r="G827" s="81"/>
      <c r="H827" s="81"/>
      <c r="I827" s="81"/>
      <c r="J827" s="81"/>
      <c r="K827" s="81"/>
      <c r="L827" s="155"/>
      <c r="M827" s="155"/>
      <c r="N827" s="109"/>
      <c r="O827" s="126"/>
      <c r="P827" s="126"/>
      <c r="Q827" s="126"/>
      <c r="R827" s="127"/>
      <c r="S827" s="127"/>
      <c r="T827" s="127"/>
      <c r="U827" s="127"/>
    </row>
    <row r="828" spans="1:21" ht="15" customHeight="1">
      <c r="A828" s="125"/>
      <c r="B828" s="125"/>
      <c r="C828" s="125"/>
      <c r="D828" s="81"/>
      <c r="E828" s="81"/>
      <c r="F828" s="97"/>
      <c r="G828" s="81"/>
      <c r="H828" s="81"/>
      <c r="I828" s="81"/>
      <c r="J828" s="81"/>
      <c r="K828" s="81"/>
      <c r="L828" s="155"/>
      <c r="M828" s="155"/>
      <c r="N828" s="109"/>
      <c r="O828" s="126"/>
      <c r="P828" s="126"/>
      <c r="Q828" s="126"/>
      <c r="R828" s="127"/>
      <c r="S828" s="127"/>
      <c r="T828" s="127"/>
      <c r="U828" s="127"/>
    </row>
    <row r="829" spans="1:21" ht="15" customHeight="1">
      <c r="A829" s="125"/>
      <c r="B829" s="125"/>
      <c r="C829" s="125"/>
      <c r="D829" s="81"/>
      <c r="E829" s="81"/>
      <c r="F829" s="97"/>
      <c r="G829" s="81"/>
      <c r="H829" s="81"/>
      <c r="I829" s="81"/>
      <c r="J829" s="81"/>
      <c r="K829" s="81"/>
      <c r="L829" s="155"/>
      <c r="M829" s="155"/>
      <c r="N829" s="109"/>
      <c r="O829" s="126"/>
      <c r="P829" s="126"/>
      <c r="Q829" s="126"/>
      <c r="R829" s="127"/>
      <c r="S829" s="127"/>
      <c r="T829" s="127"/>
      <c r="U829" s="127"/>
    </row>
    <row r="830" spans="1:21" ht="15" customHeight="1">
      <c r="A830" s="125"/>
      <c r="B830" s="125"/>
      <c r="C830" s="125"/>
      <c r="D830" s="81"/>
      <c r="E830" s="81"/>
      <c r="F830" s="97"/>
      <c r="G830" s="81"/>
      <c r="H830" s="81"/>
      <c r="I830" s="81"/>
      <c r="J830" s="81"/>
      <c r="K830" s="81"/>
      <c r="L830" s="155"/>
      <c r="M830" s="155"/>
      <c r="N830" s="109"/>
      <c r="O830" s="126"/>
      <c r="P830" s="126"/>
      <c r="Q830" s="126"/>
      <c r="R830" s="127"/>
      <c r="S830" s="127"/>
      <c r="T830" s="127"/>
      <c r="U830" s="127"/>
    </row>
    <row r="831" spans="1:21" ht="15" customHeight="1">
      <c r="A831" s="125"/>
      <c r="B831" s="125"/>
      <c r="C831" s="125"/>
      <c r="D831" s="81"/>
      <c r="E831" s="81"/>
      <c r="F831" s="97"/>
      <c r="G831" s="81"/>
      <c r="H831" s="81"/>
      <c r="I831" s="81"/>
      <c r="J831" s="81"/>
      <c r="K831" s="81"/>
      <c r="L831" s="155"/>
      <c r="M831" s="155"/>
      <c r="N831" s="109"/>
      <c r="O831" s="126"/>
      <c r="P831" s="126"/>
      <c r="Q831" s="126"/>
      <c r="R831" s="127"/>
      <c r="S831" s="127"/>
      <c r="T831" s="127"/>
      <c r="U831" s="127"/>
    </row>
    <row r="832" spans="1:21" ht="15" customHeight="1">
      <c r="A832" s="125"/>
      <c r="B832" s="125"/>
      <c r="C832" s="125"/>
      <c r="D832" s="81"/>
      <c r="E832" s="81"/>
      <c r="F832" s="97"/>
      <c r="G832" s="81"/>
      <c r="H832" s="81"/>
      <c r="I832" s="81"/>
      <c r="J832" s="81"/>
      <c r="K832" s="81"/>
      <c r="L832" s="155"/>
      <c r="M832" s="155"/>
      <c r="N832" s="109"/>
      <c r="O832" s="126"/>
      <c r="P832" s="126"/>
      <c r="Q832" s="126"/>
      <c r="R832" s="127"/>
      <c r="S832" s="127"/>
      <c r="T832" s="127"/>
      <c r="U832" s="127"/>
    </row>
    <row r="833" spans="1:21" ht="15" customHeight="1">
      <c r="A833" s="125"/>
      <c r="B833" s="125"/>
      <c r="C833" s="125"/>
      <c r="D833" s="81"/>
      <c r="E833" s="81"/>
      <c r="F833" s="97"/>
      <c r="G833" s="81"/>
      <c r="H833" s="81"/>
      <c r="I833" s="81"/>
      <c r="J833" s="81"/>
      <c r="K833" s="81"/>
      <c r="L833" s="155"/>
      <c r="M833" s="155"/>
      <c r="N833" s="109"/>
      <c r="O833" s="126"/>
      <c r="P833" s="126"/>
      <c r="Q833" s="126"/>
      <c r="R833" s="127"/>
      <c r="S833" s="127"/>
      <c r="T833" s="127"/>
      <c r="U833" s="127"/>
    </row>
    <row r="834" spans="1:21" ht="15" customHeight="1">
      <c r="A834" s="125"/>
      <c r="B834" s="125"/>
      <c r="C834" s="125"/>
      <c r="D834" s="81"/>
      <c r="E834" s="81"/>
      <c r="F834" s="97"/>
      <c r="G834" s="81"/>
      <c r="H834" s="81"/>
      <c r="I834" s="81"/>
      <c r="J834" s="81"/>
      <c r="K834" s="81"/>
      <c r="L834" s="155"/>
      <c r="M834" s="155"/>
      <c r="N834" s="109"/>
      <c r="O834" s="126"/>
      <c r="P834" s="126"/>
      <c r="Q834" s="126"/>
      <c r="R834" s="127"/>
      <c r="S834" s="127"/>
      <c r="T834" s="127"/>
      <c r="U834" s="127"/>
    </row>
    <row r="835" spans="1:21" ht="15" customHeight="1">
      <c r="A835" s="125"/>
      <c r="B835" s="125"/>
      <c r="C835" s="125"/>
      <c r="D835" s="81"/>
      <c r="E835" s="81"/>
      <c r="F835" s="97"/>
      <c r="G835" s="81"/>
      <c r="H835" s="81"/>
      <c r="I835" s="81"/>
      <c r="J835" s="81"/>
      <c r="K835" s="81"/>
      <c r="L835" s="155"/>
      <c r="M835" s="155"/>
      <c r="N835" s="109"/>
      <c r="O835" s="126"/>
      <c r="P835" s="126"/>
      <c r="Q835" s="126"/>
      <c r="R835" s="127"/>
      <c r="S835" s="127"/>
      <c r="T835" s="127"/>
      <c r="U835" s="127"/>
    </row>
    <row r="836" spans="1:21" ht="15" customHeight="1">
      <c r="A836" s="125"/>
      <c r="B836" s="125"/>
      <c r="C836" s="125"/>
      <c r="D836" s="81"/>
      <c r="E836" s="81"/>
      <c r="F836" s="97"/>
      <c r="G836" s="81"/>
      <c r="H836" s="81"/>
      <c r="I836" s="81"/>
      <c r="J836" s="81"/>
      <c r="K836" s="81"/>
      <c r="L836" s="155"/>
      <c r="M836" s="155"/>
      <c r="N836" s="109"/>
      <c r="O836" s="126"/>
      <c r="P836" s="126"/>
      <c r="Q836" s="126"/>
      <c r="R836" s="127"/>
      <c r="S836" s="127"/>
      <c r="T836" s="127"/>
      <c r="U836" s="127"/>
    </row>
    <row r="837" spans="1:21" ht="15" customHeight="1">
      <c r="A837" s="125"/>
      <c r="B837" s="125"/>
      <c r="C837" s="125"/>
      <c r="D837" s="81"/>
      <c r="E837" s="81"/>
      <c r="F837" s="97"/>
      <c r="G837" s="81"/>
      <c r="H837" s="81"/>
      <c r="I837" s="81"/>
      <c r="J837" s="81"/>
      <c r="K837" s="81"/>
      <c r="L837" s="155"/>
      <c r="M837" s="155"/>
      <c r="N837" s="109"/>
      <c r="O837" s="126"/>
      <c r="P837" s="126"/>
      <c r="Q837" s="126"/>
      <c r="R837" s="127"/>
      <c r="S837" s="127"/>
      <c r="T837" s="127"/>
      <c r="U837" s="127"/>
    </row>
    <row r="838" spans="1:21" ht="15" customHeight="1">
      <c r="A838" s="125"/>
      <c r="B838" s="125"/>
      <c r="C838" s="125"/>
      <c r="D838" s="81"/>
      <c r="E838" s="81"/>
      <c r="F838" s="97"/>
      <c r="G838" s="81"/>
      <c r="H838" s="81"/>
      <c r="I838" s="81"/>
      <c r="J838" s="81"/>
      <c r="K838" s="81"/>
      <c r="L838" s="155"/>
      <c r="M838" s="155"/>
      <c r="N838" s="109"/>
      <c r="O838" s="126"/>
      <c r="P838" s="126"/>
      <c r="Q838" s="126"/>
      <c r="R838" s="127"/>
      <c r="S838" s="127"/>
      <c r="T838" s="127"/>
      <c r="U838" s="127"/>
    </row>
    <row r="839" spans="1:21" ht="15" customHeight="1">
      <c r="A839" s="125"/>
      <c r="B839" s="125"/>
      <c r="C839" s="125"/>
      <c r="D839" s="81"/>
      <c r="E839" s="81"/>
      <c r="F839" s="97"/>
      <c r="G839" s="81"/>
      <c r="H839" s="81"/>
      <c r="I839" s="81"/>
      <c r="J839" s="81"/>
      <c r="K839" s="81"/>
      <c r="L839" s="155"/>
      <c r="M839" s="155"/>
      <c r="N839" s="109"/>
      <c r="O839" s="126"/>
      <c r="P839" s="126"/>
      <c r="Q839" s="126"/>
      <c r="R839" s="127"/>
      <c r="S839" s="127"/>
      <c r="T839" s="127"/>
      <c r="U839" s="127"/>
    </row>
    <row r="840" spans="1:21" ht="15" customHeight="1">
      <c r="A840" s="125"/>
      <c r="B840" s="125"/>
      <c r="C840" s="125"/>
      <c r="D840" s="81"/>
      <c r="E840" s="81"/>
      <c r="F840" s="97"/>
      <c r="G840" s="81"/>
      <c r="H840" s="81"/>
      <c r="I840" s="81"/>
      <c r="J840" s="81"/>
      <c r="K840" s="81"/>
      <c r="L840" s="155"/>
      <c r="M840" s="155"/>
      <c r="N840" s="109"/>
      <c r="O840" s="126"/>
      <c r="P840" s="126"/>
      <c r="Q840" s="126"/>
      <c r="R840" s="127"/>
      <c r="S840" s="127"/>
      <c r="T840" s="127"/>
      <c r="U840" s="127"/>
    </row>
    <row r="841" spans="1:21" ht="15" customHeight="1">
      <c r="A841" s="125"/>
      <c r="B841" s="125"/>
      <c r="C841" s="125"/>
      <c r="D841" s="81"/>
      <c r="E841" s="81"/>
      <c r="F841" s="97"/>
      <c r="G841" s="81"/>
      <c r="H841" s="81"/>
      <c r="I841" s="81"/>
      <c r="J841" s="81"/>
      <c r="K841" s="81"/>
      <c r="L841" s="155"/>
      <c r="M841" s="155"/>
      <c r="N841" s="109"/>
      <c r="O841" s="126"/>
      <c r="P841" s="126"/>
      <c r="Q841" s="126"/>
      <c r="R841" s="127"/>
      <c r="S841" s="127"/>
      <c r="T841" s="127"/>
      <c r="U841" s="127"/>
    </row>
    <row r="842" spans="1:21" ht="15" customHeight="1">
      <c r="A842" s="125"/>
      <c r="B842" s="125"/>
      <c r="C842" s="125"/>
      <c r="D842" s="81"/>
      <c r="E842" s="81"/>
      <c r="F842" s="97"/>
      <c r="G842" s="81"/>
      <c r="H842" s="81"/>
      <c r="I842" s="81"/>
      <c r="J842" s="81"/>
      <c r="K842" s="81"/>
      <c r="L842" s="155"/>
      <c r="M842" s="155"/>
      <c r="N842" s="109"/>
      <c r="O842" s="126"/>
      <c r="P842" s="126"/>
      <c r="Q842" s="126"/>
      <c r="R842" s="127"/>
      <c r="S842" s="127"/>
      <c r="T842" s="127"/>
      <c r="U842" s="127"/>
    </row>
    <row r="843" spans="1:21" ht="15" customHeight="1">
      <c r="A843" s="125"/>
      <c r="B843" s="125"/>
      <c r="C843" s="125"/>
      <c r="D843" s="81"/>
      <c r="E843" s="81"/>
      <c r="F843" s="97"/>
      <c r="G843" s="81"/>
      <c r="H843" s="81"/>
      <c r="I843" s="81"/>
      <c r="J843" s="81"/>
      <c r="K843" s="81"/>
      <c r="L843" s="155"/>
      <c r="M843" s="155"/>
      <c r="N843" s="109"/>
      <c r="O843" s="126"/>
      <c r="P843" s="126"/>
      <c r="Q843" s="126"/>
      <c r="R843" s="127"/>
      <c r="S843" s="127"/>
      <c r="T843" s="127"/>
      <c r="U843" s="127"/>
    </row>
    <row r="844" spans="1:21" ht="15" customHeight="1">
      <c r="A844" s="125"/>
      <c r="B844" s="125"/>
      <c r="C844" s="125"/>
      <c r="D844" s="81"/>
      <c r="E844" s="81"/>
      <c r="F844" s="97"/>
      <c r="G844" s="81"/>
      <c r="H844" s="81"/>
      <c r="I844" s="81"/>
      <c r="J844" s="81"/>
      <c r="K844" s="81"/>
      <c r="L844" s="155"/>
      <c r="M844" s="155"/>
      <c r="N844" s="109"/>
      <c r="O844" s="126"/>
      <c r="P844" s="126"/>
      <c r="Q844" s="126"/>
      <c r="R844" s="127"/>
      <c r="S844" s="127"/>
      <c r="T844" s="127"/>
      <c r="U844" s="127"/>
    </row>
    <row r="845" spans="1:21" ht="15" customHeight="1">
      <c r="A845" s="125"/>
      <c r="B845" s="125"/>
      <c r="C845" s="125"/>
      <c r="D845" s="81"/>
      <c r="E845" s="81"/>
      <c r="F845" s="97"/>
      <c r="G845" s="81"/>
      <c r="H845" s="81"/>
      <c r="I845" s="81"/>
      <c r="J845" s="81"/>
      <c r="K845" s="81"/>
      <c r="L845" s="155"/>
      <c r="M845" s="155"/>
      <c r="N845" s="109"/>
      <c r="O845" s="126"/>
      <c r="P845" s="126"/>
      <c r="Q845" s="126"/>
      <c r="R845" s="127"/>
      <c r="S845" s="127"/>
      <c r="T845" s="127"/>
      <c r="U845" s="127"/>
    </row>
    <row r="846" spans="1:21" ht="15" customHeight="1">
      <c r="A846" s="125"/>
      <c r="B846" s="125"/>
      <c r="C846" s="125"/>
      <c r="D846" s="81"/>
      <c r="E846" s="81"/>
      <c r="F846" s="97"/>
      <c r="G846" s="81"/>
      <c r="H846" s="81"/>
      <c r="I846" s="81"/>
      <c r="J846" s="81"/>
      <c r="K846" s="81"/>
      <c r="L846" s="155"/>
      <c r="M846" s="155"/>
      <c r="N846" s="109"/>
      <c r="O846" s="126"/>
      <c r="P846" s="126"/>
      <c r="Q846" s="126"/>
      <c r="R846" s="127"/>
      <c r="S846" s="127"/>
      <c r="T846" s="127"/>
      <c r="U846" s="127"/>
    </row>
    <row r="847" spans="1:21" ht="15" customHeight="1">
      <c r="A847" s="125"/>
      <c r="B847" s="125"/>
      <c r="C847" s="125"/>
      <c r="D847" s="81"/>
      <c r="E847" s="81"/>
      <c r="F847" s="97"/>
      <c r="G847" s="81"/>
      <c r="H847" s="81"/>
      <c r="I847" s="81"/>
      <c r="J847" s="81"/>
      <c r="K847" s="81"/>
      <c r="L847" s="155"/>
      <c r="M847" s="155"/>
      <c r="N847" s="109"/>
      <c r="O847" s="126"/>
      <c r="P847" s="126"/>
      <c r="Q847" s="126"/>
      <c r="R847" s="127"/>
      <c r="S847" s="127"/>
      <c r="T847" s="127"/>
      <c r="U847" s="127"/>
    </row>
    <row r="848" spans="1:21" ht="15" customHeight="1">
      <c r="A848" s="125"/>
      <c r="B848" s="125"/>
      <c r="C848" s="125"/>
      <c r="D848" s="81"/>
      <c r="E848" s="81"/>
      <c r="F848" s="97"/>
      <c r="G848" s="81"/>
      <c r="H848" s="81"/>
      <c r="I848" s="81"/>
      <c r="J848" s="81"/>
      <c r="K848" s="81"/>
      <c r="L848" s="155"/>
      <c r="M848" s="155"/>
      <c r="N848" s="109"/>
      <c r="O848" s="126"/>
      <c r="P848" s="126"/>
      <c r="Q848" s="126"/>
      <c r="R848" s="127"/>
      <c r="S848" s="127"/>
      <c r="T848" s="127"/>
      <c r="U848" s="127"/>
    </row>
    <row r="849" spans="1:21" ht="15" customHeight="1">
      <c r="A849" s="125"/>
      <c r="B849" s="125"/>
      <c r="C849" s="125"/>
      <c r="D849" s="81"/>
      <c r="E849" s="81"/>
      <c r="F849" s="97"/>
      <c r="G849" s="81"/>
      <c r="H849" s="81"/>
      <c r="I849" s="81"/>
      <c r="J849" s="81"/>
      <c r="K849" s="81"/>
      <c r="L849" s="155"/>
      <c r="M849" s="155"/>
      <c r="N849" s="109"/>
      <c r="O849" s="126"/>
      <c r="P849" s="126"/>
      <c r="Q849" s="126"/>
      <c r="R849" s="127"/>
      <c r="S849" s="127"/>
      <c r="T849" s="127"/>
      <c r="U849" s="127"/>
    </row>
    <row r="850" spans="1:21" ht="15" customHeight="1">
      <c r="A850" s="125"/>
      <c r="B850" s="125"/>
      <c r="C850" s="125"/>
      <c r="D850" s="81"/>
      <c r="E850" s="81"/>
      <c r="F850" s="97"/>
      <c r="G850" s="81"/>
      <c r="H850" s="81"/>
      <c r="I850" s="81"/>
      <c r="J850" s="81"/>
      <c r="K850" s="81"/>
      <c r="L850" s="155"/>
      <c r="M850" s="155"/>
      <c r="N850" s="109"/>
      <c r="O850" s="126"/>
      <c r="P850" s="126"/>
      <c r="Q850" s="126"/>
      <c r="R850" s="127"/>
      <c r="S850" s="127"/>
      <c r="T850" s="127"/>
      <c r="U850" s="127"/>
    </row>
    <row r="851" spans="1:21" ht="15" customHeight="1">
      <c r="A851" s="125"/>
      <c r="B851" s="125"/>
      <c r="C851" s="125"/>
      <c r="D851" s="81"/>
      <c r="E851" s="81"/>
      <c r="F851" s="97"/>
      <c r="G851" s="81"/>
      <c r="H851" s="81"/>
      <c r="I851" s="81"/>
      <c r="J851" s="81"/>
      <c r="K851" s="81"/>
      <c r="L851" s="155"/>
      <c r="M851" s="155"/>
      <c r="N851" s="109"/>
      <c r="O851" s="126"/>
      <c r="P851" s="126"/>
      <c r="Q851" s="126"/>
      <c r="R851" s="127"/>
      <c r="S851" s="127"/>
      <c r="T851" s="127"/>
      <c r="U851" s="127"/>
    </row>
    <row r="852" spans="1:21" ht="15" customHeight="1">
      <c r="A852" s="125"/>
      <c r="B852" s="125"/>
      <c r="C852" s="125"/>
      <c r="D852" s="81"/>
      <c r="E852" s="81"/>
      <c r="F852" s="97"/>
      <c r="G852" s="81"/>
      <c r="H852" s="81"/>
      <c r="I852" s="81"/>
      <c r="J852" s="81"/>
      <c r="K852" s="81"/>
      <c r="L852" s="155"/>
      <c r="M852" s="155"/>
      <c r="N852" s="109"/>
      <c r="O852" s="126"/>
      <c r="P852" s="126"/>
      <c r="Q852" s="126"/>
      <c r="R852" s="127"/>
      <c r="S852" s="127"/>
      <c r="T852" s="127"/>
      <c r="U852" s="127"/>
    </row>
    <row r="853" spans="1:21" ht="15" customHeight="1">
      <c r="A853" s="125"/>
      <c r="B853" s="125"/>
      <c r="C853" s="125"/>
      <c r="D853" s="81"/>
      <c r="E853" s="81"/>
      <c r="F853" s="97"/>
      <c r="G853" s="81"/>
      <c r="H853" s="81"/>
      <c r="I853" s="81"/>
      <c r="J853" s="81"/>
      <c r="K853" s="81"/>
      <c r="L853" s="155"/>
      <c r="M853" s="155"/>
      <c r="N853" s="109"/>
      <c r="O853" s="126"/>
      <c r="P853" s="126"/>
      <c r="Q853" s="126"/>
      <c r="R853" s="127"/>
      <c r="S853" s="127"/>
      <c r="T853" s="127"/>
      <c r="U853" s="127"/>
    </row>
    <row r="854" spans="1:21" ht="15" customHeight="1">
      <c r="A854" s="125"/>
      <c r="B854" s="125"/>
      <c r="C854" s="125"/>
      <c r="D854" s="81"/>
      <c r="E854" s="81"/>
      <c r="F854" s="97"/>
      <c r="G854" s="81"/>
      <c r="H854" s="81"/>
      <c r="I854" s="81"/>
      <c r="J854" s="81"/>
      <c r="K854" s="81"/>
      <c r="L854" s="155"/>
      <c r="M854" s="155"/>
      <c r="N854" s="109"/>
      <c r="O854" s="126"/>
      <c r="P854" s="126"/>
      <c r="Q854" s="126"/>
      <c r="R854" s="127"/>
      <c r="S854" s="127"/>
      <c r="T854" s="127"/>
      <c r="U854" s="127"/>
    </row>
    <row r="855" spans="1:21" ht="15" customHeight="1">
      <c r="A855" s="125"/>
      <c r="B855" s="125"/>
      <c r="C855" s="125"/>
      <c r="D855" s="81"/>
      <c r="E855" s="81"/>
      <c r="F855" s="97"/>
      <c r="G855" s="81"/>
      <c r="H855" s="81"/>
      <c r="I855" s="81"/>
      <c r="J855" s="81"/>
      <c r="K855" s="81"/>
      <c r="L855" s="155"/>
      <c r="M855" s="155"/>
      <c r="N855" s="109"/>
      <c r="O855" s="126"/>
      <c r="P855" s="126"/>
      <c r="Q855" s="126"/>
      <c r="R855" s="127"/>
      <c r="S855" s="127"/>
      <c r="T855" s="127"/>
      <c r="U855" s="127"/>
    </row>
    <row r="856" spans="1:21" ht="15" customHeight="1">
      <c r="A856" s="125"/>
      <c r="B856" s="125"/>
      <c r="C856" s="125"/>
      <c r="D856" s="81"/>
      <c r="E856" s="81"/>
      <c r="F856" s="97"/>
      <c r="G856" s="81"/>
      <c r="H856" s="81"/>
      <c r="I856" s="81"/>
      <c r="J856" s="81"/>
      <c r="K856" s="81"/>
      <c r="L856" s="155"/>
      <c r="M856" s="155"/>
      <c r="N856" s="109"/>
      <c r="O856" s="126"/>
      <c r="P856" s="126"/>
      <c r="Q856" s="126"/>
      <c r="R856" s="127"/>
      <c r="S856" s="127"/>
      <c r="T856" s="127"/>
      <c r="U856" s="127"/>
    </row>
    <row r="857" spans="1:21" ht="15" customHeight="1">
      <c r="A857" s="125"/>
      <c r="B857" s="125"/>
      <c r="C857" s="125"/>
      <c r="D857" s="81"/>
      <c r="E857" s="81"/>
      <c r="F857" s="97"/>
      <c r="G857" s="81"/>
      <c r="H857" s="81"/>
      <c r="I857" s="81"/>
      <c r="J857" s="81"/>
      <c r="K857" s="81"/>
      <c r="L857" s="155"/>
      <c r="M857" s="155"/>
      <c r="N857" s="109"/>
      <c r="O857" s="126"/>
      <c r="P857" s="126"/>
      <c r="Q857" s="126"/>
      <c r="R857" s="127"/>
      <c r="S857" s="127"/>
      <c r="T857" s="127"/>
      <c r="U857" s="127"/>
    </row>
    <row r="858" spans="1:21" ht="15" customHeight="1">
      <c r="A858" s="125"/>
      <c r="B858" s="125"/>
      <c r="C858" s="125"/>
      <c r="D858" s="81"/>
      <c r="E858" s="81"/>
      <c r="F858" s="97"/>
      <c r="G858" s="81"/>
      <c r="H858" s="81"/>
      <c r="I858" s="81"/>
      <c r="J858" s="81"/>
      <c r="K858" s="81"/>
      <c r="L858" s="155"/>
      <c r="M858" s="155"/>
      <c r="N858" s="109"/>
      <c r="O858" s="126"/>
      <c r="P858" s="126"/>
      <c r="Q858" s="126"/>
      <c r="R858" s="127"/>
      <c r="S858" s="127"/>
      <c r="T858" s="127"/>
      <c r="U858" s="127"/>
    </row>
    <row r="859" spans="1:21" ht="15" customHeight="1">
      <c r="A859" s="125"/>
      <c r="B859" s="125"/>
      <c r="C859" s="125"/>
      <c r="D859" s="81"/>
      <c r="E859" s="81"/>
      <c r="F859" s="97"/>
      <c r="G859" s="81"/>
      <c r="H859" s="81"/>
      <c r="I859" s="81"/>
      <c r="J859" s="81"/>
      <c r="K859" s="81"/>
      <c r="L859" s="155"/>
      <c r="M859" s="155"/>
      <c r="N859" s="109"/>
      <c r="O859" s="126"/>
      <c r="P859" s="126"/>
      <c r="Q859" s="126"/>
      <c r="R859" s="127"/>
      <c r="S859" s="127"/>
      <c r="T859" s="127"/>
      <c r="U859" s="127"/>
    </row>
    <row r="860" spans="1:21" ht="15" customHeight="1">
      <c r="A860" s="125"/>
      <c r="B860" s="125"/>
      <c r="C860" s="125"/>
      <c r="D860" s="81"/>
      <c r="E860" s="81"/>
      <c r="F860" s="97"/>
      <c r="G860" s="81"/>
      <c r="H860" s="81"/>
      <c r="I860" s="81"/>
      <c r="J860" s="81"/>
      <c r="K860" s="81"/>
      <c r="L860" s="155"/>
      <c r="M860" s="155"/>
      <c r="N860" s="109"/>
      <c r="O860" s="126"/>
      <c r="P860" s="126"/>
      <c r="Q860" s="126"/>
      <c r="R860" s="127"/>
      <c r="S860" s="127"/>
      <c r="T860" s="127"/>
      <c r="U860" s="127"/>
    </row>
    <row r="861" spans="1:21" ht="15" customHeight="1">
      <c r="A861" s="125"/>
      <c r="B861" s="125"/>
      <c r="C861" s="125"/>
      <c r="D861" s="81"/>
      <c r="E861" s="81"/>
      <c r="F861" s="97"/>
      <c r="G861" s="81"/>
      <c r="H861" s="81"/>
      <c r="I861" s="81"/>
      <c r="J861" s="81"/>
      <c r="K861" s="81"/>
      <c r="L861" s="155"/>
      <c r="M861" s="155"/>
      <c r="N861" s="109"/>
      <c r="O861" s="126"/>
      <c r="P861" s="126"/>
      <c r="Q861" s="126"/>
      <c r="R861" s="127"/>
      <c r="S861" s="127"/>
      <c r="T861" s="127"/>
      <c r="U861" s="127"/>
    </row>
    <row r="862" spans="1:21" ht="15" customHeight="1">
      <c r="A862" s="125"/>
      <c r="B862" s="125"/>
      <c r="C862" s="125"/>
      <c r="D862" s="81"/>
      <c r="E862" s="81"/>
      <c r="F862" s="97"/>
      <c r="G862" s="81"/>
      <c r="H862" s="81"/>
      <c r="I862" s="81"/>
      <c r="J862" s="81"/>
      <c r="K862" s="81"/>
      <c r="L862" s="155"/>
      <c r="M862" s="155"/>
      <c r="N862" s="109"/>
      <c r="O862" s="126"/>
      <c r="P862" s="126"/>
      <c r="Q862" s="126"/>
      <c r="R862" s="127"/>
      <c r="S862" s="127"/>
      <c r="T862" s="127"/>
      <c r="U862" s="127"/>
    </row>
    <row r="863" spans="1:21" ht="15" customHeight="1">
      <c r="A863" s="125"/>
      <c r="B863" s="125"/>
      <c r="C863" s="125"/>
      <c r="D863" s="81"/>
      <c r="E863" s="81"/>
      <c r="F863" s="97"/>
      <c r="G863" s="81"/>
      <c r="H863" s="81"/>
      <c r="I863" s="81"/>
      <c r="J863" s="81"/>
      <c r="K863" s="81"/>
      <c r="L863" s="155"/>
      <c r="M863" s="155"/>
      <c r="N863" s="109"/>
      <c r="O863" s="126"/>
      <c r="P863" s="126"/>
      <c r="Q863" s="126"/>
      <c r="R863" s="127"/>
      <c r="S863" s="127"/>
      <c r="T863" s="127"/>
      <c r="U863" s="127"/>
    </row>
    <row r="864" spans="1:21" ht="15" customHeight="1">
      <c r="A864" s="125"/>
      <c r="B864" s="125"/>
      <c r="C864" s="125"/>
      <c r="D864" s="81"/>
      <c r="E864" s="81"/>
      <c r="F864" s="97"/>
      <c r="G864" s="81"/>
      <c r="H864" s="81"/>
      <c r="I864" s="81"/>
      <c r="J864" s="81"/>
      <c r="K864" s="81"/>
      <c r="L864" s="155"/>
      <c r="M864" s="155"/>
      <c r="N864" s="109"/>
      <c r="O864" s="126"/>
      <c r="P864" s="126"/>
      <c r="Q864" s="126"/>
      <c r="R864" s="127"/>
      <c r="S864" s="127"/>
      <c r="T864" s="127"/>
      <c r="U864" s="127"/>
    </row>
    <row r="865" spans="1:21" ht="15" customHeight="1">
      <c r="A865" s="125"/>
      <c r="B865" s="125"/>
      <c r="C865" s="125"/>
      <c r="D865" s="81"/>
      <c r="E865" s="81"/>
      <c r="F865" s="97"/>
      <c r="G865" s="81"/>
      <c r="H865" s="81"/>
      <c r="I865" s="81"/>
      <c r="J865" s="81"/>
      <c r="K865" s="81"/>
      <c r="L865" s="155"/>
      <c r="M865" s="155"/>
      <c r="N865" s="109"/>
      <c r="O865" s="126"/>
      <c r="P865" s="126"/>
      <c r="Q865" s="126"/>
      <c r="R865" s="127"/>
      <c r="S865" s="127"/>
      <c r="T865" s="127"/>
      <c r="U865" s="127"/>
    </row>
    <row r="866" spans="1:21" ht="15" customHeight="1">
      <c r="A866" s="125"/>
      <c r="B866" s="125"/>
      <c r="C866" s="125"/>
      <c r="D866" s="81"/>
      <c r="E866" s="81"/>
      <c r="F866" s="97"/>
      <c r="G866" s="81"/>
      <c r="H866" s="81"/>
      <c r="I866" s="81"/>
      <c r="J866" s="81"/>
      <c r="K866" s="81"/>
      <c r="L866" s="155"/>
      <c r="M866" s="155"/>
      <c r="N866" s="109"/>
      <c r="O866" s="126"/>
      <c r="P866" s="126"/>
      <c r="Q866" s="126"/>
      <c r="R866" s="127"/>
      <c r="S866" s="127"/>
      <c r="T866" s="127"/>
      <c r="U866" s="127"/>
    </row>
    <row r="867" spans="1:21" ht="15" customHeight="1">
      <c r="A867" s="125"/>
      <c r="B867" s="125"/>
      <c r="C867" s="125"/>
      <c r="D867" s="81"/>
      <c r="E867" s="81"/>
      <c r="F867" s="97"/>
      <c r="G867" s="81"/>
      <c r="H867" s="81"/>
      <c r="I867" s="81"/>
      <c r="J867" s="81"/>
      <c r="K867" s="81"/>
      <c r="L867" s="155"/>
      <c r="M867" s="155"/>
      <c r="N867" s="109"/>
      <c r="O867" s="126"/>
      <c r="P867" s="126"/>
      <c r="Q867" s="126"/>
      <c r="R867" s="127"/>
      <c r="S867" s="127"/>
      <c r="T867" s="127"/>
      <c r="U867" s="127"/>
    </row>
    <row r="868" spans="1:21" ht="15" customHeight="1">
      <c r="A868" s="125"/>
      <c r="B868" s="125"/>
      <c r="C868" s="125"/>
      <c r="D868" s="81"/>
      <c r="E868" s="81"/>
      <c r="F868" s="97"/>
      <c r="G868" s="81"/>
      <c r="H868" s="81"/>
      <c r="I868" s="81"/>
      <c r="J868" s="81"/>
      <c r="K868" s="81"/>
      <c r="L868" s="155"/>
      <c r="M868" s="155"/>
      <c r="N868" s="109"/>
      <c r="O868" s="126"/>
      <c r="P868" s="126"/>
      <c r="Q868" s="126"/>
      <c r="R868" s="127"/>
      <c r="S868" s="127"/>
      <c r="T868" s="127"/>
      <c r="U868" s="127"/>
    </row>
    <row r="869" spans="1:21" ht="15" customHeight="1">
      <c r="A869" s="125"/>
      <c r="B869" s="125"/>
      <c r="C869" s="125"/>
      <c r="D869" s="81"/>
      <c r="E869" s="81"/>
      <c r="F869" s="97"/>
      <c r="G869" s="81"/>
      <c r="H869" s="81"/>
      <c r="I869" s="81"/>
      <c r="J869" s="81"/>
      <c r="K869" s="81"/>
      <c r="L869" s="155"/>
      <c r="M869" s="155"/>
      <c r="N869" s="109"/>
      <c r="O869" s="126"/>
      <c r="P869" s="126"/>
      <c r="Q869" s="126"/>
      <c r="R869" s="127"/>
      <c r="S869" s="127"/>
      <c r="T869" s="127"/>
      <c r="U869" s="127"/>
    </row>
    <row r="870" spans="1:21" ht="15" customHeight="1">
      <c r="A870" s="125"/>
      <c r="B870" s="125"/>
      <c r="C870" s="125"/>
      <c r="D870" s="81"/>
      <c r="E870" s="81"/>
      <c r="F870" s="97"/>
      <c r="G870" s="81"/>
      <c r="H870" s="81"/>
      <c r="I870" s="81"/>
      <c r="J870" s="81"/>
      <c r="K870" s="81"/>
      <c r="L870" s="155"/>
      <c r="M870" s="155"/>
      <c r="N870" s="109"/>
      <c r="O870" s="126"/>
      <c r="P870" s="126"/>
      <c r="Q870" s="126"/>
      <c r="R870" s="127"/>
      <c r="S870" s="127"/>
      <c r="T870" s="127"/>
      <c r="U870" s="127"/>
    </row>
    <row r="871" spans="1:21" ht="15" customHeight="1">
      <c r="A871" s="125"/>
      <c r="B871" s="125"/>
      <c r="C871" s="125"/>
      <c r="D871" s="81"/>
      <c r="E871" s="81"/>
      <c r="F871" s="97"/>
      <c r="G871" s="81"/>
      <c r="H871" s="81"/>
      <c r="I871" s="81"/>
      <c r="J871" s="81"/>
      <c r="K871" s="81"/>
      <c r="L871" s="155"/>
      <c r="M871" s="155"/>
      <c r="N871" s="109"/>
      <c r="O871" s="126"/>
      <c r="P871" s="126"/>
      <c r="Q871" s="126"/>
      <c r="R871" s="127"/>
      <c r="S871" s="127"/>
      <c r="T871" s="127"/>
      <c r="U871" s="127"/>
    </row>
    <row r="872" spans="1:21" ht="15" customHeight="1">
      <c r="A872" s="125"/>
      <c r="B872" s="125"/>
      <c r="C872" s="125"/>
      <c r="D872" s="81"/>
      <c r="E872" s="81"/>
      <c r="F872" s="97"/>
      <c r="G872" s="81"/>
      <c r="H872" s="81"/>
      <c r="I872" s="81"/>
      <c r="J872" s="81"/>
      <c r="K872" s="81"/>
      <c r="L872" s="155"/>
      <c r="M872" s="155"/>
      <c r="N872" s="109"/>
      <c r="O872" s="126"/>
      <c r="P872" s="126"/>
      <c r="Q872" s="126"/>
      <c r="R872" s="127"/>
      <c r="S872" s="127"/>
      <c r="T872" s="127"/>
      <c r="U872" s="127"/>
    </row>
    <row r="873" spans="1:21" ht="15" customHeight="1">
      <c r="A873" s="125"/>
      <c r="B873" s="125"/>
      <c r="C873" s="125"/>
      <c r="D873" s="81"/>
      <c r="E873" s="81"/>
      <c r="F873" s="97"/>
      <c r="G873" s="81"/>
      <c r="H873" s="81"/>
      <c r="I873" s="81"/>
      <c r="J873" s="81"/>
      <c r="K873" s="81"/>
      <c r="L873" s="155"/>
      <c r="M873" s="155"/>
      <c r="N873" s="109"/>
      <c r="O873" s="126"/>
      <c r="P873" s="126"/>
      <c r="Q873" s="126"/>
      <c r="R873" s="127"/>
      <c r="S873" s="127"/>
      <c r="T873" s="127"/>
      <c r="U873" s="127"/>
    </row>
    <row r="874" spans="1:21" ht="15" customHeight="1">
      <c r="A874" s="125"/>
      <c r="B874" s="125"/>
      <c r="C874" s="125"/>
      <c r="D874" s="81"/>
      <c r="E874" s="81"/>
      <c r="F874" s="97"/>
      <c r="G874" s="81"/>
      <c r="H874" s="81"/>
      <c r="I874" s="81"/>
      <c r="J874" s="81"/>
      <c r="K874" s="81"/>
      <c r="L874" s="155"/>
      <c r="M874" s="155"/>
      <c r="N874" s="109"/>
      <c r="O874" s="126"/>
      <c r="P874" s="126"/>
      <c r="Q874" s="126"/>
      <c r="R874" s="127"/>
      <c r="S874" s="127"/>
      <c r="T874" s="127"/>
      <c r="U874" s="127"/>
    </row>
    <row r="875" spans="1:21" ht="15" customHeight="1">
      <c r="A875" s="125"/>
      <c r="B875" s="125"/>
      <c r="C875" s="125"/>
      <c r="D875" s="81"/>
      <c r="E875" s="81"/>
      <c r="F875" s="97"/>
      <c r="G875" s="81"/>
      <c r="H875" s="81"/>
      <c r="I875" s="81"/>
      <c r="J875" s="81"/>
      <c r="K875" s="81"/>
      <c r="L875" s="155"/>
      <c r="M875" s="155"/>
      <c r="N875" s="109"/>
      <c r="O875" s="126"/>
      <c r="P875" s="126"/>
      <c r="Q875" s="126"/>
      <c r="R875" s="127"/>
      <c r="S875" s="127"/>
      <c r="T875" s="127"/>
      <c r="U875" s="127"/>
    </row>
    <row r="876" spans="1:21" ht="15" customHeight="1">
      <c r="A876" s="125"/>
      <c r="B876" s="125"/>
      <c r="C876" s="125"/>
      <c r="D876" s="81"/>
      <c r="E876" s="81"/>
      <c r="F876" s="97"/>
      <c r="G876" s="81"/>
      <c r="H876" s="81"/>
      <c r="I876" s="81"/>
      <c r="J876" s="81"/>
      <c r="K876" s="81"/>
      <c r="L876" s="155"/>
      <c r="M876" s="155"/>
      <c r="N876" s="109"/>
      <c r="O876" s="126"/>
      <c r="P876" s="126"/>
      <c r="Q876" s="126"/>
      <c r="R876" s="127"/>
      <c r="S876" s="127"/>
      <c r="T876" s="127"/>
      <c r="U876" s="127"/>
    </row>
    <row r="877" spans="1:21" ht="15" customHeight="1">
      <c r="A877" s="125"/>
      <c r="B877" s="125"/>
      <c r="C877" s="125"/>
      <c r="D877" s="81"/>
      <c r="E877" s="81"/>
      <c r="F877" s="97"/>
      <c r="G877" s="81"/>
      <c r="H877" s="81"/>
      <c r="I877" s="81"/>
      <c r="J877" s="81"/>
      <c r="K877" s="81"/>
      <c r="L877" s="155"/>
      <c r="M877" s="155"/>
      <c r="N877" s="109"/>
      <c r="O877" s="126"/>
      <c r="P877" s="126"/>
      <c r="Q877" s="126"/>
      <c r="R877" s="127"/>
      <c r="S877" s="127"/>
      <c r="T877" s="127"/>
      <c r="U877" s="127"/>
    </row>
    <row r="878" spans="1:21" ht="15" customHeight="1">
      <c r="A878" s="125"/>
      <c r="B878" s="125"/>
      <c r="C878" s="125"/>
      <c r="D878" s="81"/>
      <c r="E878" s="81"/>
      <c r="F878" s="97"/>
      <c r="G878" s="81"/>
      <c r="H878" s="81"/>
      <c r="I878" s="81"/>
      <c r="J878" s="81"/>
      <c r="K878" s="81"/>
      <c r="L878" s="155"/>
      <c r="M878" s="155"/>
      <c r="N878" s="109"/>
      <c r="O878" s="126"/>
      <c r="P878" s="126"/>
      <c r="Q878" s="126"/>
      <c r="R878" s="127"/>
      <c r="S878" s="127"/>
      <c r="T878" s="127"/>
      <c r="U878" s="127"/>
    </row>
    <row r="879" spans="1:21" ht="15" customHeight="1">
      <c r="A879" s="125"/>
      <c r="B879" s="125"/>
      <c r="C879" s="125"/>
      <c r="D879" s="81"/>
      <c r="E879" s="81"/>
      <c r="F879" s="97"/>
      <c r="G879" s="81"/>
      <c r="H879" s="81"/>
      <c r="I879" s="81"/>
      <c r="J879" s="81"/>
      <c r="K879" s="81"/>
      <c r="L879" s="155"/>
      <c r="M879" s="155"/>
      <c r="N879" s="109"/>
      <c r="O879" s="126"/>
      <c r="P879" s="126"/>
      <c r="Q879" s="126"/>
      <c r="R879" s="127"/>
      <c r="S879" s="127"/>
      <c r="T879" s="127"/>
      <c r="U879" s="127"/>
    </row>
    <row r="880" spans="1:21" ht="15" customHeight="1">
      <c r="A880" s="125"/>
      <c r="B880" s="125"/>
      <c r="C880" s="125"/>
      <c r="D880" s="81"/>
      <c r="E880" s="81"/>
      <c r="F880" s="97"/>
      <c r="G880" s="81"/>
      <c r="H880" s="81"/>
      <c r="I880" s="81"/>
      <c r="J880" s="81"/>
      <c r="K880" s="81"/>
      <c r="L880" s="155"/>
      <c r="M880" s="155"/>
      <c r="N880" s="109"/>
      <c r="O880" s="126"/>
      <c r="P880" s="126"/>
      <c r="Q880" s="126"/>
      <c r="R880" s="127"/>
      <c r="S880" s="127"/>
      <c r="T880" s="127"/>
      <c r="U880" s="127"/>
    </row>
    <row r="881" spans="1:21" ht="15" customHeight="1">
      <c r="A881" s="125"/>
      <c r="B881" s="125"/>
      <c r="C881" s="125"/>
      <c r="D881" s="81"/>
      <c r="E881" s="81"/>
      <c r="F881" s="97"/>
      <c r="G881" s="81"/>
      <c r="H881" s="81"/>
      <c r="I881" s="81"/>
      <c r="J881" s="81"/>
      <c r="K881" s="81"/>
      <c r="L881" s="155"/>
      <c r="M881" s="155"/>
      <c r="N881" s="109"/>
      <c r="O881" s="126"/>
      <c r="P881" s="126"/>
      <c r="Q881" s="126"/>
      <c r="R881" s="127"/>
      <c r="S881" s="127"/>
      <c r="T881" s="127"/>
      <c r="U881" s="127"/>
    </row>
    <row r="882" spans="1:21" ht="15" customHeight="1">
      <c r="A882" s="125"/>
      <c r="B882" s="125"/>
      <c r="C882" s="125"/>
      <c r="D882" s="81"/>
      <c r="E882" s="81"/>
      <c r="F882" s="97"/>
      <c r="G882" s="81"/>
      <c r="H882" s="81"/>
      <c r="I882" s="81"/>
      <c r="J882" s="81"/>
      <c r="K882" s="81"/>
      <c r="L882" s="155"/>
      <c r="M882" s="155"/>
      <c r="N882" s="109"/>
      <c r="O882" s="126"/>
      <c r="P882" s="126"/>
      <c r="Q882" s="126"/>
      <c r="R882" s="127"/>
      <c r="S882" s="127"/>
      <c r="T882" s="127"/>
      <c r="U882" s="127"/>
    </row>
    <row r="883" spans="1:21" ht="15" customHeight="1">
      <c r="A883" s="125"/>
      <c r="B883" s="125"/>
      <c r="C883" s="125"/>
      <c r="D883" s="81"/>
      <c r="E883" s="81"/>
      <c r="F883" s="97"/>
      <c r="G883" s="81"/>
      <c r="H883" s="81"/>
      <c r="I883" s="81"/>
      <c r="J883" s="81"/>
      <c r="K883" s="81"/>
      <c r="L883" s="155"/>
      <c r="M883" s="155"/>
      <c r="N883" s="109"/>
      <c r="O883" s="126"/>
      <c r="P883" s="126"/>
      <c r="Q883" s="126"/>
      <c r="R883" s="127"/>
      <c r="S883" s="127"/>
      <c r="T883" s="127"/>
      <c r="U883" s="127"/>
    </row>
    <row r="884" spans="1:21" ht="15" customHeight="1">
      <c r="A884" s="125"/>
      <c r="B884" s="125"/>
      <c r="C884" s="125"/>
      <c r="D884" s="81"/>
      <c r="E884" s="81"/>
      <c r="F884" s="97"/>
      <c r="G884" s="81"/>
      <c r="H884" s="81"/>
      <c r="I884" s="81"/>
      <c r="J884" s="81"/>
      <c r="K884" s="81"/>
      <c r="L884" s="155"/>
      <c r="M884" s="155"/>
      <c r="N884" s="109"/>
      <c r="O884" s="126"/>
      <c r="P884" s="126"/>
      <c r="Q884" s="126"/>
      <c r="R884" s="127"/>
      <c r="S884" s="127"/>
      <c r="T884" s="127"/>
      <c r="U884" s="127"/>
    </row>
    <row r="885" spans="1:21" ht="15" customHeight="1">
      <c r="A885" s="125"/>
      <c r="B885" s="125"/>
      <c r="C885" s="125"/>
      <c r="D885" s="81"/>
      <c r="E885" s="81"/>
      <c r="F885" s="97"/>
      <c r="G885" s="81"/>
      <c r="H885" s="81"/>
      <c r="I885" s="81"/>
      <c r="J885" s="81"/>
      <c r="K885" s="81"/>
      <c r="L885" s="155"/>
      <c r="M885" s="155"/>
      <c r="N885" s="109"/>
      <c r="O885" s="126"/>
      <c r="P885" s="126"/>
      <c r="Q885" s="126"/>
      <c r="R885" s="127"/>
      <c r="S885" s="127"/>
      <c r="T885" s="127"/>
      <c r="U885" s="127"/>
    </row>
    <row r="886" spans="1:21" ht="15" customHeight="1">
      <c r="A886" s="125"/>
      <c r="B886" s="125"/>
      <c r="C886" s="125"/>
      <c r="D886" s="81"/>
      <c r="E886" s="81"/>
      <c r="F886" s="97"/>
      <c r="G886" s="81"/>
      <c r="H886" s="81"/>
      <c r="I886" s="81"/>
      <c r="J886" s="81"/>
      <c r="K886" s="81"/>
      <c r="L886" s="155"/>
      <c r="M886" s="155"/>
      <c r="N886" s="109"/>
      <c r="O886" s="126"/>
      <c r="P886" s="126"/>
      <c r="Q886" s="126"/>
      <c r="R886" s="127"/>
      <c r="S886" s="127"/>
      <c r="T886" s="127"/>
      <c r="U886" s="127"/>
    </row>
    <row r="887" spans="1:21" ht="15" customHeight="1">
      <c r="A887" s="125"/>
      <c r="B887" s="125"/>
      <c r="C887" s="125"/>
      <c r="D887" s="81"/>
      <c r="E887" s="81"/>
      <c r="F887" s="97"/>
      <c r="G887" s="81"/>
      <c r="H887" s="81"/>
      <c r="I887" s="81"/>
      <c r="J887" s="81"/>
      <c r="K887" s="81"/>
      <c r="L887" s="155"/>
      <c r="M887" s="155"/>
      <c r="N887" s="109"/>
      <c r="O887" s="126"/>
      <c r="P887" s="126"/>
      <c r="Q887" s="126"/>
      <c r="R887" s="127"/>
      <c r="S887" s="127"/>
      <c r="T887" s="127"/>
      <c r="U887" s="127"/>
    </row>
    <row r="888" spans="1:21" ht="15" customHeight="1">
      <c r="A888" s="125"/>
      <c r="B888" s="125"/>
      <c r="C888" s="125"/>
      <c r="D888" s="81"/>
      <c r="E888" s="81"/>
      <c r="F888" s="97"/>
      <c r="G888" s="81"/>
      <c r="H888" s="81"/>
      <c r="I888" s="81"/>
      <c r="J888" s="81"/>
      <c r="K888" s="81"/>
      <c r="L888" s="155"/>
      <c r="M888" s="155"/>
      <c r="N888" s="109"/>
      <c r="O888" s="126"/>
      <c r="P888" s="126"/>
      <c r="Q888" s="126"/>
      <c r="R888" s="127"/>
      <c r="S888" s="127"/>
      <c r="T888" s="127"/>
      <c r="U888" s="127"/>
    </row>
    <row r="889" spans="1:21" ht="15" customHeight="1">
      <c r="A889" s="125"/>
      <c r="B889" s="125"/>
      <c r="C889" s="125"/>
      <c r="D889" s="81"/>
      <c r="E889" s="81"/>
      <c r="F889" s="97"/>
      <c r="G889" s="81"/>
      <c r="H889" s="81"/>
      <c r="I889" s="81"/>
      <c r="J889" s="81"/>
      <c r="K889" s="81"/>
      <c r="L889" s="155"/>
      <c r="M889" s="155"/>
      <c r="N889" s="109"/>
      <c r="O889" s="126"/>
      <c r="P889" s="126"/>
      <c r="Q889" s="126"/>
      <c r="R889" s="127"/>
      <c r="S889" s="127"/>
      <c r="T889" s="127"/>
      <c r="U889" s="127"/>
    </row>
    <row r="890" spans="1:21" ht="15" customHeight="1">
      <c r="A890" s="125"/>
      <c r="B890" s="125"/>
      <c r="C890" s="125"/>
      <c r="D890" s="81"/>
      <c r="E890" s="81"/>
      <c r="F890" s="97"/>
      <c r="G890" s="81"/>
      <c r="H890" s="81"/>
      <c r="I890" s="81"/>
      <c r="J890" s="81"/>
      <c r="K890" s="81"/>
      <c r="L890" s="155"/>
      <c r="M890" s="155"/>
      <c r="N890" s="109"/>
      <c r="O890" s="126"/>
      <c r="P890" s="126"/>
      <c r="Q890" s="126"/>
      <c r="R890" s="127"/>
      <c r="S890" s="127"/>
      <c r="T890" s="127"/>
      <c r="U890" s="127"/>
    </row>
    <row r="891" spans="1:21" ht="15" customHeight="1">
      <c r="A891" s="125"/>
      <c r="B891" s="125"/>
      <c r="C891" s="125"/>
      <c r="D891" s="81"/>
      <c r="E891" s="81"/>
      <c r="F891" s="97"/>
      <c r="G891" s="81"/>
      <c r="H891" s="81"/>
      <c r="I891" s="81"/>
      <c r="J891" s="81"/>
      <c r="K891" s="81"/>
      <c r="L891" s="155"/>
      <c r="M891" s="155"/>
      <c r="N891" s="109"/>
      <c r="O891" s="126"/>
      <c r="P891" s="126"/>
      <c r="Q891" s="126"/>
      <c r="R891" s="127"/>
      <c r="S891" s="127"/>
      <c r="T891" s="127"/>
      <c r="U891" s="127"/>
    </row>
    <row r="892" spans="1:21" ht="15" customHeight="1">
      <c r="A892" s="125"/>
      <c r="B892" s="125"/>
      <c r="C892" s="125"/>
      <c r="D892" s="81"/>
      <c r="E892" s="81"/>
      <c r="F892" s="97"/>
      <c r="G892" s="81"/>
      <c r="H892" s="81"/>
      <c r="I892" s="81"/>
      <c r="J892" s="81"/>
      <c r="K892" s="81"/>
      <c r="L892" s="155"/>
      <c r="M892" s="155"/>
      <c r="N892" s="109"/>
      <c r="O892" s="126"/>
      <c r="P892" s="126"/>
      <c r="Q892" s="126"/>
      <c r="R892" s="127"/>
      <c r="S892" s="127"/>
      <c r="T892" s="127"/>
      <c r="U892" s="127"/>
    </row>
    <row r="893" spans="1:21" ht="15" customHeight="1">
      <c r="A893" s="125"/>
      <c r="B893" s="125"/>
      <c r="C893" s="125"/>
      <c r="D893" s="81"/>
      <c r="E893" s="81"/>
      <c r="F893" s="97"/>
      <c r="G893" s="81"/>
      <c r="H893" s="81"/>
      <c r="I893" s="81"/>
      <c r="J893" s="81"/>
      <c r="K893" s="81"/>
      <c r="L893" s="155"/>
      <c r="M893" s="155"/>
      <c r="N893" s="109"/>
      <c r="O893" s="126"/>
      <c r="P893" s="126"/>
      <c r="Q893" s="126"/>
      <c r="R893" s="127"/>
      <c r="S893" s="127"/>
      <c r="T893" s="127"/>
      <c r="U893" s="127"/>
    </row>
    <row r="894" spans="1:21" ht="15" customHeight="1">
      <c r="A894" s="125"/>
      <c r="B894" s="125"/>
      <c r="C894" s="125"/>
      <c r="D894" s="81"/>
      <c r="E894" s="81"/>
      <c r="F894" s="97"/>
      <c r="G894" s="81"/>
      <c r="H894" s="81"/>
      <c r="I894" s="81"/>
      <c r="J894" s="81"/>
      <c r="K894" s="81"/>
      <c r="L894" s="155"/>
      <c r="M894" s="155"/>
      <c r="N894" s="109"/>
      <c r="O894" s="126"/>
      <c r="P894" s="126"/>
      <c r="Q894" s="126"/>
      <c r="R894" s="127"/>
      <c r="S894" s="127"/>
      <c r="T894" s="127"/>
      <c r="U894" s="127"/>
    </row>
    <row r="895" spans="1:21" ht="15" customHeight="1">
      <c r="A895" s="125"/>
      <c r="B895" s="125"/>
      <c r="C895" s="125"/>
      <c r="D895" s="81"/>
      <c r="E895" s="81"/>
      <c r="F895" s="97"/>
      <c r="G895" s="81"/>
      <c r="H895" s="81"/>
      <c r="I895" s="81"/>
      <c r="J895" s="81"/>
      <c r="K895" s="81"/>
      <c r="L895" s="155"/>
      <c r="M895" s="155"/>
      <c r="N895" s="109"/>
      <c r="O895" s="126"/>
      <c r="P895" s="126"/>
      <c r="Q895" s="126"/>
      <c r="R895" s="127"/>
      <c r="S895" s="127"/>
      <c r="T895" s="127"/>
      <c r="U895" s="127"/>
    </row>
    <row r="896" spans="1:21" ht="15" customHeight="1">
      <c r="A896" s="125"/>
      <c r="B896" s="125"/>
      <c r="C896" s="125"/>
      <c r="D896" s="81"/>
      <c r="E896" s="81"/>
      <c r="F896" s="97"/>
      <c r="G896" s="81"/>
      <c r="H896" s="81"/>
      <c r="I896" s="81"/>
      <c r="J896" s="81"/>
      <c r="K896" s="81"/>
      <c r="L896" s="155"/>
      <c r="M896" s="155"/>
      <c r="N896" s="109"/>
      <c r="O896" s="126"/>
      <c r="P896" s="126"/>
      <c r="Q896" s="126"/>
      <c r="R896" s="127"/>
      <c r="S896" s="127"/>
      <c r="T896" s="127"/>
      <c r="U896" s="127"/>
    </row>
    <row r="897" spans="1:21" ht="15" customHeight="1">
      <c r="A897" s="125"/>
      <c r="B897" s="125"/>
      <c r="C897" s="125"/>
      <c r="D897" s="81"/>
      <c r="E897" s="81"/>
      <c r="F897" s="97"/>
      <c r="G897" s="81"/>
      <c r="H897" s="81"/>
      <c r="I897" s="81"/>
      <c r="J897" s="81"/>
      <c r="K897" s="81"/>
      <c r="L897" s="155"/>
      <c r="M897" s="155"/>
      <c r="N897" s="109"/>
      <c r="O897" s="126"/>
      <c r="P897" s="126"/>
      <c r="Q897" s="126"/>
      <c r="R897" s="127"/>
      <c r="S897" s="127"/>
      <c r="T897" s="127"/>
      <c r="U897" s="127"/>
    </row>
    <row r="898" spans="1:21" ht="15" customHeight="1">
      <c r="A898" s="125"/>
      <c r="B898" s="125"/>
      <c r="C898" s="125"/>
      <c r="D898" s="81"/>
      <c r="E898" s="81"/>
      <c r="F898" s="97"/>
      <c r="G898" s="81"/>
      <c r="H898" s="81"/>
      <c r="I898" s="81"/>
      <c r="J898" s="81"/>
      <c r="K898" s="81"/>
      <c r="L898" s="155"/>
      <c r="M898" s="155"/>
      <c r="N898" s="109"/>
      <c r="O898" s="126"/>
      <c r="P898" s="126"/>
      <c r="Q898" s="126"/>
      <c r="R898" s="127"/>
      <c r="S898" s="127"/>
      <c r="T898" s="127"/>
      <c r="U898" s="127"/>
    </row>
    <row r="899" spans="1:21" ht="15" customHeight="1">
      <c r="A899" s="125"/>
      <c r="B899" s="125"/>
      <c r="C899" s="125"/>
      <c r="D899" s="81"/>
      <c r="E899" s="81"/>
      <c r="F899" s="97"/>
      <c r="G899" s="81"/>
      <c r="H899" s="81"/>
      <c r="I899" s="81"/>
      <c r="J899" s="81"/>
      <c r="K899" s="81"/>
      <c r="L899" s="155"/>
      <c r="M899" s="155"/>
      <c r="N899" s="109"/>
      <c r="O899" s="126"/>
      <c r="P899" s="126"/>
      <c r="Q899" s="126"/>
      <c r="R899" s="127"/>
      <c r="S899" s="127"/>
      <c r="T899" s="127"/>
      <c r="U899" s="127"/>
    </row>
    <row r="900" spans="1:21" ht="15" customHeight="1">
      <c r="A900" s="125"/>
      <c r="B900" s="125"/>
      <c r="C900" s="125"/>
      <c r="D900" s="81"/>
      <c r="E900" s="81"/>
      <c r="F900" s="97"/>
      <c r="G900" s="81"/>
      <c r="H900" s="81"/>
      <c r="I900" s="81"/>
      <c r="J900" s="81"/>
      <c r="K900" s="81"/>
      <c r="L900" s="155"/>
      <c r="M900" s="155"/>
      <c r="N900" s="109"/>
      <c r="O900" s="126"/>
      <c r="P900" s="126"/>
      <c r="Q900" s="126"/>
      <c r="R900" s="127"/>
      <c r="S900" s="127"/>
      <c r="T900" s="127"/>
      <c r="U900" s="127"/>
    </row>
    <row r="901" spans="1:21" ht="15" customHeight="1">
      <c r="A901" s="125"/>
      <c r="B901" s="125"/>
      <c r="C901" s="125"/>
      <c r="D901" s="81"/>
      <c r="E901" s="81"/>
      <c r="F901" s="97"/>
      <c r="G901" s="81"/>
      <c r="H901" s="81"/>
      <c r="I901" s="81"/>
      <c r="J901" s="81"/>
      <c r="K901" s="81"/>
      <c r="L901" s="155"/>
      <c r="M901" s="155"/>
      <c r="N901" s="109"/>
      <c r="O901" s="126"/>
      <c r="P901" s="126"/>
      <c r="Q901" s="126"/>
      <c r="R901" s="127"/>
      <c r="S901" s="127"/>
      <c r="T901" s="127"/>
      <c r="U901" s="127"/>
    </row>
    <row r="902" spans="1:21" ht="15" customHeight="1">
      <c r="A902" s="125"/>
      <c r="B902" s="125"/>
      <c r="C902" s="125"/>
      <c r="D902" s="81"/>
      <c r="E902" s="81"/>
      <c r="F902" s="97"/>
      <c r="G902" s="81"/>
      <c r="H902" s="81"/>
      <c r="I902" s="81"/>
      <c r="J902" s="81"/>
      <c r="K902" s="81"/>
      <c r="L902" s="155"/>
      <c r="M902" s="155"/>
      <c r="N902" s="109"/>
      <c r="O902" s="126"/>
      <c r="P902" s="126"/>
      <c r="Q902" s="126"/>
      <c r="R902" s="127"/>
      <c r="S902" s="127"/>
      <c r="T902" s="127"/>
      <c r="U902" s="127"/>
    </row>
    <row r="903" spans="1:21" ht="15" customHeight="1">
      <c r="A903" s="125"/>
      <c r="B903" s="125"/>
      <c r="C903" s="125"/>
      <c r="D903" s="81"/>
      <c r="E903" s="81"/>
      <c r="F903" s="97"/>
      <c r="G903" s="81"/>
      <c r="H903" s="81"/>
      <c r="I903" s="81"/>
      <c r="J903" s="81"/>
      <c r="K903" s="81"/>
      <c r="L903" s="155"/>
      <c r="M903" s="155"/>
      <c r="N903" s="109"/>
      <c r="O903" s="126"/>
      <c r="P903" s="126"/>
      <c r="Q903" s="126"/>
      <c r="R903" s="127"/>
      <c r="S903" s="127"/>
      <c r="T903" s="127"/>
      <c r="U903" s="127"/>
    </row>
    <row r="904" spans="1:21" ht="15" customHeight="1">
      <c r="A904" s="125"/>
      <c r="B904" s="125"/>
      <c r="C904" s="125"/>
      <c r="D904" s="81"/>
      <c r="E904" s="81"/>
      <c r="F904" s="97"/>
      <c r="G904" s="81"/>
      <c r="H904" s="81"/>
      <c r="I904" s="81"/>
      <c r="J904" s="81"/>
      <c r="K904" s="81"/>
      <c r="L904" s="155"/>
      <c r="M904" s="155"/>
      <c r="N904" s="109"/>
      <c r="O904" s="126"/>
      <c r="P904" s="126"/>
      <c r="Q904" s="126"/>
      <c r="R904" s="127"/>
      <c r="S904" s="127"/>
      <c r="T904" s="127"/>
      <c r="U904" s="127"/>
    </row>
    <row r="905" spans="1:21" ht="15" customHeight="1">
      <c r="A905" s="125"/>
      <c r="B905" s="125"/>
      <c r="C905" s="125"/>
      <c r="D905" s="81"/>
      <c r="E905" s="81"/>
      <c r="F905" s="97"/>
      <c r="G905" s="81"/>
      <c r="H905" s="81"/>
      <c r="I905" s="81"/>
      <c r="J905" s="81"/>
      <c r="K905" s="81"/>
      <c r="L905" s="155"/>
      <c r="M905" s="155"/>
      <c r="N905" s="109"/>
      <c r="O905" s="126"/>
      <c r="P905" s="126"/>
      <c r="Q905" s="126"/>
      <c r="R905" s="127"/>
      <c r="S905" s="127"/>
      <c r="T905" s="127"/>
      <c r="U905" s="127"/>
    </row>
    <row r="906" spans="1:21" ht="15" customHeight="1">
      <c r="A906" s="125"/>
      <c r="B906" s="125"/>
      <c r="C906" s="125"/>
      <c r="D906" s="81"/>
      <c r="E906" s="81"/>
      <c r="F906" s="97"/>
      <c r="G906" s="81"/>
      <c r="H906" s="81"/>
      <c r="I906" s="81"/>
      <c r="J906" s="81"/>
      <c r="K906" s="81"/>
      <c r="L906" s="155"/>
      <c r="M906" s="155"/>
      <c r="N906" s="109"/>
      <c r="O906" s="126"/>
      <c r="P906" s="126"/>
      <c r="Q906" s="126"/>
      <c r="R906" s="127"/>
      <c r="S906" s="127"/>
      <c r="T906" s="127"/>
      <c r="U906" s="127"/>
    </row>
    <row r="907" spans="1:21" ht="15" customHeight="1">
      <c r="A907" s="125"/>
      <c r="B907" s="125"/>
      <c r="C907" s="125"/>
      <c r="D907" s="81"/>
      <c r="E907" s="81"/>
      <c r="F907" s="97"/>
      <c r="G907" s="81"/>
      <c r="H907" s="81"/>
      <c r="I907" s="81"/>
      <c r="J907" s="81"/>
      <c r="K907" s="81"/>
      <c r="L907" s="155"/>
      <c r="M907" s="155"/>
      <c r="N907" s="109"/>
      <c r="O907" s="126"/>
      <c r="P907" s="126"/>
      <c r="Q907" s="126"/>
      <c r="R907" s="127"/>
      <c r="S907" s="127"/>
      <c r="T907" s="127"/>
      <c r="U907" s="127"/>
    </row>
    <row r="908" spans="1:21" ht="15" customHeight="1">
      <c r="A908" s="125"/>
      <c r="B908" s="125"/>
      <c r="C908" s="125"/>
      <c r="D908" s="81"/>
      <c r="E908" s="81"/>
      <c r="F908" s="97"/>
      <c r="G908" s="81"/>
      <c r="H908" s="81"/>
      <c r="I908" s="81"/>
      <c r="J908" s="81"/>
      <c r="K908" s="81"/>
      <c r="L908" s="155"/>
      <c r="M908" s="155"/>
      <c r="N908" s="109"/>
      <c r="O908" s="126"/>
      <c r="P908" s="126"/>
      <c r="Q908" s="126"/>
      <c r="R908" s="127"/>
      <c r="S908" s="127"/>
      <c r="T908" s="127"/>
      <c r="U908" s="127"/>
    </row>
    <row r="909" spans="1:21" ht="15" customHeight="1">
      <c r="A909" s="125"/>
      <c r="B909" s="125"/>
      <c r="C909" s="125"/>
      <c r="D909" s="81"/>
      <c r="E909" s="81"/>
      <c r="F909" s="97"/>
      <c r="G909" s="81"/>
      <c r="H909" s="81"/>
      <c r="I909" s="81"/>
      <c r="J909" s="81"/>
      <c r="K909" s="81"/>
      <c r="L909" s="155"/>
      <c r="M909" s="155"/>
      <c r="N909" s="109"/>
      <c r="O909" s="126"/>
      <c r="P909" s="126"/>
      <c r="Q909" s="126"/>
      <c r="R909" s="127"/>
      <c r="S909" s="127"/>
      <c r="T909" s="127"/>
      <c r="U909" s="127"/>
    </row>
    <row r="910" spans="1:21" ht="15" customHeight="1">
      <c r="A910" s="125"/>
      <c r="B910" s="125"/>
      <c r="C910" s="125"/>
      <c r="D910" s="81"/>
      <c r="E910" s="81"/>
      <c r="F910" s="97"/>
      <c r="G910" s="81"/>
      <c r="H910" s="81"/>
      <c r="I910" s="81"/>
      <c r="J910" s="81"/>
      <c r="K910" s="81"/>
      <c r="L910" s="155"/>
      <c r="M910" s="155"/>
      <c r="N910" s="109"/>
      <c r="O910" s="126"/>
      <c r="P910" s="126"/>
      <c r="Q910" s="126"/>
      <c r="R910" s="127"/>
      <c r="S910" s="127"/>
      <c r="T910" s="127"/>
      <c r="U910" s="127"/>
    </row>
    <row r="911" spans="1:21" ht="15" customHeight="1">
      <c r="A911" s="125"/>
      <c r="B911" s="125"/>
      <c r="C911" s="125"/>
      <c r="D911" s="81"/>
      <c r="E911" s="81"/>
      <c r="F911" s="97"/>
      <c r="G911" s="81"/>
      <c r="H911" s="81"/>
      <c r="I911" s="81"/>
      <c r="J911" s="81"/>
      <c r="K911" s="81"/>
      <c r="L911" s="155"/>
      <c r="M911" s="155"/>
      <c r="N911" s="109"/>
      <c r="O911" s="126"/>
      <c r="P911" s="126"/>
      <c r="Q911" s="126"/>
      <c r="R911" s="127"/>
      <c r="S911" s="127"/>
      <c r="T911" s="127"/>
      <c r="U911" s="127"/>
    </row>
    <row r="912" spans="1:21" ht="15" customHeight="1">
      <c r="A912" s="125"/>
      <c r="B912" s="125"/>
      <c r="C912" s="125"/>
      <c r="D912" s="81"/>
      <c r="E912" s="81"/>
      <c r="F912" s="97"/>
      <c r="G912" s="81"/>
      <c r="H912" s="81"/>
      <c r="I912" s="81"/>
      <c r="J912" s="81"/>
      <c r="K912" s="81"/>
      <c r="L912" s="155"/>
      <c r="M912" s="155"/>
      <c r="N912" s="109"/>
      <c r="O912" s="126"/>
      <c r="P912" s="126"/>
      <c r="Q912" s="126"/>
      <c r="R912" s="127"/>
      <c r="S912" s="127"/>
      <c r="T912" s="127"/>
      <c r="U912" s="127"/>
    </row>
    <row r="913" spans="1:21" ht="15" customHeight="1">
      <c r="A913" s="125"/>
      <c r="B913" s="125"/>
      <c r="C913" s="125"/>
      <c r="D913" s="81"/>
      <c r="E913" s="81"/>
      <c r="F913" s="97"/>
      <c r="G913" s="81"/>
      <c r="H913" s="81"/>
      <c r="I913" s="81"/>
      <c r="J913" s="81"/>
      <c r="K913" s="81"/>
      <c r="L913" s="155"/>
      <c r="M913" s="155"/>
      <c r="N913" s="109"/>
      <c r="O913" s="126"/>
      <c r="P913" s="126"/>
      <c r="Q913" s="126"/>
      <c r="R913" s="127"/>
      <c r="S913" s="127"/>
      <c r="T913" s="127"/>
      <c r="U913" s="127"/>
    </row>
    <row r="914" spans="1:21" ht="15" customHeight="1">
      <c r="A914" s="125"/>
      <c r="B914" s="125"/>
      <c r="C914" s="125"/>
      <c r="D914" s="81"/>
      <c r="E914" s="81"/>
      <c r="F914" s="97"/>
      <c r="G914" s="81"/>
      <c r="H914" s="81"/>
      <c r="I914" s="81"/>
      <c r="J914" s="81"/>
      <c r="K914" s="81"/>
      <c r="L914" s="155"/>
      <c r="M914" s="155"/>
      <c r="N914" s="109"/>
      <c r="O914" s="126"/>
      <c r="P914" s="126"/>
      <c r="Q914" s="126"/>
      <c r="R914" s="127"/>
      <c r="S914" s="127"/>
      <c r="T914" s="127"/>
      <c r="U914" s="127"/>
    </row>
    <row r="915" spans="1:21" ht="15" customHeight="1">
      <c r="A915" s="125"/>
      <c r="B915" s="125"/>
      <c r="C915" s="125"/>
      <c r="D915" s="81"/>
      <c r="E915" s="81"/>
      <c r="F915" s="97"/>
      <c r="G915" s="81"/>
      <c r="H915" s="81"/>
      <c r="I915" s="81"/>
      <c r="J915" s="81"/>
      <c r="K915" s="81"/>
      <c r="L915" s="155"/>
      <c r="M915" s="155"/>
      <c r="N915" s="109"/>
      <c r="O915" s="126"/>
      <c r="P915" s="126"/>
      <c r="Q915" s="126"/>
      <c r="R915" s="127"/>
      <c r="S915" s="127"/>
      <c r="T915" s="127"/>
      <c r="U915" s="127"/>
    </row>
    <row r="916" spans="1:21" ht="15" customHeight="1">
      <c r="A916" s="125"/>
      <c r="B916" s="125"/>
      <c r="C916" s="125"/>
      <c r="D916" s="81"/>
      <c r="E916" s="81"/>
      <c r="F916" s="97"/>
      <c r="G916" s="81"/>
      <c r="H916" s="81"/>
      <c r="I916" s="81"/>
      <c r="J916" s="81"/>
      <c r="K916" s="81"/>
      <c r="L916" s="155"/>
      <c r="M916" s="155"/>
      <c r="N916" s="109"/>
      <c r="O916" s="126"/>
      <c r="P916" s="126"/>
      <c r="Q916" s="126"/>
      <c r="R916" s="127"/>
      <c r="S916" s="127"/>
      <c r="T916" s="127"/>
      <c r="U916" s="127"/>
    </row>
    <row r="917" spans="1:21" ht="15" customHeight="1">
      <c r="A917" s="125"/>
      <c r="B917" s="125"/>
      <c r="C917" s="125"/>
      <c r="D917" s="81"/>
      <c r="E917" s="81"/>
      <c r="F917" s="97"/>
      <c r="G917" s="81"/>
      <c r="H917" s="81"/>
      <c r="I917" s="81"/>
      <c r="J917" s="81"/>
      <c r="K917" s="81"/>
      <c r="L917" s="155"/>
      <c r="M917" s="155"/>
      <c r="N917" s="109"/>
      <c r="O917" s="126"/>
      <c r="P917" s="126"/>
      <c r="Q917" s="126"/>
      <c r="R917" s="127"/>
      <c r="S917" s="127"/>
      <c r="T917" s="127"/>
      <c r="U917" s="127"/>
    </row>
    <row r="918" spans="1:21" ht="15" customHeight="1">
      <c r="A918" s="125"/>
      <c r="B918" s="125"/>
      <c r="C918" s="125"/>
      <c r="D918" s="81"/>
      <c r="E918" s="81"/>
      <c r="F918" s="97"/>
      <c r="G918" s="81"/>
      <c r="H918" s="81"/>
      <c r="I918" s="81"/>
      <c r="J918" s="81"/>
      <c r="K918" s="81"/>
      <c r="L918" s="155"/>
      <c r="M918" s="155"/>
      <c r="N918" s="109"/>
      <c r="O918" s="126"/>
      <c r="P918" s="126"/>
      <c r="Q918" s="126"/>
      <c r="R918" s="127"/>
      <c r="S918" s="127"/>
      <c r="T918" s="127"/>
      <c r="U918" s="127"/>
    </row>
    <row r="919" spans="1:21" ht="15" customHeight="1">
      <c r="A919" s="125"/>
      <c r="B919" s="125"/>
      <c r="C919" s="125"/>
      <c r="D919" s="81"/>
      <c r="E919" s="81"/>
      <c r="F919" s="97"/>
      <c r="G919" s="81"/>
      <c r="H919" s="81"/>
      <c r="I919" s="81"/>
      <c r="J919" s="81"/>
      <c r="K919" s="81"/>
      <c r="L919" s="155"/>
      <c r="M919" s="155"/>
      <c r="N919" s="109"/>
      <c r="O919" s="126"/>
      <c r="P919" s="126"/>
      <c r="Q919" s="126"/>
      <c r="R919" s="127"/>
      <c r="S919" s="127"/>
      <c r="T919" s="127"/>
      <c r="U919" s="127"/>
    </row>
    <row r="920" spans="1:21" ht="15" customHeight="1">
      <c r="A920" s="125"/>
      <c r="B920" s="125"/>
      <c r="C920" s="125"/>
      <c r="D920" s="81"/>
      <c r="E920" s="81"/>
      <c r="F920" s="97"/>
      <c r="G920" s="81"/>
      <c r="H920" s="81"/>
      <c r="I920" s="81"/>
      <c r="J920" s="81"/>
      <c r="K920" s="81"/>
      <c r="L920" s="155"/>
      <c r="M920" s="155"/>
      <c r="N920" s="109"/>
      <c r="O920" s="126"/>
      <c r="P920" s="126"/>
      <c r="Q920" s="126"/>
      <c r="R920" s="127"/>
      <c r="S920" s="127"/>
      <c r="T920" s="127"/>
      <c r="U920" s="127"/>
    </row>
    <row r="921" spans="1:21" ht="15" customHeight="1">
      <c r="A921" s="125"/>
      <c r="B921" s="125"/>
      <c r="C921" s="125"/>
      <c r="D921" s="81"/>
      <c r="E921" s="81"/>
      <c r="F921" s="97"/>
      <c r="G921" s="81"/>
      <c r="H921" s="81"/>
      <c r="I921" s="81"/>
      <c r="J921" s="81"/>
      <c r="K921" s="81"/>
      <c r="L921" s="155"/>
      <c r="M921" s="155"/>
      <c r="N921" s="109"/>
      <c r="O921" s="126"/>
      <c r="P921" s="126"/>
      <c r="Q921" s="126"/>
      <c r="R921" s="127"/>
      <c r="S921" s="127"/>
      <c r="T921" s="127"/>
      <c r="U921" s="127"/>
    </row>
    <row r="922" spans="1:21" ht="15" customHeight="1">
      <c r="A922" s="125"/>
      <c r="B922" s="125"/>
      <c r="C922" s="125"/>
      <c r="D922" s="81"/>
      <c r="E922" s="81"/>
      <c r="F922" s="97"/>
      <c r="G922" s="81"/>
      <c r="H922" s="81"/>
      <c r="I922" s="81"/>
      <c r="J922" s="81"/>
      <c r="K922" s="81"/>
      <c r="L922" s="155"/>
      <c r="M922" s="155"/>
      <c r="N922" s="109"/>
      <c r="O922" s="126"/>
      <c r="P922" s="126"/>
      <c r="Q922" s="126"/>
      <c r="R922" s="127"/>
      <c r="S922" s="127"/>
      <c r="T922" s="127"/>
      <c r="U922" s="127"/>
    </row>
    <row r="923" spans="1:21" ht="15" customHeight="1">
      <c r="A923" s="125"/>
      <c r="B923" s="125"/>
      <c r="C923" s="125"/>
      <c r="D923" s="81"/>
      <c r="E923" s="81"/>
      <c r="F923" s="97"/>
      <c r="G923" s="81"/>
      <c r="H923" s="81"/>
      <c r="I923" s="81"/>
      <c r="J923" s="81"/>
      <c r="K923" s="81"/>
      <c r="L923" s="155"/>
      <c r="M923" s="155"/>
      <c r="N923" s="109"/>
      <c r="O923" s="126"/>
      <c r="P923" s="126"/>
      <c r="Q923" s="126"/>
      <c r="R923" s="127"/>
      <c r="S923" s="127"/>
      <c r="T923" s="127"/>
      <c r="U923" s="127"/>
    </row>
    <row r="924" spans="1:21" ht="15" customHeight="1">
      <c r="A924" s="125"/>
      <c r="B924" s="125"/>
      <c r="C924" s="125"/>
      <c r="D924" s="81"/>
      <c r="E924" s="81"/>
      <c r="F924" s="97"/>
      <c r="G924" s="81"/>
      <c r="H924" s="81"/>
      <c r="I924" s="81"/>
      <c r="J924" s="81"/>
      <c r="K924" s="81"/>
      <c r="L924" s="155"/>
      <c r="M924" s="155"/>
      <c r="N924" s="109"/>
      <c r="O924" s="126"/>
      <c r="P924" s="126"/>
      <c r="Q924" s="126"/>
      <c r="R924" s="127"/>
      <c r="S924" s="127"/>
      <c r="T924" s="127"/>
      <c r="U924" s="127"/>
    </row>
    <row r="925" spans="1:21" ht="15" customHeight="1">
      <c r="A925" s="125"/>
      <c r="B925" s="125"/>
      <c r="C925" s="125"/>
      <c r="D925" s="81"/>
      <c r="E925" s="81"/>
      <c r="F925" s="97"/>
      <c r="G925" s="81"/>
      <c r="H925" s="81"/>
      <c r="I925" s="81"/>
      <c r="J925" s="81"/>
      <c r="K925" s="81"/>
      <c r="L925" s="155"/>
      <c r="M925" s="155"/>
      <c r="N925" s="109"/>
      <c r="O925" s="126"/>
      <c r="P925" s="126"/>
      <c r="Q925" s="126"/>
      <c r="R925" s="127"/>
      <c r="S925" s="127"/>
      <c r="T925" s="127"/>
      <c r="U925" s="127"/>
    </row>
    <row r="926" spans="1:21" ht="15" customHeight="1">
      <c r="A926" s="125"/>
      <c r="B926" s="125"/>
      <c r="C926" s="125"/>
      <c r="D926" s="81"/>
      <c r="E926" s="81"/>
      <c r="F926" s="97"/>
      <c r="G926" s="81"/>
      <c r="H926" s="81"/>
      <c r="I926" s="81"/>
      <c r="J926" s="81"/>
      <c r="K926" s="81"/>
      <c r="L926" s="155"/>
      <c r="M926" s="155"/>
      <c r="N926" s="109"/>
      <c r="O926" s="126"/>
      <c r="P926" s="126"/>
      <c r="Q926" s="126"/>
      <c r="R926" s="127"/>
      <c r="S926" s="127"/>
      <c r="T926" s="127"/>
      <c r="U926" s="127"/>
    </row>
    <row r="927" spans="1:21" ht="15" customHeight="1">
      <c r="A927" s="125"/>
      <c r="B927" s="125"/>
      <c r="C927" s="125"/>
      <c r="D927" s="81"/>
      <c r="E927" s="81"/>
      <c r="F927" s="97"/>
      <c r="G927" s="81"/>
      <c r="H927" s="81"/>
      <c r="I927" s="81"/>
      <c r="J927" s="81"/>
      <c r="K927" s="81"/>
      <c r="L927" s="155"/>
      <c r="M927" s="155"/>
      <c r="N927" s="109"/>
      <c r="O927" s="126"/>
      <c r="P927" s="126"/>
      <c r="Q927" s="126"/>
      <c r="R927" s="127"/>
      <c r="S927" s="127"/>
      <c r="T927" s="127"/>
      <c r="U927" s="127"/>
    </row>
    <row r="928" spans="1:21" ht="15" customHeight="1">
      <c r="A928" s="125"/>
      <c r="B928" s="125"/>
      <c r="C928" s="125"/>
      <c r="D928" s="81"/>
      <c r="E928" s="81"/>
      <c r="F928" s="97"/>
      <c r="G928" s="81"/>
      <c r="H928" s="81"/>
      <c r="I928" s="81"/>
      <c r="J928" s="81"/>
      <c r="K928" s="81"/>
      <c r="L928" s="155"/>
      <c r="M928" s="155"/>
      <c r="N928" s="109"/>
      <c r="O928" s="126"/>
      <c r="P928" s="126"/>
      <c r="Q928" s="126"/>
      <c r="R928" s="127"/>
      <c r="S928" s="127"/>
      <c r="T928" s="127"/>
      <c r="U928" s="127"/>
    </row>
    <row r="929" spans="1:21" ht="15" customHeight="1">
      <c r="A929" s="125"/>
      <c r="B929" s="125"/>
      <c r="C929" s="125"/>
      <c r="D929" s="81"/>
      <c r="E929" s="81"/>
      <c r="F929" s="97"/>
      <c r="G929" s="81"/>
      <c r="H929" s="81"/>
      <c r="I929" s="81"/>
      <c r="J929" s="81"/>
      <c r="K929" s="81"/>
      <c r="L929" s="155"/>
      <c r="M929" s="155"/>
      <c r="N929" s="109"/>
      <c r="O929" s="126"/>
      <c r="P929" s="126"/>
      <c r="Q929" s="126"/>
      <c r="R929" s="127"/>
      <c r="S929" s="127"/>
      <c r="T929" s="127"/>
      <c r="U929" s="127"/>
    </row>
    <row r="930" spans="1:21" ht="15" customHeight="1">
      <c r="A930" s="125"/>
      <c r="B930" s="125"/>
      <c r="C930" s="125"/>
      <c r="D930" s="81"/>
      <c r="E930" s="81"/>
      <c r="F930" s="97"/>
      <c r="G930" s="81"/>
      <c r="H930" s="81"/>
      <c r="I930" s="81"/>
      <c r="J930" s="81"/>
      <c r="K930" s="81"/>
      <c r="L930" s="155"/>
      <c r="M930" s="155"/>
      <c r="N930" s="109"/>
      <c r="O930" s="126"/>
      <c r="P930" s="126"/>
      <c r="Q930" s="126"/>
      <c r="R930" s="127"/>
      <c r="S930" s="127"/>
      <c r="T930" s="127"/>
      <c r="U930" s="127"/>
    </row>
    <row r="931" spans="1:21" ht="15" customHeight="1">
      <c r="A931" s="125"/>
      <c r="B931" s="125"/>
      <c r="C931" s="125"/>
      <c r="D931" s="81"/>
      <c r="E931" s="81"/>
      <c r="F931" s="97"/>
      <c r="G931" s="81"/>
      <c r="H931" s="81"/>
      <c r="I931" s="81"/>
      <c r="J931" s="81"/>
      <c r="K931" s="81"/>
      <c r="L931" s="155"/>
      <c r="M931" s="155"/>
      <c r="N931" s="109"/>
      <c r="O931" s="126"/>
      <c r="P931" s="126"/>
      <c r="Q931" s="126"/>
      <c r="R931" s="127"/>
      <c r="S931" s="127"/>
      <c r="T931" s="127"/>
      <c r="U931" s="127"/>
    </row>
    <row r="932" spans="1:21" ht="15" customHeight="1">
      <c r="A932" s="125"/>
      <c r="B932" s="125"/>
      <c r="C932" s="125"/>
      <c r="D932" s="81"/>
      <c r="E932" s="81"/>
      <c r="F932" s="97"/>
      <c r="G932" s="81"/>
      <c r="H932" s="81"/>
      <c r="I932" s="81"/>
      <c r="J932" s="81"/>
      <c r="K932" s="81"/>
      <c r="L932" s="155"/>
      <c r="M932" s="155"/>
      <c r="N932" s="109"/>
      <c r="O932" s="126"/>
      <c r="P932" s="126"/>
      <c r="Q932" s="126"/>
      <c r="R932" s="127"/>
      <c r="S932" s="127"/>
      <c r="T932" s="127"/>
      <c r="U932" s="127"/>
    </row>
    <row r="933" spans="1:21" ht="15" customHeight="1">
      <c r="A933" s="125"/>
      <c r="B933" s="125"/>
      <c r="C933" s="125"/>
      <c r="D933" s="81"/>
      <c r="E933" s="81"/>
      <c r="F933" s="97"/>
      <c r="G933" s="81"/>
      <c r="H933" s="81"/>
      <c r="I933" s="81"/>
      <c r="J933" s="81"/>
      <c r="K933" s="81"/>
      <c r="L933" s="155"/>
      <c r="M933" s="155"/>
      <c r="N933" s="109"/>
      <c r="O933" s="126"/>
      <c r="P933" s="126"/>
      <c r="Q933" s="126"/>
      <c r="R933" s="127"/>
      <c r="S933" s="127"/>
      <c r="T933" s="127"/>
      <c r="U933" s="127"/>
    </row>
    <row r="934" spans="1:21" ht="15" customHeight="1">
      <c r="A934" s="125"/>
      <c r="B934" s="125"/>
      <c r="C934" s="125"/>
      <c r="D934" s="81"/>
      <c r="E934" s="81"/>
      <c r="F934" s="97"/>
      <c r="G934" s="81"/>
      <c r="H934" s="81"/>
      <c r="I934" s="81"/>
      <c r="J934" s="81"/>
      <c r="K934" s="81"/>
      <c r="L934" s="155"/>
      <c r="M934" s="155"/>
      <c r="N934" s="109"/>
      <c r="O934" s="126"/>
      <c r="P934" s="126"/>
      <c r="Q934" s="126"/>
      <c r="R934" s="127"/>
      <c r="S934" s="127"/>
      <c r="T934" s="127"/>
      <c r="U934" s="127"/>
    </row>
    <row r="935" spans="1:21" ht="15" customHeight="1">
      <c r="A935" s="125"/>
      <c r="B935" s="125"/>
      <c r="C935" s="125"/>
      <c r="D935" s="81"/>
      <c r="E935" s="81"/>
      <c r="F935" s="97"/>
      <c r="G935" s="81"/>
      <c r="H935" s="81"/>
      <c r="I935" s="81"/>
      <c r="J935" s="81"/>
      <c r="K935" s="81"/>
      <c r="L935" s="155"/>
      <c r="M935" s="155"/>
      <c r="N935" s="109"/>
      <c r="O935" s="126"/>
      <c r="P935" s="126"/>
      <c r="Q935" s="126"/>
      <c r="R935" s="127"/>
      <c r="S935" s="127"/>
      <c r="T935" s="127"/>
      <c r="U935" s="127"/>
    </row>
    <row r="936" spans="1:21" ht="15" customHeight="1">
      <c r="A936" s="125"/>
      <c r="B936" s="125"/>
      <c r="C936" s="125"/>
      <c r="D936" s="81"/>
      <c r="E936" s="81"/>
      <c r="F936" s="97"/>
      <c r="G936" s="81"/>
      <c r="H936" s="81"/>
      <c r="I936" s="81"/>
      <c r="J936" s="81"/>
      <c r="K936" s="81"/>
      <c r="L936" s="155"/>
      <c r="M936" s="155"/>
      <c r="N936" s="109"/>
      <c r="O936" s="126"/>
      <c r="P936" s="126"/>
      <c r="Q936" s="126"/>
      <c r="R936" s="127"/>
      <c r="S936" s="127"/>
      <c r="T936" s="127"/>
      <c r="U936" s="127"/>
    </row>
    <row r="937" spans="1:21" ht="15" customHeight="1">
      <c r="A937" s="125"/>
      <c r="B937" s="125"/>
      <c r="C937" s="125"/>
      <c r="D937" s="81"/>
      <c r="E937" s="81"/>
      <c r="F937" s="97"/>
      <c r="G937" s="81"/>
      <c r="H937" s="81"/>
      <c r="I937" s="81"/>
      <c r="J937" s="81"/>
      <c r="K937" s="81"/>
      <c r="L937" s="155"/>
      <c r="M937" s="155"/>
      <c r="N937" s="109"/>
      <c r="O937" s="126"/>
      <c r="P937" s="126"/>
      <c r="Q937" s="126"/>
      <c r="R937" s="127"/>
      <c r="S937" s="127"/>
      <c r="T937" s="127"/>
      <c r="U937" s="127"/>
    </row>
    <row r="938" spans="1:21" ht="15" customHeight="1">
      <c r="A938" s="125"/>
      <c r="B938" s="125"/>
      <c r="C938" s="125"/>
      <c r="D938" s="81"/>
      <c r="E938" s="81"/>
      <c r="F938" s="97"/>
      <c r="G938" s="81"/>
      <c r="H938" s="81"/>
      <c r="I938" s="81"/>
      <c r="J938" s="81"/>
      <c r="K938" s="81"/>
      <c r="L938" s="155"/>
      <c r="M938" s="155"/>
      <c r="N938" s="109"/>
      <c r="O938" s="126"/>
      <c r="P938" s="126"/>
      <c r="Q938" s="126"/>
      <c r="R938" s="127"/>
      <c r="S938" s="127"/>
      <c r="T938" s="127"/>
      <c r="U938" s="127"/>
    </row>
    <row r="939" spans="1:21" ht="15" customHeight="1">
      <c r="A939" s="125"/>
      <c r="B939" s="125"/>
      <c r="C939" s="125"/>
      <c r="D939" s="81"/>
      <c r="E939" s="81"/>
      <c r="F939" s="97"/>
      <c r="G939" s="81"/>
      <c r="H939" s="81"/>
      <c r="I939" s="81"/>
      <c r="J939" s="81"/>
      <c r="K939" s="81"/>
      <c r="L939" s="155"/>
      <c r="M939" s="155"/>
      <c r="N939" s="109"/>
      <c r="O939" s="126"/>
      <c r="P939" s="126"/>
      <c r="Q939" s="126"/>
      <c r="R939" s="127"/>
      <c r="S939" s="127"/>
      <c r="T939" s="127"/>
      <c r="U939" s="127"/>
    </row>
    <row r="940" spans="1:21" ht="15" customHeight="1">
      <c r="A940" s="125"/>
      <c r="B940" s="125"/>
      <c r="C940" s="125"/>
      <c r="D940" s="81"/>
      <c r="E940" s="81"/>
      <c r="F940" s="97"/>
      <c r="G940" s="81"/>
      <c r="H940" s="81"/>
      <c r="I940" s="81"/>
      <c r="J940" s="81"/>
      <c r="K940" s="81"/>
      <c r="L940" s="155"/>
      <c r="M940" s="155"/>
      <c r="N940" s="109"/>
      <c r="O940" s="126"/>
      <c r="P940" s="126"/>
      <c r="Q940" s="126"/>
      <c r="R940" s="127"/>
      <c r="S940" s="127"/>
      <c r="T940" s="127"/>
      <c r="U940" s="127"/>
    </row>
    <row r="941" spans="1:21" ht="15" customHeight="1">
      <c r="A941" s="125"/>
      <c r="B941" s="125"/>
      <c r="C941" s="125"/>
      <c r="D941" s="81"/>
      <c r="E941" s="81"/>
      <c r="F941" s="97"/>
      <c r="G941" s="81"/>
      <c r="H941" s="81"/>
      <c r="I941" s="81"/>
      <c r="J941" s="81"/>
      <c r="K941" s="81"/>
      <c r="L941" s="155"/>
      <c r="M941" s="155"/>
      <c r="N941" s="109"/>
      <c r="O941" s="126"/>
      <c r="P941" s="126"/>
      <c r="Q941" s="126"/>
      <c r="R941" s="127"/>
      <c r="S941" s="127"/>
      <c r="T941" s="127"/>
      <c r="U941" s="127"/>
    </row>
    <row r="942" spans="1:21" ht="15" customHeight="1">
      <c r="A942" s="125"/>
      <c r="B942" s="125"/>
      <c r="C942" s="125"/>
      <c r="D942" s="81"/>
      <c r="E942" s="81"/>
      <c r="F942" s="97"/>
      <c r="G942" s="81"/>
      <c r="H942" s="81"/>
      <c r="I942" s="81"/>
      <c r="J942" s="81"/>
      <c r="K942" s="81"/>
      <c r="L942" s="155"/>
      <c r="M942" s="155"/>
      <c r="N942" s="109"/>
      <c r="O942" s="126"/>
      <c r="P942" s="126"/>
      <c r="Q942" s="126"/>
      <c r="R942" s="127"/>
      <c r="S942" s="127"/>
      <c r="T942" s="127"/>
      <c r="U942" s="127"/>
    </row>
    <row r="943" spans="1:21" ht="15" customHeight="1">
      <c r="A943" s="125"/>
      <c r="B943" s="125"/>
      <c r="C943" s="125"/>
      <c r="D943" s="81"/>
      <c r="E943" s="81"/>
      <c r="F943" s="97"/>
      <c r="G943" s="81"/>
      <c r="H943" s="81"/>
      <c r="I943" s="81"/>
      <c r="J943" s="81"/>
      <c r="K943" s="81"/>
      <c r="L943" s="155"/>
      <c r="M943" s="155"/>
      <c r="N943" s="109"/>
      <c r="O943" s="126"/>
      <c r="P943" s="126"/>
      <c r="Q943" s="126"/>
      <c r="R943" s="127"/>
      <c r="S943" s="127"/>
      <c r="T943" s="127"/>
      <c r="U943" s="127"/>
    </row>
    <row r="944" spans="1:21" ht="15" customHeight="1">
      <c r="A944" s="125"/>
      <c r="B944" s="125"/>
      <c r="C944" s="125"/>
      <c r="D944" s="81"/>
      <c r="E944" s="81"/>
      <c r="F944" s="97"/>
      <c r="G944" s="81"/>
      <c r="H944" s="81"/>
      <c r="I944" s="81"/>
      <c r="J944" s="81"/>
      <c r="K944" s="81"/>
      <c r="L944" s="155"/>
      <c r="M944" s="155"/>
      <c r="N944" s="109"/>
      <c r="O944" s="126"/>
      <c r="P944" s="126"/>
      <c r="Q944" s="126"/>
      <c r="R944" s="127"/>
      <c r="S944" s="127"/>
      <c r="T944" s="127"/>
      <c r="U944" s="127"/>
    </row>
    <row r="945" spans="1:21" ht="15" customHeight="1">
      <c r="A945" s="125"/>
      <c r="B945" s="125"/>
      <c r="C945" s="125"/>
      <c r="D945" s="81"/>
      <c r="E945" s="81"/>
      <c r="F945" s="97"/>
      <c r="G945" s="81"/>
      <c r="H945" s="81"/>
      <c r="I945" s="81"/>
      <c r="J945" s="81"/>
      <c r="K945" s="81"/>
      <c r="L945" s="155"/>
      <c r="M945" s="155"/>
      <c r="N945" s="109"/>
      <c r="O945" s="126"/>
      <c r="P945" s="126"/>
      <c r="Q945" s="126"/>
      <c r="R945" s="127"/>
      <c r="S945" s="127"/>
      <c r="T945" s="127"/>
      <c r="U945" s="127"/>
    </row>
    <row r="946" spans="1:21" ht="15" customHeight="1">
      <c r="A946" s="125"/>
      <c r="B946" s="125"/>
      <c r="C946" s="125"/>
      <c r="D946" s="81"/>
      <c r="E946" s="81"/>
      <c r="F946" s="97"/>
      <c r="G946" s="81"/>
      <c r="H946" s="81"/>
      <c r="I946" s="81"/>
      <c r="J946" s="81"/>
      <c r="K946" s="81"/>
      <c r="L946" s="155"/>
      <c r="M946" s="155"/>
      <c r="N946" s="109"/>
      <c r="O946" s="126"/>
      <c r="P946" s="126"/>
      <c r="Q946" s="126"/>
      <c r="R946" s="127"/>
      <c r="S946" s="127"/>
      <c r="T946" s="127"/>
      <c r="U946" s="127"/>
    </row>
    <row r="947" spans="1:21" ht="15" customHeight="1">
      <c r="A947" s="125"/>
      <c r="B947" s="125"/>
      <c r="C947" s="125"/>
      <c r="D947" s="81"/>
      <c r="E947" s="81"/>
      <c r="F947" s="97"/>
      <c r="G947" s="81"/>
      <c r="H947" s="81"/>
      <c r="I947" s="81"/>
      <c r="J947" s="81"/>
      <c r="K947" s="81"/>
      <c r="L947" s="155"/>
      <c r="M947" s="155"/>
      <c r="N947" s="109"/>
      <c r="O947" s="126"/>
      <c r="P947" s="126"/>
      <c r="Q947" s="126"/>
      <c r="R947" s="127"/>
      <c r="S947" s="127"/>
      <c r="T947" s="127"/>
      <c r="U947" s="127"/>
    </row>
    <row r="948" spans="1:21" ht="15" customHeight="1">
      <c r="A948" s="125"/>
      <c r="B948" s="125"/>
      <c r="C948" s="125"/>
      <c r="D948" s="81"/>
      <c r="E948" s="81"/>
      <c r="F948" s="97"/>
      <c r="G948" s="81"/>
      <c r="H948" s="81"/>
      <c r="I948" s="81"/>
      <c r="J948" s="81"/>
      <c r="K948" s="81"/>
      <c r="L948" s="155"/>
      <c r="M948" s="155"/>
      <c r="N948" s="109"/>
      <c r="O948" s="126"/>
      <c r="P948" s="126"/>
      <c r="Q948" s="126"/>
      <c r="R948" s="127"/>
      <c r="S948" s="127"/>
      <c r="T948" s="127"/>
      <c r="U948" s="127"/>
    </row>
    <row r="949" spans="1:21" ht="15" customHeight="1">
      <c r="A949" s="125"/>
      <c r="B949" s="125"/>
      <c r="C949" s="125"/>
      <c r="D949" s="81"/>
      <c r="E949" s="81"/>
      <c r="F949" s="97"/>
      <c r="G949" s="81"/>
      <c r="H949" s="81"/>
      <c r="I949" s="81"/>
      <c r="J949" s="81"/>
      <c r="K949" s="81"/>
      <c r="L949" s="155"/>
      <c r="M949" s="155"/>
      <c r="N949" s="109"/>
      <c r="O949" s="126"/>
      <c r="P949" s="126"/>
      <c r="Q949" s="126"/>
      <c r="R949" s="127"/>
      <c r="S949" s="127"/>
      <c r="T949" s="127"/>
      <c r="U949" s="127"/>
    </row>
    <row r="950" spans="1:21" ht="15" customHeight="1">
      <c r="A950" s="125"/>
      <c r="B950" s="125"/>
      <c r="C950" s="125"/>
      <c r="D950" s="81"/>
      <c r="E950" s="81"/>
      <c r="F950" s="97"/>
      <c r="G950" s="81"/>
      <c r="H950" s="81"/>
      <c r="I950" s="81"/>
      <c r="J950" s="81"/>
      <c r="K950" s="81"/>
      <c r="L950" s="155"/>
      <c r="M950" s="155"/>
      <c r="N950" s="109"/>
      <c r="O950" s="126"/>
      <c r="P950" s="126"/>
      <c r="Q950" s="126"/>
      <c r="R950" s="127"/>
      <c r="S950" s="127"/>
      <c r="T950" s="127"/>
      <c r="U950" s="127"/>
    </row>
    <row r="951" spans="1:21" ht="15" customHeight="1">
      <c r="A951" s="125"/>
      <c r="B951" s="125"/>
      <c r="C951" s="125"/>
      <c r="D951" s="81"/>
      <c r="E951" s="81"/>
      <c r="F951" s="97"/>
      <c r="G951" s="81"/>
      <c r="H951" s="81"/>
      <c r="I951" s="81"/>
      <c r="J951" s="81"/>
      <c r="K951" s="81"/>
      <c r="L951" s="155"/>
      <c r="M951" s="155"/>
      <c r="N951" s="109"/>
      <c r="O951" s="126"/>
      <c r="P951" s="126"/>
      <c r="Q951" s="126"/>
      <c r="R951" s="127"/>
      <c r="S951" s="127"/>
      <c r="T951" s="127"/>
      <c r="U951" s="127"/>
    </row>
    <row r="952" spans="1:21" ht="15" customHeight="1">
      <c r="A952" s="125"/>
      <c r="B952" s="125"/>
      <c r="C952" s="125"/>
      <c r="D952" s="81"/>
      <c r="E952" s="81"/>
      <c r="F952" s="97"/>
      <c r="G952" s="81"/>
      <c r="H952" s="81"/>
      <c r="I952" s="81"/>
      <c r="J952" s="81"/>
      <c r="K952" s="81"/>
      <c r="L952" s="155"/>
      <c r="M952" s="155"/>
      <c r="N952" s="109"/>
      <c r="O952" s="126"/>
      <c r="P952" s="126"/>
      <c r="Q952" s="126"/>
      <c r="R952" s="127"/>
      <c r="S952" s="127"/>
      <c r="T952" s="127"/>
      <c r="U952" s="127"/>
    </row>
    <row r="953" spans="1:21" ht="15" customHeight="1">
      <c r="A953" s="125"/>
      <c r="B953" s="125"/>
      <c r="C953" s="125"/>
      <c r="D953" s="81"/>
      <c r="E953" s="81"/>
      <c r="F953" s="97"/>
      <c r="G953" s="81"/>
      <c r="H953" s="81"/>
      <c r="I953" s="81"/>
      <c r="J953" s="81"/>
      <c r="K953" s="81"/>
      <c r="L953" s="155"/>
      <c r="M953" s="155"/>
      <c r="N953" s="109"/>
      <c r="O953" s="126"/>
      <c r="P953" s="126"/>
      <c r="Q953" s="126"/>
      <c r="R953" s="127"/>
      <c r="S953" s="127"/>
      <c r="T953" s="127"/>
      <c r="U953" s="127"/>
    </row>
    <row r="954" spans="1:21" ht="15" customHeight="1">
      <c r="A954" s="125"/>
      <c r="B954" s="125"/>
      <c r="C954" s="125"/>
      <c r="D954" s="81"/>
      <c r="E954" s="81"/>
      <c r="F954" s="97"/>
      <c r="G954" s="81"/>
      <c r="H954" s="81"/>
      <c r="I954" s="81"/>
      <c r="J954" s="81"/>
      <c r="K954" s="81"/>
      <c r="L954" s="155"/>
      <c r="M954" s="155"/>
      <c r="N954" s="109"/>
      <c r="O954" s="126"/>
      <c r="P954" s="126"/>
      <c r="Q954" s="126"/>
      <c r="R954" s="127"/>
      <c r="S954" s="127"/>
      <c r="T954" s="127"/>
      <c r="U954" s="127"/>
    </row>
    <row r="955" spans="1:21" ht="15" customHeight="1">
      <c r="A955" s="125"/>
      <c r="B955" s="125"/>
      <c r="C955" s="125"/>
      <c r="D955" s="81"/>
      <c r="E955" s="81"/>
      <c r="F955" s="97"/>
      <c r="G955" s="81"/>
      <c r="H955" s="81"/>
      <c r="I955" s="81"/>
      <c r="J955" s="81"/>
      <c r="K955" s="81"/>
      <c r="L955" s="155"/>
      <c r="M955" s="155"/>
      <c r="N955" s="109"/>
      <c r="O955" s="126"/>
      <c r="P955" s="126"/>
      <c r="Q955" s="126"/>
      <c r="R955" s="127"/>
      <c r="S955" s="127"/>
      <c r="T955" s="127"/>
      <c r="U955" s="127"/>
    </row>
    <row r="956" spans="1:21" ht="15" customHeight="1">
      <c r="A956" s="125"/>
      <c r="B956" s="125"/>
      <c r="C956" s="125"/>
      <c r="D956" s="81"/>
      <c r="E956" s="81"/>
      <c r="F956" s="97"/>
      <c r="G956" s="81"/>
      <c r="H956" s="81"/>
      <c r="I956" s="81"/>
      <c r="J956" s="81"/>
      <c r="K956" s="81"/>
      <c r="L956" s="155"/>
      <c r="M956" s="155"/>
      <c r="N956" s="109"/>
      <c r="O956" s="126"/>
      <c r="P956" s="126"/>
      <c r="Q956" s="126"/>
      <c r="R956" s="127"/>
      <c r="S956" s="127"/>
      <c r="T956" s="127"/>
      <c r="U956" s="127"/>
    </row>
    <row r="957" spans="1:21" ht="15" customHeight="1">
      <c r="A957" s="125"/>
      <c r="B957" s="125"/>
      <c r="C957" s="125"/>
      <c r="D957" s="81"/>
      <c r="E957" s="81"/>
      <c r="F957" s="97"/>
      <c r="G957" s="81"/>
      <c r="H957" s="81"/>
      <c r="I957" s="81"/>
      <c r="J957" s="81"/>
      <c r="K957" s="81"/>
      <c r="L957" s="155"/>
      <c r="M957" s="155"/>
      <c r="N957" s="109"/>
      <c r="O957" s="126"/>
      <c r="P957" s="126"/>
      <c r="Q957" s="126"/>
      <c r="R957" s="127"/>
      <c r="S957" s="127"/>
      <c r="T957" s="127"/>
      <c r="U957" s="127"/>
    </row>
    <row r="958" spans="1:21" ht="15" customHeight="1">
      <c r="A958" s="125"/>
      <c r="B958" s="125"/>
      <c r="C958" s="125"/>
      <c r="D958" s="81"/>
      <c r="E958" s="81"/>
      <c r="F958" s="97"/>
      <c r="G958" s="81"/>
      <c r="H958" s="81"/>
      <c r="I958" s="81"/>
      <c r="J958" s="81"/>
      <c r="K958" s="81"/>
      <c r="L958" s="155"/>
      <c r="M958" s="155"/>
      <c r="N958" s="109"/>
      <c r="O958" s="126"/>
      <c r="P958" s="126"/>
      <c r="Q958" s="126"/>
      <c r="R958" s="127"/>
      <c r="S958" s="127"/>
      <c r="T958" s="127"/>
      <c r="U958" s="127"/>
    </row>
    <row r="959" spans="1:21" ht="15" customHeight="1">
      <c r="A959" s="125"/>
      <c r="B959" s="125"/>
      <c r="C959" s="125"/>
      <c r="D959" s="81"/>
      <c r="E959" s="81"/>
      <c r="F959" s="97"/>
      <c r="G959" s="81"/>
      <c r="H959" s="81"/>
      <c r="I959" s="81"/>
      <c r="J959" s="81"/>
      <c r="K959" s="81"/>
      <c r="L959" s="155"/>
      <c r="M959" s="155"/>
      <c r="N959" s="109"/>
      <c r="O959" s="126"/>
      <c r="P959" s="126"/>
      <c r="Q959" s="126"/>
      <c r="R959" s="127"/>
      <c r="S959" s="127"/>
      <c r="T959" s="127"/>
      <c r="U959" s="127"/>
    </row>
    <row r="960" spans="1:21" ht="15" customHeight="1">
      <c r="A960" s="125"/>
      <c r="B960" s="125"/>
      <c r="C960" s="125"/>
      <c r="D960" s="81"/>
      <c r="E960" s="81"/>
      <c r="F960" s="97"/>
      <c r="G960" s="81"/>
      <c r="H960" s="81"/>
      <c r="I960" s="81"/>
      <c r="J960" s="81"/>
      <c r="K960" s="81"/>
      <c r="L960" s="155"/>
      <c r="M960" s="155"/>
      <c r="N960" s="109"/>
      <c r="O960" s="126"/>
      <c r="P960" s="126"/>
      <c r="Q960" s="126"/>
      <c r="R960" s="127"/>
      <c r="S960" s="127"/>
      <c r="T960" s="127"/>
      <c r="U960" s="127"/>
    </row>
    <row r="961" spans="1:21" ht="15" customHeight="1">
      <c r="A961" s="125"/>
      <c r="B961" s="125"/>
      <c r="C961" s="125"/>
      <c r="D961" s="81"/>
      <c r="E961" s="81"/>
      <c r="F961" s="97"/>
      <c r="G961" s="81"/>
      <c r="H961" s="81"/>
      <c r="I961" s="81"/>
      <c r="J961" s="81"/>
      <c r="K961" s="81"/>
      <c r="L961" s="155"/>
      <c r="M961" s="155"/>
      <c r="N961" s="109"/>
      <c r="O961" s="126"/>
      <c r="P961" s="126"/>
      <c r="Q961" s="126"/>
      <c r="R961" s="127"/>
      <c r="S961" s="127"/>
      <c r="T961" s="127"/>
      <c r="U961" s="127"/>
    </row>
    <row r="962" spans="1:21" ht="15" customHeight="1">
      <c r="A962" s="125"/>
      <c r="B962" s="125"/>
      <c r="C962" s="125"/>
      <c r="D962" s="81"/>
      <c r="E962" s="81"/>
      <c r="F962" s="97"/>
      <c r="G962" s="81"/>
      <c r="H962" s="81"/>
      <c r="I962" s="81"/>
      <c r="J962" s="81"/>
      <c r="K962" s="81"/>
      <c r="L962" s="155"/>
      <c r="M962" s="155"/>
      <c r="N962" s="109"/>
      <c r="O962" s="126"/>
      <c r="P962" s="126"/>
      <c r="Q962" s="126"/>
      <c r="R962" s="127"/>
      <c r="S962" s="127"/>
      <c r="T962" s="127"/>
      <c r="U962" s="127"/>
    </row>
    <row r="963" spans="1:21" ht="15" customHeight="1">
      <c r="A963" s="125"/>
      <c r="B963" s="125"/>
      <c r="C963" s="125"/>
      <c r="D963" s="81"/>
      <c r="E963" s="81"/>
      <c r="F963" s="97"/>
      <c r="G963" s="81"/>
      <c r="H963" s="81"/>
      <c r="I963" s="81"/>
      <c r="J963" s="81"/>
      <c r="K963" s="81"/>
      <c r="L963" s="155"/>
      <c r="M963" s="155"/>
      <c r="N963" s="109"/>
      <c r="O963" s="126"/>
      <c r="P963" s="126"/>
      <c r="Q963" s="126"/>
      <c r="R963" s="127"/>
      <c r="S963" s="127"/>
      <c r="T963" s="127"/>
      <c r="U963" s="127"/>
    </row>
    <row r="964" spans="1:21" ht="15" customHeight="1">
      <c r="A964" s="125"/>
      <c r="B964" s="125"/>
      <c r="C964" s="125"/>
      <c r="D964" s="81"/>
      <c r="E964" s="81"/>
      <c r="F964" s="97"/>
      <c r="G964" s="81"/>
      <c r="H964" s="81"/>
      <c r="I964" s="81"/>
      <c r="J964" s="81"/>
      <c r="K964" s="81"/>
      <c r="L964" s="155"/>
      <c r="M964" s="155"/>
      <c r="N964" s="109"/>
      <c r="O964" s="126"/>
      <c r="P964" s="126"/>
      <c r="Q964" s="126"/>
      <c r="R964" s="127"/>
      <c r="S964" s="127"/>
      <c r="T964" s="127"/>
      <c r="U964" s="127"/>
    </row>
    <row r="965" spans="1:21" ht="15" customHeight="1">
      <c r="A965" s="125"/>
      <c r="B965" s="125"/>
      <c r="C965" s="125"/>
      <c r="D965" s="81"/>
      <c r="E965" s="81"/>
      <c r="F965" s="97"/>
      <c r="G965" s="81"/>
      <c r="H965" s="81"/>
      <c r="I965" s="81"/>
      <c r="J965" s="81"/>
      <c r="K965" s="81"/>
      <c r="L965" s="155"/>
      <c r="M965" s="155"/>
      <c r="N965" s="109"/>
      <c r="O965" s="126"/>
      <c r="P965" s="126"/>
      <c r="Q965" s="126"/>
      <c r="R965" s="127"/>
      <c r="S965" s="127"/>
      <c r="T965" s="127"/>
      <c r="U965" s="127"/>
    </row>
    <row r="966" spans="1:21" ht="15" customHeight="1">
      <c r="A966" s="125"/>
      <c r="B966" s="125"/>
      <c r="C966" s="125"/>
      <c r="D966" s="81"/>
      <c r="E966" s="81"/>
      <c r="F966" s="97"/>
      <c r="G966" s="81"/>
      <c r="H966" s="81"/>
      <c r="I966" s="81"/>
      <c r="J966" s="81"/>
      <c r="K966" s="81"/>
      <c r="L966" s="155"/>
      <c r="M966" s="155"/>
      <c r="N966" s="109"/>
      <c r="O966" s="126"/>
      <c r="P966" s="126"/>
      <c r="Q966" s="126"/>
      <c r="R966" s="127"/>
      <c r="S966" s="127"/>
      <c r="T966" s="127"/>
      <c r="U966" s="127"/>
    </row>
    <row r="967" spans="1:21" ht="15" customHeight="1">
      <c r="A967" s="125"/>
      <c r="B967" s="125"/>
      <c r="C967" s="125"/>
      <c r="D967" s="81"/>
      <c r="E967" s="81"/>
      <c r="F967" s="97"/>
      <c r="G967" s="81"/>
      <c r="H967" s="81"/>
      <c r="I967" s="81"/>
      <c r="J967" s="81"/>
      <c r="K967" s="81"/>
      <c r="L967" s="155"/>
      <c r="M967" s="155"/>
      <c r="N967" s="109"/>
      <c r="O967" s="126"/>
      <c r="P967" s="126"/>
      <c r="Q967" s="126"/>
      <c r="R967" s="127"/>
      <c r="S967" s="127"/>
      <c r="T967" s="127"/>
      <c r="U967" s="127"/>
    </row>
    <row r="968" spans="1:21" ht="15" customHeight="1">
      <c r="A968" s="125"/>
      <c r="B968" s="125"/>
      <c r="C968" s="125"/>
      <c r="D968" s="81"/>
      <c r="E968" s="81"/>
      <c r="F968" s="97"/>
      <c r="G968" s="81"/>
      <c r="H968" s="81"/>
      <c r="I968" s="81"/>
      <c r="J968" s="81"/>
      <c r="K968" s="81"/>
      <c r="L968" s="155"/>
      <c r="M968" s="155"/>
      <c r="N968" s="109"/>
      <c r="O968" s="126"/>
      <c r="P968" s="126"/>
      <c r="Q968" s="126"/>
      <c r="R968" s="127"/>
      <c r="S968" s="127"/>
      <c r="T968" s="127"/>
      <c r="U968" s="127"/>
    </row>
    <row r="969" spans="1:21" ht="15" customHeight="1">
      <c r="A969" s="125"/>
      <c r="B969" s="125"/>
      <c r="C969" s="125"/>
      <c r="D969" s="81"/>
      <c r="E969" s="81"/>
      <c r="F969" s="97"/>
      <c r="G969" s="81"/>
      <c r="H969" s="81"/>
      <c r="I969" s="81"/>
      <c r="J969" s="81"/>
      <c r="K969" s="81"/>
      <c r="L969" s="155"/>
      <c r="M969" s="155"/>
      <c r="N969" s="109"/>
      <c r="O969" s="126"/>
      <c r="P969" s="126"/>
      <c r="Q969" s="126"/>
      <c r="R969" s="127"/>
      <c r="S969" s="127"/>
      <c r="T969" s="127"/>
      <c r="U969" s="127"/>
    </row>
    <row r="970" spans="1:21" ht="15" customHeight="1">
      <c r="A970" s="125"/>
      <c r="B970" s="125"/>
      <c r="C970" s="125"/>
      <c r="D970" s="81"/>
      <c r="E970" s="81"/>
      <c r="F970" s="97"/>
      <c r="G970" s="81"/>
      <c r="H970" s="81"/>
      <c r="I970" s="81"/>
      <c r="J970" s="81"/>
      <c r="K970" s="81"/>
      <c r="L970" s="155"/>
      <c r="M970" s="155"/>
      <c r="N970" s="109"/>
      <c r="O970" s="126"/>
      <c r="P970" s="126"/>
      <c r="Q970" s="126"/>
      <c r="R970" s="127"/>
      <c r="S970" s="127"/>
      <c r="T970" s="127"/>
      <c r="U970" s="127"/>
    </row>
    <row r="971" spans="1:21" ht="15" customHeight="1">
      <c r="A971" s="125"/>
      <c r="B971" s="125"/>
      <c r="C971" s="125"/>
      <c r="D971" s="81"/>
      <c r="E971" s="81"/>
      <c r="F971" s="97"/>
      <c r="G971" s="81"/>
      <c r="H971" s="81"/>
      <c r="I971" s="81"/>
      <c r="J971" s="81"/>
      <c r="K971" s="81"/>
      <c r="L971" s="155"/>
      <c r="M971" s="155"/>
      <c r="N971" s="109"/>
      <c r="O971" s="126"/>
      <c r="P971" s="126"/>
      <c r="Q971" s="126"/>
      <c r="R971" s="127"/>
      <c r="S971" s="127"/>
      <c r="T971" s="127"/>
      <c r="U971" s="127"/>
    </row>
    <row r="972" spans="1:21" ht="15" customHeight="1">
      <c r="A972" s="125"/>
      <c r="B972" s="125"/>
      <c r="C972" s="125"/>
      <c r="D972" s="81"/>
      <c r="E972" s="81"/>
      <c r="F972" s="97"/>
      <c r="G972" s="81"/>
      <c r="H972" s="81"/>
      <c r="I972" s="81"/>
      <c r="J972" s="81"/>
      <c r="K972" s="81"/>
      <c r="L972" s="155"/>
      <c r="M972" s="155"/>
      <c r="N972" s="109"/>
      <c r="O972" s="126"/>
      <c r="P972" s="126"/>
      <c r="Q972" s="126"/>
      <c r="R972" s="127"/>
      <c r="S972" s="127"/>
      <c r="T972" s="127"/>
      <c r="U972" s="127"/>
    </row>
    <row r="973" spans="1:21" ht="15" customHeight="1">
      <c r="A973" s="125"/>
      <c r="B973" s="125"/>
      <c r="C973" s="125"/>
      <c r="D973" s="81"/>
      <c r="E973" s="81"/>
      <c r="F973" s="97"/>
      <c r="G973" s="81"/>
      <c r="H973" s="81"/>
      <c r="I973" s="81"/>
      <c r="J973" s="81"/>
      <c r="K973" s="81"/>
      <c r="L973" s="155"/>
      <c r="M973" s="155"/>
      <c r="N973" s="109"/>
      <c r="O973" s="126"/>
      <c r="P973" s="126"/>
      <c r="Q973" s="126"/>
      <c r="R973" s="127"/>
      <c r="S973" s="127"/>
      <c r="T973" s="127"/>
      <c r="U973" s="127"/>
    </row>
    <row r="974" spans="1:21" ht="15" customHeight="1">
      <c r="A974" s="125"/>
      <c r="B974" s="125"/>
      <c r="C974" s="125"/>
      <c r="D974" s="81"/>
      <c r="E974" s="81"/>
      <c r="F974" s="97"/>
      <c r="G974" s="81"/>
      <c r="H974" s="81"/>
      <c r="I974" s="81"/>
      <c r="J974" s="81"/>
      <c r="K974" s="81"/>
      <c r="L974" s="155"/>
      <c r="M974" s="155"/>
      <c r="N974" s="109"/>
      <c r="O974" s="126"/>
      <c r="P974" s="126"/>
      <c r="Q974" s="126"/>
      <c r="R974" s="127"/>
      <c r="S974" s="127"/>
      <c r="T974" s="127"/>
      <c r="U974" s="127"/>
    </row>
    <row r="975" spans="1:21" ht="15" customHeight="1">
      <c r="A975" s="125"/>
      <c r="B975" s="125"/>
      <c r="C975" s="125"/>
      <c r="D975" s="81"/>
      <c r="E975" s="81"/>
      <c r="F975" s="97"/>
      <c r="G975" s="81"/>
      <c r="H975" s="81"/>
      <c r="I975" s="81"/>
      <c r="J975" s="81"/>
      <c r="K975" s="81"/>
      <c r="L975" s="155"/>
      <c r="M975" s="155"/>
      <c r="N975" s="109"/>
      <c r="O975" s="126"/>
      <c r="P975" s="126"/>
      <c r="Q975" s="126"/>
      <c r="R975" s="127"/>
      <c r="S975" s="127"/>
      <c r="T975" s="127"/>
      <c r="U975" s="127"/>
    </row>
    <row r="976" spans="1:21" ht="15" customHeight="1">
      <c r="A976" s="125"/>
      <c r="B976" s="125"/>
      <c r="C976" s="125"/>
      <c r="D976" s="81"/>
      <c r="E976" s="81"/>
      <c r="F976" s="97"/>
      <c r="G976" s="81"/>
      <c r="H976" s="81"/>
      <c r="I976" s="81"/>
      <c r="J976" s="81"/>
      <c r="K976" s="81"/>
      <c r="L976" s="155"/>
      <c r="M976" s="155"/>
      <c r="N976" s="109"/>
      <c r="O976" s="126"/>
      <c r="P976" s="126"/>
      <c r="Q976" s="126"/>
      <c r="R976" s="127"/>
      <c r="S976" s="127"/>
      <c r="T976" s="127"/>
      <c r="U976" s="127"/>
    </row>
    <row r="977" spans="1:21" ht="15" customHeight="1">
      <c r="A977" s="125"/>
      <c r="B977" s="125"/>
      <c r="C977" s="125"/>
      <c r="D977" s="81"/>
      <c r="E977" s="81"/>
      <c r="F977" s="97"/>
      <c r="G977" s="81"/>
      <c r="H977" s="81"/>
      <c r="I977" s="81"/>
      <c r="J977" s="81"/>
      <c r="K977" s="81"/>
      <c r="L977" s="155"/>
      <c r="M977" s="155"/>
      <c r="N977" s="109"/>
      <c r="O977" s="126"/>
      <c r="P977" s="126"/>
      <c r="Q977" s="126"/>
      <c r="R977" s="127"/>
      <c r="S977" s="127"/>
      <c r="T977" s="127"/>
      <c r="U977" s="127"/>
    </row>
    <row r="978" spans="1:21" ht="15" customHeight="1">
      <c r="A978" s="125"/>
      <c r="B978" s="125"/>
      <c r="C978" s="125"/>
      <c r="D978" s="81"/>
      <c r="E978" s="81"/>
      <c r="F978" s="97"/>
      <c r="G978" s="81"/>
      <c r="H978" s="81"/>
      <c r="I978" s="81"/>
      <c r="J978" s="81"/>
      <c r="K978" s="81"/>
      <c r="L978" s="155"/>
      <c r="M978" s="155"/>
      <c r="N978" s="109"/>
      <c r="O978" s="126"/>
      <c r="P978" s="126"/>
      <c r="Q978" s="126"/>
      <c r="R978" s="127"/>
      <c r="S978" s="127"/>
      <c r="T978" s="127"/>
      <c r="U978" s="127"/>
    </row>
    <row r="979" spans="1:21" ht="15" customHeight="1">
      <c r="A979" s="125"/>
      <c r="B979" s="125"/>
      <c r="C979" s="125"/>
      <c r="D979" s="81"/>
      <c r="E979" s="81"/>
      <c r="F979" s="97"/>
      <c r="G979" s="81"/>
      <c r="H979" s="81"/>
      <c r="I979" s="81"/>
      <c r="J979" s="81"/>
      <c r="K979" s="81"/>
      <c r="L979" s="155"/>
      <c r="M979" s="155"/>
      <c r="N979" s="109"/>
      <c r="O979" s="126"/>
      <c r="P979" s="126"/>
      <c r="Q979" s="126"/>
      <c r="R979" s="127"/>
      <c r="S979" s="127"/>
      <c r="T979" s="127"/>
      <c r="U979" s="127"/>
    </row>
    <row r="980" spans="1:21" ht="15" customHeight="1">
      <c r="A980" s="125"/>
      <c r="B980" s="125"/>
      <c r="C980" s="125"/>
      <c r="D980" s="81"/>
      <c r="E980" s="81"/>
      <c r="F980" s="97"/>
      <c r="G980" s="81"/>
      <c r="H980" s="81"/>
      <c r="I980" s="81"/>
      <c r="J980" s="81"/>
      <c r="K980" s="81"/>
      <c r="L980" s="155"/>
      <c r="M980" s="155"/>
      <c r="N980" s="109"/>
      <c r="O980" s="126"/>
      <c r="P980" s="126"/>
      <c r="Q980" s="126"/>
      <c r="R980" s="127"/>
      <c r="S980" s="127"/>
      <c r="T980" s="127"/>
      <c r="U980" s="127"/>
    </row>
    <row r="981" spans="1:21" ht="15" customHeight="1">
      <c r="A981" s="125"/>
      <c r="B981" s="125"/>
      <c r="C981" s="125"/>
      <c r="D981" s="81"/>
      <c r="E981" s="81"/>
      <c r="F981" s="97"/>
      <c r="G981" s="81"/>
      <c r="H981" s="81"/>
      <c r="I981" s="81"/>
      <c r="J981" s="81"/>
      <c r="K981" s="81"/>
      <c r="L981" s="155"/>
      <c r="M981" s="155"/>
      <c r="N981" s="109"/>
      <c r="O981" s="126"/>
      <c r="P981" s="126"/>
      <c r="Q981" s="126"/>
      <c r="R981" s="127"/>
      <c r="S981" s="127"/>
      <c r="T981" s="127"/>
      <c r="U981" s="127"/>
    </row>
    <row r="982" spans="1:21" ht="15" customHeight="1">
      <c r="A982" s="125"/>
      <c r="B982" s="125"/>
      <c r="C982" s="125"/>
      <c r="D982" s="81"/>
      <c r="E982" s="81"/>
      <c r="F982" s="97"/>
      <c r="G982" s="81"/>
      <c r="H982" s="81"/>
      <c r="I982" s="81"/>
      <c r="J982" s="81"/>
      <c r="K982" s="81"/>
      <c r="L982" s="155"/>
      <c r="M982" s="155"/>
      <c r="N982" s="109"/>
      <c r="O982" s="126"/>
      <c r="P982" s="126"/>
      <c r="Q982" s="126"/>
      <c r="R982" s="127"/>
      <c r="S982" s="127"/>
      <c r="T982" s="127"/>
      <c r="U982" s="127"/>
    </row>
    <row r="983" spans="1:21" ht="15" customHeight="1">
      <c r="A983" s="125"/>
      <c r="B983" s="125"/>
      <c r="C983" s="125"/>
      <c r="D983" s="81"/>
      <c r="E983" s="81"/>
      <c r="F983" s="97"/>
      <c r="G983" s="81"/>
      <c r="H983" s="81"/>
      <c r="I983" s="81"/>
      <c r="J983" s="81"/>
      <c r="K983" s="81"/>
      <c r="L983" s="155"/>
      <c r="M983" s="155"/>
      <c r="N983" s="109"/>
      <c r="O983" s="126"/>
      <c r="P983" s="126"/>
      <c r="Q983" s="126"/>
      <c r="R983" s="127"/>
      <c r="S983" s="127"/>
      <c r="T983" s="127"/>
      <c r="U983" s="127"/>
    </row>
    <row r="984" spans="1:21" ht="15" customHeight="1">
      <c r="A984" s="125"/>
      <c r="B984" s="125"/>
      <c r="C984" s="125"/>
      <c r="D984" s="81"/>
      <c r="E984" s="81"/>
      <c r="F984" s="97"/>
      <c r="G984" s="81"/>
      <c r="H984" s="81"/>
      <c r="I984" s="81"/>
      <c r="J984" s="81"/>
      <c r="K984" s="81"/>
      <c r="L984" s="155"/>
      <c r="M984" s="155"/>
      <c r="N984" s="109"/>
      <c r="O984" s="126"/>
      <c r="P984" s="126"/>
      <c r="Q984" s="126"/>
      <c r="R984" s="127"/>
      <c r="S984" s="127"/>
      <c r="T984" s="127"/>
      <c r="U984" s="127"/>
    </row>
    <row r="985" spans="1:21" ht="15" customHeight="1">
      <c r="A985" s="125"/>
      <c r="B985" s="125"/>
      <c r="C985" s="125"/>
      <c r="D985" s="81"/>
      <c r="E985" s="81"/>
      <c r="F985" s="97"/>
      <c r="G985" s="81"/>
      <c r="H985" s="81"/>
      <c r="I985" s="81"/>
      <c r="J985" s="81"/>
      <c r="K985" s="81"/>
      <c r="L985" s="155"/>
      <c r="M985" s="155"/>
      <c r="N985" s="109"/>
      <c r="O985" s="126"/>
      <c r="P985" s="126"/>
      <c r="Q985" s="126"/>
      <c r="R985" s="127"/>
      <c r="S985" s="127"/>
      <c r="T985" s="127"/>
      <c r="U985" s="127"/>
    </row>
    <row r="986" spans="1:21" ht="15" customHeight="1">
      <c r="A986" s="125"/>
      <c r="B986" s="125"/>
      <c r="C986" s="125"/>
      <c r="D986" s="81"/>
      <c r="E986" s="81"/>
      <c r="F986" s="97"/>
      <c r="G986" s="81"/>
      <c r="H986" s="81"/>
      <c r="I986" s="81"/>
      <c r="J986" s="81"/>
      <c r="K986" s="81"/>
      <c r="L986" s="155"/>
      <c r="M986" s="155"/>
      <c r="N986" s="109"/>
      <c r="O986" s="126"/>
      <c r="P986" s="126"/>
      <c r="Q986" s="126"/>
      <c r="R986" s="127"/>
      <c r="S986" s="127"/>
      <c r="T986" s="127"/>
      <c r="U986" s="127"/>
    </row>
    <row r="987" spans="1:21" ht="15" customHeight="1">
      <c r="A987" s="125"/>
      <c r="B987" s="125"/>
      <c r="C987" s="125"/>
      <c r="D987" s="81"/>
      <c r="E987" s="81"/>
      <c r="F987" s="97"/>
      <c r="G987" s="81"/>
      <c r="H987" s="81"/>
      <c r="I987" s="81"/>
      <c r="J987" s="81"/>
      <c r="K987" s="81"/>
      <c r="L987" s="155"/>
      <c r="M987" s="155"/>
      <c r="N987" s="109"/>
      <c r="O987" s="126"/>
      <c r="P987" s="126"/>
      <c r="Q987" s="126"/>
      <c r="R987" s="127"/>
      <c r="S987" s="127"/>
      <c r="T987" s="127"/>
      <c r="U987" s="127"/>
    </row>
    <row r="988" spans="1:21" ht="15" customHeight="1">
      <c r="A988" s="125"/>
      <c r="B988" s="125"/>
      <c r="C988" s="125"/>
      <c r="D988" s="81"/>
      <c r="E988" s="81"/>
      <c r="F988" s="97"/>
      <c r="G988" s="81"/>
      <c r="H988" s="81"/>
      <c r="I988" s="81"/>
      <c r="J988" s="81"/>
      <c r="K988" s="81"/>
      <c r="L988" s="155"/>
      <c r="M988" s="155"/>
      <c r="N988" s="109"/>
      <c r="O988" s="126"/>
      <c r="P988" s="126"/>
      <c r="Q988" s="126"/>
      <c r="R988" s="127"/>
      <c r="S988" s="127"/>
      <c r="T988" s="127"/>
      <c r="U988" s="127"/>
    </row>
    <row r="989" spans="1:21" ht="15" customHeight="1">
      <c r="A989" s="125"/>
      <c r="B989" s="125"/>
      <c r="C989" s="125"/>
      <c r="D989" s="81"/>
      <c r="E989" s="81"/>
      <c r="F989" s="97"/>
      <c r="G989" s="81"/>
      <c r="H989" s="81"/>
      <c r="I989" s="81"/>
      <c r="J989" s="81"/>
      <c r="K989" s="81"/>
      <c r="L989" s="155"/>
      <c r="M989" s="155"/>
      <c r="N989" s="109"/>
      <c r="O989" s="126"/>
      <c r="P989" s="126"/>
      <c r="Q989" s="126"/>
      <c r="R989" s="127"/>
      <c r="S989" s="127"/>
      <c r="T989" s="127"/>
      <c r="U989" s="127"/>
    </row>
    <row r="990" spans="1:21" ht="15" customHeight="1">
      <c r="A990" s="125"/>
      <c r="B990" s="125"/>
      <c r="C990" s="125"/>
      <c r="D990" s="81"/>
      <c r="E990" s="81"/>
      <c r="F990" s="97"/>
      <c r="G990" s="81"/>
      <c r="H990" s="81"/>
      <c r="I990" s="81"/>
      <c r="J990" s="81"/>
      <c r="K990" s="81"/>
      <c r="L990" s="155"/>
      <c r="M990" s="155"/>
      <c r="N990" s="109"/>
      <c r="O990" s="126"/>
      <c r="P990" s="126"/>
      <c r="Q990" s="126"/>
      <c r="R990" s="127"/>
      <c r="S990" s="127"/>
      <c r="T990" s="127"/>
      <c r="U990" s="127"/>
    </row>
    <row r="991" spans="1:21" ht="15" customHeight="1">
      <c r="A991" s="125"/>
      <c r="B991" s="125"/>
      <c r="C991" s="125"/>
      <c r="D991" s="81"/>
      <c r="E991" s="81"/>
      <c r="F991" s="97"/>
      <c r="G991" s="81"/>
      <c r="H991" s="81"/>
      <c r="I991" s="81"/>
      <c r="J991" s="81"/>
      <c r="K991" s="81"/>
      <c r="L991" s="155"/>
      <c r="M991" s="155"/>
      <c r="N991" s="109"/>
      <c r="O991" s="126"/>
      <c r="P991" s="126"/>
      <c r="Q991" s="126"/>
      <c r="R991" s="127"/>
      <c r="S991" s="127"/>
      <c r="T991" s="127"/>
      <c r="U991" s="127"/>
    </row>
    <row r="992" spans="1:21" ht="15" customHeight="1">
      <c r="A992" s="125"/>
      <c r="B992" s="125"/>
      <c r="C992" s="125"/>
      <c r="D992" s="81"/>
      <c r="E992" s="81"/>
      <c r="F992" s="97"/>
      <c r="G992" s="81"/>
      <c r="H992" s="81"/>
      <c r="I992" s="81"/>
      <c r="J992" s="81"/>
      <c r="K992" s="81"/>
      <c r="L992" s="155"/>
      <c r="M992" s="155"/>
      <c r="N992" s="109"/>
      <c r="O992" s="126"/>
      <c r="P992" s="126"/>
      <c r="Q992" s="126"/>
      <c r="R992" s="127"/>
      <c r="S992" s="127"/>
      <c r="T992" s="127"/>
      <c r="U992" s="127"/>
    </row>
    <row r="993" spans="1:21" ht="15" customHeight="1">
      <c r="A993" s="125"/>
      <c r="B993" s="125"/>
      <c r="C993" s="125"/>
      <c r="D993" s="81"/>
      <c r="E993" s="81"/>
      <c r="F993" s="97"/>
      <c r="G993" s="81"/>
      <c r="H993" s="81"/>
      <c r="I993" s="81"/>
      <c r="J993" s="81"/>
      <c r="K993" s="81"/>
      <c r="L993" s="155"/>
      <c r="M993" s="155"/>
      <c r="N993" s="109"/>
      <c r="O993" s="126"/>
      <c r="P993" s="126"/>
      <c r="Q993" s="126"/>
      <c r="R993" s="127"/>
      <c r="S993" s="127"/>
      <c r="T993" s="127"/>
      <c r="U993" s="127"/>
    </row>
    <row r="994" spans="1:21" ht="15" customHeight="1">
      <c r="A994" s="125"/>
      <c r="B994" s="125"/>
      <c r="C994" s="125"/>
      <c r="D994" s="81"/>
      <c r="E994" s="81"/>
      <c r="F994" s="97"/>
      <c r="G994" s="81"/>
      <c r="H994" s="81"/>
      <c r="I994" s="81"/>
      <c r="J994" s="81"/>
      <c r="K994" s="81"/>
      <c r="L994" s="155"/>
      <c r="M994" s="155"/>
      <c r="N994" s="109"/>
      <c r="O994" s="126"/>
      <c r="P994" s="126"/>
      <c r="Q994" s="126"/>
      <c r="R994" s="127"/>
      <c r="S994" s="127"/>
      <c r="T994" s="127"/>
      <c r="U994" s="127"/>
    </row>
    <row r="995" spans="1:21" ht="15" customHeight="1">
      <c r="A995" s="125"/>
      <c r="B995" s="125"/>
      <c r="C995" s="125"/>
      <c r="D995" s="81"/>
      <c r="E995" s="81"/>
      <c r="F995" s="97"/>
      <c r="G995" s="81"/>
      <c r="H995" s="81"/>
      <c r="I995" s="81"/>
      <c r="J995" s="81"/>
      <c r="K995" s="81"/>
      <c r="L995" s="155"/>
      <c r="M995" s="155"/>
      <c r="N995" s="109"/>
      <c r="O995" s="126"/>
      <c r="P995" s="126"/>
      <c r="Q995" s="126"/>
      <c r="R995" s="127"/>
      <c r="S995" s="127"/>
      <c r="T995" s="127"/>
      <c r="U995" s="127"/>
    </row>
    <row r="996" spans="1:21" ht="15" customHeight="1">
      <c r="A996" s="125"/>
      <c r="B996" s="125"/>
      <c r="C996" s="125"/>
      <c r="D996" s="81"/>
      <c r="E996" s="81"/>
      <c r="F996" s="97"/>
      <c r="G996" s="81"/>
      <c r="H996" s="81"/>
      <c r="I996" s="81"/>
      <c r="J996" s="81"/>
      <c r="K996" s="81"/>
      <c r="L996" s="155"/>
      <c r="M996" s="155"/>
      <c r="N996" s="109"/>
      <c r="O996" s="126"/>
      <c r="P996" s="126"/>
      <c r="Q996" s="126"/>
      <c r="R996" s="127"/>
      <c r="S996" s="127"/>
      <c r="T996" s="127"/>
      <c r="U996" s="127"/>
    </row>
    <row r="997" spans="1:21" ht="15" customHeight="1">
      <c r="A997" s="125"/>
      <c r="B997" s="125"/>
      <c r="C997" s="125"/>
      <c r="D997" s="81"/>
      <c r="E997" s="81"/>
      <c r="F997" s="97"/>
      <c r="G997" s="81"/>
      <c r="H997" s="81"/>
      <c r="I997" s="81"/>
      <c r="J997" s="81"/>
      <c r="K997" s="81"/>
      <c r="L997" s="155"/>
      <c r="M997" s="155"/>
      <c r="N997" s="109"/>
      <c r="O997" s="126"/>
      <c r="P997" s="126"/>
      <c r="Q997" s="126"/>
      <c r="R997" s="127"/>
      <c r="S997" s="127"/>
      <c r="T997" s="127"/>
      <c r="U997" s="127"/>
    </row>
    <row r="998" spans="1:21" ht="15" customHeight="1">
      <c r="A998" s="125"/>
      <c r="B998" s="125"/>
      <c r="C998" s="125"/>
      <c r="D998" s="81"/>
      <c r="E998" s="81"/>
      <c r="F998" s="97"/>
      <c r="G998" s="81"/>
      <c r="H998" s="81"/>
      <c r="I998" s="81"/>
      <c r="J998" s="81"/>
      <c r="K998" s="81"/>
      <c r="L998" s="155"/>
      <c r="M998" s="155"/>
      <c r="N998" s="109"/>
      <c r="O998" s="126"/>
      <c r="P998" s="126"/>
      <c r="Q998" s="126"/>
      <c r="R998" s="127"/>
      <c r="S998" s="127"/>
      <c r="T998" s="127"/>
      <c r="U998" s="127"/>
    </row>
    <row r="999" spans="1:21" ht="15" customHeight="1">
      <c r="A999" s="125"/>
      <c r="B999" s="125"/>
      <c r="C999" s="125"/>
      <c r="D999" s="81"/>
      <c r="E999" s="81"/>
      <c r="F999" s="97"/>
      <c r="G999" s="81"/>
      <c r="H999" s="81"/>
      <c r="I999" s="81"/>
      <c r="J999" s="81"/>
      <c r="K999" s="81"/>
      <c r="L999" s="155"/>
      <c r="M999" s="155"/>
      <c r="N999" s="109"/>
      <c r="O999" s="126"/>
      <c r="P999" s="126"/>
      <c r="Q999" s="126"/>
      <c r="R999" s="127"/>
      <c r="S999" s="127"/>
      <c r="T999" s="127"/>
      <c r="U999" s="127"/>
    </row>
    <row r="1000" spans="1:21" ht="15" customHeight="1">
      <c r="A1000" s="125"/>
      <c r="B1000" s="125"/>
      <c r="C1000" s="125"/>
      <c r="D1000" s="81"/>
      <c r="E1000" s="81"/>
      <c r="F1000" s="97"/>
      <c r="G1000" s="81"/>
      <c r="H1000" s="81"/>
      <c r="I1000" s="81"/>
      <c r="J1000" s="81"/>
      <c r="K1000" s="81"/>
      <c r="L1000" s="155"/>
      <c r="M1000" s="155"/>
      <c r="N1000" s="109"/>
      <c r="O1000" s="126"/>
      <c r="P1000" s="126"/>
      <c r="Q1000" s="126"/>
      <c r="R1000" s="127"/>
      <c r="S1000" s="127"/>
      <c r="T1000" s="127"/>
      <c r="U1000" s="127"/>
    </row>
    <row r="1001" spans="1:21" ht="15" customHeight="1">
      <c r="A1001" s="125"/>
      <c r="B1001" s="125"/>
      <c r="C1001" s="125"/>
      <c r="D1001" s="81"/>
      <c r="E1001" s="81"/>
      <c r="F1001" s="97"/>
      <c r="G1001" s="81"/>
      <c r="H1001" s="81"/>
      <c r="I1001" s="81"/>
      <c r="J1001" s="81"/>
      <c r="K1001" s="81"/>
      <c r="L1001" s="155"/>
      <c r="M1001" s="155"/>
      <c r="N1001" s="109"/>
      <c r="O1001" s="126"/>
      <c r="P1001" s="126"/>
      <c r="Q1001" s="126"/>
      <c r="R1001" s="127"/>
      <c r="S1001" s="127"/>
      <c r="T1001" s="127"/>
      <c r="U1001" s="127"/>
    </row>
    <row r="1002" spans="1:21" ht="15" customHeight="1">
      <c r="A1002" s="125"/>
      <c r="B1002" s="125"/>
      <c r="C1002" s="125"/>
      <c r="D1002" s="81"/>
      <c r="E1002" s="81"/>
      <c r="F1002" s="97"/>
      <c r="G1002" s="81"/>
      <c r="H1002" s="81"/>
      <c r="I1002" s="81"/>
      <c r="J1002" s="81"/>
      <c r="K1002" s="81"/>
      <c r="L1002" s="155"/>
      <c r="M1002" s="155"/>
      <c r="N1002" s="109"/>
      <c r="O1002" s="126"/>
      <c r="P1002" s="126"/>
      <c r="Q1002" s="126"/>
      <c r="R1002" s="127"/>
      <c r="S1002" s="127"/>
      <c r="T1002" s="127"/>
      <c r="U1002" s="127"/>
    </row>
    <row r="1003" spans="1:21" ht="15" customHeight="1">
      <c r="A1003" s="125"/>
      <c r="B1003" s="125"/>
      <c r="C1003" s="125"/>
      <c r="D1003" s="81"/>
      <c r="E1003" s="81"/>
      <c r="F1003" s="97"/>
      <c r="G1003" s="81"/>
      <c r="H1003" s="81"/>
      <c r="I1003" s="81"/>
      <c r="J1003" s="81"/>
      <c r="K1003" s="81"/>
      <c r="L1003" s="155"/>
      <c r="M1003" s="155"/>
      <c r="N1003" s="109"/>
      <c r="O1003" s="126"/>
      <c r="P1003" s="126"/>
      <c r="Q1003" s="126"/>
      <c r="R1003" s="127"/>
      <c r="S1003" s="127"/>
      <c r="T1003" s="127"/>
      <c r="U1003" s="127"/>
    </row>
    <row r="1004" spans="1:21" ht="15" customHeight="1">
      <c r="A1004" s="125"/>
      <c r="B1004" s="125"/>
      <c r="C1004" s="125"/>
      <c r="D1004" s="81"/>
      <c r="E1004" s="81"/>
      <c r="F1004" s="97"/>
      <c r="G1004" s="81"/>
      <c r="H1004" s="81"/>
      <c r="I1004" s="81"/>
      <c r="J1004" s="81"/>
      <c r="K1004" s="81"/>
      <c r="L1004" s="155"/>
      <c r="M1004" s="155"/>
      <c r="N1004" s="109"/>
      <c r="O1004" s="126"/>
      <c r="P1004" s="126"/>
      <c r="Q1004" s="126"/>
      <c r="R1004" s="127"/>
      <c r="S1004" s="127"/>
      <c r="T1004" s="127"/>
      <c r="U1004" s="127"/>
    </row>
    <row r="1005" spans="1:21" ht="15" customHeight="1">
      <c r="A1005" s="125"/>
      <c r="B1005" s="125"/>
      <c r="C1005" s="125"/>
      <c r="D1005" s="81"/>
      <c r="E1005" s="81"/>
      <c r="F1005" s="97"/>
      <c r="G1005" s="81"/>
      <c r="H1005" s="81"/>
      <c r="I1005" s="81"/>
      <c r="J1005" s="81"/>
      <c r="K1005" s="81"/>
      <c r="L1005" s="155"/>
      <c r="M1005" s="155"/>
      <c r="N1005" s="109"/>
      <c r="O1005" s="126"/>
      <c r="P1005" s="126"/>
      <c r="Q1005" s="126"/>
      <c r="R1005" s="127"/>
      <c r="S1005" s="127"/>
      <c r="T1005" s="127"/>
      <c r="U1005" s="127"/>
    </row>
    <row r="1006" spans="1:21" ht="15" customHeight="1">
      <c r="A1006" s="125"/>
      <c r="B1006" s="125"/>
      <c r="C1006" s="125"/>
      <c r="D1006" s="81"/>
      <c r="E1006" s="81"/>
      <c r="F1006" s="97"/>
      <c r="G1006" s="81"/>
      <c r="H1006" s="81"/>
      <c r="I1006" s="81"/>
      <c r="J1006" s="81"/>
      <c r="K1006" s="81"/>
      <c r="L1006" s="155"/>
      <c r="M1006" s="155"/>
      <c r="N1006" s="109"/>
      <c r="O1006" s="126"/>
      <c r="P1006" s="126"/>
      <c r="Q1006" s="126"/>
      <c r="R1006" s="127"/>
      <c r="S1006" s="127"/>
      <c r="T1006" s="127"/>
      <c r="U1006" s="127"/>
    </row>
    <row r="1007" spans="1:21" ht="15" customHeight="1">
      <c r="A1007" s="125"/>
      <c r="B1007" s="125"/>
      <c r="C1007" s="125"/>
      <c r="D1007" s="81"/>
      <c r="E1007" s="81"/>
      <c r="F1007" s="97"/>
      <c r="G1007" s="81"/>
      <c r="H1007" s="81"/>
      <c r="I1007" s="81"/>
      <c r="J1007" s="81"/>
      <c r="K1007" s="81"/>
      <c r="L1007" s="155"/>
      <c r="M1007" s="155"/>
      <c r="N1007" s="109"/>
      <c r="O1007" s="126"/>
      <c r="P1007" s="126"/>
      <c r="Q1007" s="126"/>
      <c r="R1007" s="127"/>
      <c r="S1007" s="127"/>
      <c r="T1007" s="127"/>
      <c r="U1007" s="127"/>
    </row>
    <row r="1008" spans="1:21" ht="15" customHeight="1">
      <c r="A1008" s="125"/>
      <c r="B1008" s="125"/>
      <c r="C1008" s="125"/>
      <c r="D1008" s="81"/>
      <c r="E1008" s="81"/>
      <c r="F1008" s="97"/>
      <c r="G1008" s="81"/>
      <c r="H1008" s="81"/>
      <c r="I1008" s="81"/>
      <c r="J1008" s="81"/>
      <c r="K1008" s="81"/>
      <c r="L1008" s="155"/>
      <c r="M1008" s="155"/>
      <c r="N1008" s="109"/>
      <c r="O1008" s="126"/>
      <c r="P1008" s="126"/>
      <c r="Q1008" s="126"/>
      <c r="R1008" s="127"/>
      <c r="S1008" s="127"/>
      <c r="T1008" s="127"/>
      <c r="U1008" s="127"/>
    </row>
    <row r="1009" spans="1:21" ht="15" customHeight="1">
      <c r="A1009" s="125"/>
      <c r="B1009" s="125"/>
      <c r="C1009" s="125"/>
      <c r="D1009" s="81"/>
      <c r="E1009" s="81"/>
      <c r="F1009" s="97"/>
      <c r="G1009" s="81"/>
      <c r="H1009" s="81"/>
      <c r="I1009" s="81"/>
      <c r="J1009" s="81"/>
      <c r="K1009" s="81"/>
      <c r="L1009" s="155"/>
      <c r="M1009" s="155"/>
      <c r="N1009" s="109"/>
      <c r="O1009" s="126"/>
      <c r="P1009" s="126"/>
      <c r="Q1009" s="126"/>
      <c r="R1009" s="127"/>
      <c r="S1009" s="127"/>
      <c r="T1009" s="127"/>
      <c r="U1009" s="127"/>
    </row>
    <row r="1010" spans="1:21" ht="15" customHeight="1">
      <c r="A1010" s="125"/>
      <c r="B1010" s="125"/>
      <c r="C1010" s="125"/>
      <c r="D1010" s="81"/>
      <c r="E1010" s="81"/>
      <c r="F1010" s="97"/>
      <c r="G1010" s="81"/>
      <c r="H1010" s="81"/>
      <c r="I1010" s="81"/>
      <c r="J1010" s="81"/>
      <c r="K1010" s="81"/>
      <c r="L1010" s="155"/>
      <c r="M1010" s="155"/>
      <c r="N1010" s="109"/>
      <c r="O1010" s="126"/>
      <c r="P1010" s="126"/>
      <c r="Q1010" s="126"/>
      <c r="R1010" s="127"/>
      <c r="S1010" s="127"/>
      <c r="T1010" s="127"/>
      <c r="U1010" s="127"/>
    </row>
    <row r="1011" spans="1:21" ht="15" customHeight="1">
      <c r="A1011" s="125"/>
      <c r="B1011" s="125"/>
      <c r="C1011" s="125"/>
      <c r="D1011" s="81"/>
      <c r="E1011" s="81"/>
      <c r="F1011" s="97"/>
      <c r="G1011" s="81"/>
      <c r="H1011" s="81"/>
      <c r="I1011" s="81"/>
      <c r="J1011" s="81"/>
      <c r="K1011" s="81"/>
      <c r="L1011" s="155"/>
      <c r="M1011" s="155"/>
      <c r="N1011" s="109"/>
      <c r="O1011" s="126"/>
      <c r="P1011" s="126"/>
      <c r="Q1011" s="126"/>
      <c r="R1011" s="127"/>
      <c r="S1011" s="127"/>
      <c r="T1011" s="127"/>
      <c r="U1011" s="127"/>
    </row>
    <row r="1012" spans="1:21" ht="15" customHeight="1">
      <c r="A1012" s="125"/>
      <c r="B1012" s="125"/>
      <c r="C1012" s="125"/>
      <c r="D1012" s="81"/>
      <c r="E1012" s="81"/>
      <c r="F1012" s="97"/>
      <c r="G1012" s="81"/>
      <c r="H1012" s="81"/>
      <c r="I1012" s="81"/>
      <c r="J1012" s="81"/>
      <c r="K1012" s="81"/>
      <c r="L1012" s="155"/>
      <c r="M1012" s="155"/>
      <c r="N1012" s="109"/>
      <c r="O1012" s="126"/>
      <c r="P1012" s="126"/>
      <c r="Q1012" s="126"/>
      <c r="R1012" s="127"/>
      <c r="S1012" s="127"/>
      <c r="T1012" s="127"/>
      <c r="U1012" s="127"/>
    </row>
    <row r="1013" spans="1:21" ht="15" customHeight="1">
      <c r="A1013" s="125"/>
      <c r="B1013" s="125"/>
      <c r="C1013" s="125"/>
      <c r="D1013" s="81"/>
      <c r="E1013" s="81"/>
      <c r="F1013" s="97"/>
      <c r="G1013" s="81"/>
      <c r="H1013" s="81"/>
      <c r="I1013" s="81"/>
      <c r="J1013" s="81"/>
      <c r="K1013" s="81"/>
      <c r="L1013" s="155"/>
      <c r="M1013" s="155"/>
      <c r="N1013" s="109"/>
      <c r="O1013" s="126"/>
      <c r="P1013" s="126"/>
      <c r="Q1013" s="126"/>
      <c r="R1013" s="127"/>
      <c r="S1013" s="127"/>
      <c r="T1013" s="127"/>
      <c r="U1013" s="127"/>
    </row>
    <row r="1014" spans="1:21" ht="15" customHeight="1">
      <c r="A1014" s="125"/>
      <c r="B1014" s="125"/>
      <c r="C1014" s="125"/>
      <c r="D1014" s="81"/>
      <c r="E1014" s="81"/>
      <c r="F1014" s="97"/>
      <c r="G1014" s="81"/>
      <c r="H1014" s="81"/>
      <c r="I1014" s="81"/>
      <c r="J1014" s="81"/>
      <c r="K1014" s="81"/>
      <c r="L1014" s="155"/>
      <c r="M1014" s="155"/>
      <c r="N1014" s="109"/>
      <c r="O1014" s="126"/>
      <c r="P1014" s="126"/>
      <c r="Q1014" s="126"/>
      <c r="R1014" s="127"/>
      <c r="S1014" s="127"/>
      <c r="T1014" s="127"/>
      <c r="U1014" s="127"/>
    </row>
    <row r="1015" spans="1:21" ht="15" customHeight="1">
      <c r="A1015" s="125"/>
      <c r="B1015" s="125"/>
      <c r="C1015" s="125"/>
      <c r="D1015" s="81"/>
      <c r="E1015" s="81"/>
      <c r="F1015" s="97"/>
      <c r="G1015" s="81"/>
      <c r="H1015" s="81"/>
      <c r="I1015" s="81"/>
      <c r="J1015" s="81"/>
      <c r="K1015" s="81"/>
      <c r="L1015" s="155"/>
      <c r="M1015" s="155"/>
      <c r="N1015" s="109"/>
      <c r="O1015" s="126"/>
      <c r="P1015" s="126"/>
      <c r="Q1015" s="126"/>
      <c r="R1015" s="127"/>
      <c r="S1015" s="127"/>
      <c r="T1015" s="127"/>
      <c r="U1015" s="127"/>
    </row>
    <row r="1016" spans="1:21" ht="15" customHeight="1">
      <c r="A1016" s="125"/>
      <c r="B1016" s="125"/>
      <c r="C1016" s="125"/>
      <c r="D1016" s="81"/>
      <c r="E1016" s="81"/>
      <c r="F1016" s="97"/>
      <c r="G1016" s="81"/>
      <c r="H1016" s="81"/>
      <c r="I1016" s="81"/>
      <c r="J1016" s="81"/>
      <c r="K1016" s="81"/>
      <c r="L1016" s="155"/>
      <c r="M1016" s="155"/>
      <c r="N1016" s="109"/>
      <c r="O1016" s="126"/>
      <c r="P1016" s="126"/>
      <c r="Q1016" s="126"/>
      <c r="R1016" s="127"/>
      <c r="S1016" s="127"/>
      <c r="T1016" s="127"/>
      <c r="U1016" s="127"/>
    </row>
    <row r="1017" spans="1:21" ht="15" customHeight="1">
      <c r="A1017" s="125"/>
      <c r="B1017" s="125"/>
      <c r="C1017" s="125"/>
      <c r="D1017" s="81"/>
      <c r="E1017" s="81"/>
      <c r="F1017" s="97"/>
      <c r="G1017" s="81"/>
      <c r="H1017" s="81"/>
      <c r="I1017" s="81"/>
      <c r="J1017" s="81"/>
      <c r="K1017" s="81"/>
      <c r="L1017" s="155"/>
      <c r="M1017" s="155"/>
      <c r="N1017" s="109"/>
      <c r="O1017" s="126"/>
      <c r="P1017" s="126"/>
      <c r="Q1017" s="126"/>
      <c r="R1017" s="127"/>
      <c r="S1017" s="127"/>
      <c r="T1017" s="127"/>
      <c r="U1017" s="127"/>
    </row>
    <row r="1018" spans="1:21" ht="15" customHeight="1">
      <c r="A1018" s="125"/>
      <c r="B1018" s="125"/>
      <c r="C1018" s="125"/>
      <c r="D1018" s="81"/>
      <c r="E1018" s="81"/>
      <c r="F1018" s="97"/>
      <c r="G1018" s="81"/>
      <c r="H1018" s="81"/>
      <c r="I1018" s="81"/>
      <c r="J1018" s="81"/>
      <c r="K1018" s="81"/>
      <c r="L1018" s="155"/>
      <c r="M1018" s="155"/>
      <c r="N1018" s="109"/>
      <c r="O1018" s="126"/>
      <c r="P1018" s="126"/>
      <c r="Q1018" s="126"/>
      <c r="R1018" s="127"/>
      <c r="S1018" s="127"/>
      <c r="T1018" s="127"/>
      <c r="U1018" s="127"/>
    </row>
    <row r="1019" spans="1:21" ht="15" customHeight="1">
      <c r="A1019" s="125"/>
      <c r="B1019" s="125"/>
      <c r="C1019" s="125"/>
      <c r="D1019" s="81"/>
      <c r="E1019" s="81"/>
      <c r="F1019" s="97"/>
      <c r="G1019" s="81"/>
      <c r="H1019" s="81"/>
      <c r="I1019" s="81"/>
      <c r="J1019" s="81"/>
      <c r="K1019" s="81"/>
      <c r="L1019" s="155"/>
      <c r="M1019" s="155"/>
      <c r="N1019" s="109"/>
      <c r="O1019" s="126"/>
      <c r="P1019" s="126"/>
      <c r="Q1019" s="126"/>
      <c r="R1019" s="127"/>
      <c r="S1019" s="127"/>
      <c r="T1019" s="127"/>
      <c r="U1019" s="127"/>
    </row>
    <row r="1020" spans="1:21" ht="15" customHeight="1">
      <c r="A1020" s="125"/>
      <c r="B1020" s="125"/>
      <c r="C1020" s="125"/>
      <c r="D1020" s="81"/>
      <c r="E1020" s="81"/>
      <c r="F1020" s="97"/>
      <c r="G1020" s="81"/>
      <c r="H1020" s="81"/>
      <c r="I1020" s="81"/>
      <c r="J1020" s="81"/>
      <c r="K1020" s="81"/>
      <c r="L1020" s="155"/>
      <c r="M1020" s="155"/>
      <c r="N1020" s="109"/>
      <c r="O1020" s="126"/>
      <c r="P1020" s="126"/>
      <c r="Q1020" s="126"/>
      <c r="R1020" s="127"/>
      <c r="S1020" s="127"/>
      <c r="T1020" s="127"/>
      <c r="U1020" s="127"/>
    </row>
    <row r="1021" spans="1:21" ht="15" customHeight="1">
      <c r="A1021" s="125"/>
      <c r="B1021" s="125"/>
      <c r="C1021" s="125"/>
      <c r="D1021" s="81"/>
      <c r="E1021" s="81"/>
      <c r="F1021" s="97"/>
      <c r="G1021" s="81"/>
      <c r="H1021" s="81"/>
      <c r="I1021" s="81"/>
      <c r="J1021" s="81"/>
      <c r="K1021" s="81"/>
      <c r="L1021" s="155"/>
      <c r="M1021" s="155"/>
      <c r="N1021" s="109"/>
      <c r="O1021" s="126"/>
      <c r="P1021" s="126"/>
      <c r="Q1021" s="126"/>
      <c r="R1021" s="127"/>
      <c r="S1021" s="127"/>
      <c r="T1021" s="127"/>
      <c r="U1021" s="127"/>
    </row>
    <row r="1022" spans="1:21" ht="15" customHeight="1">
      <c r="A1022" s="125"/>
      <c r="B1022" s="125"/>
      <c r="C1022" s="125"/>
      <c r="D1022" s="81"/>
      <c r="E1022" s="81"/>
      <c r="F1022" s="97"/>
      <c r="G1022" s="81"/>
      <c r="H1022" s="81"/>
      <c r="I1022" s="81"/>
      <c r="J1022" s="81"/>
      <c r="K1022" s="81"/>
      <c r="L1022" s="155"/>
      <c r="M1022" s="155"/>
      <c r="N1022" s="109"/>
      <c r="O1022" s="126"/>
      <c r="P1022" s="126"/>
      <c r="Q1022" s="126"/>
      <c r="R1022" s="127"/>
      <c r="S1022" s="127"/>
      <c r="T1022" s="127"/>
      <c r="U1022" s="127"/>
    </row>
    <row r="1023" spans="1:21" ht="15" customHeight="1">
      <c r="A1023" s="125"/>
      <c r="B1023" s="125"/>
      <c r="C1023" s="125"/>
      <c r="D1023" s="81"/>
      <c r="E1023" s="81"/>
      <c r="F1023" s="97"/>
      <c r="G1023" s="81"/>
      <c r="H1023" s="81"/>
      <c r="I1023" s="81"/>
      <c r="J1023" s="81"/>
      <c r="K1023" s="81"/>
      <c r="L1023" s="155"/>
      <c r="M1023" s="155"/>
      <c r="N1023" s="109"/>
      <c r="O1023" s="126"/>
      <c r="P1023" s="126"/>
      <c r="Q1023" s="126"/>
      <c r="R1023" s="127"/>
      <c r="S1023" s="127"/>
      <c r="T1023" s="127"/>
      <c r="U1023" s="127"/>
    </row>
    <row r="1024" spans="1:21" ht="15" customHeight="1">
      <c r="A1024" s="125"/>
      <c r="B1024" s="125"/>
      <c r="C1024" s="125"/>
      <c r="D1024" s="81"/>
      <c r="E1024" s="81"/>
      <c r="F1024" s="97"/>
      <c r="G1024" s="81"/>
      <c r="H1024" s="81"/>
      <c r="I1024" s="81"/>
      <c r="J1024" s="81"/>
      <c r="K1024" s="81"/>
      <c r="L1024" s="155"/>
      <c r="M1024" s="155"/>
      <c r="N1024" s="109"/>
      <c r="O1024" s="126"/>
      <c r="P1024" s="126"/>
      <c r="Q1024" s="126"/>
      <c r="R1024" s="127"/>
      <c r="S1024" s="127"/>
      <c r="T1024" s="127"/>
      <c r="U1024" s="127"/>
    </row>
    <row r="1025" spans="1:21" ht="15" customHeight="1">
      <c r="A1025" s="125"/>
      <c r="B1025" s="125"/>
      <c r="C1025" s="125"/>
      <c r="D1025" s="81"/>
      <c r="E1025" s="81"/>
      <c r="F1025" s="97"/>
      <c r="G1025" s="81"/>
      <c r="H1025" s="81"/>
      <c r="I1025" s="81"/>
      <c r="J1025" s="81"/>
      <c r="K1025" s="81"/>
      <c r="L1025" s="155"/>
      <c r="M1025" s="155"/>
      <c r="N1025" s="109"/>
      <c r="O1025" s="126"/>
      <c r="P1025" s="126"/>
      <c r="Q1025" s="126"/>
      <c r="R1025" s="127"/>
      <c r="S1025" s="127"/>
      <c r="T1025" s="127"/>
      <c r="U1025" s="127"/>
    </row>
    <row r="1026" spans="1:21" ht="15" customHeight="1">
      <c r="A1026" s="125"/>
      <c r="B1026" s="125"/>
      <c r="C1026" s="125"/>
      <c r="D1026" s="81"/>
      <c r="E1026" s="81"/>
      <c r="F1026" s="97"/>
      <c r="G1026" s="81"/>
      <c r="H1026" s="81"/>
      <c r="I1026" s="81"/>
      <c r="J1026" s="81"/>
      <c r="K1026" s="81"/>
      <c r="L1026" s="155"/>
      <c r="M1026" s="155"/>
      <c r="N1026" s="109"/>
      <c r="O1026" s="126"/>
      <c r="P1026" s="126"/>
      <c r="Q1026" s="126"/>
      <c r="R1026" s="127"/>
      <c r="S1026" s="127"/>
      <c r="T1026" s="127"/>
      <c r="U1026" s="127"/>
    </row>
    <row r="1027" spans="1:21" ht="15" customHeight="1">
      <c r="A1027" s="125"/>
      <c r="B1027" s="125"/>
      <c r="C1027" s="125"/>
      <c r="D1027" s="81"/>
      <c r="E1027" s="81"/>
      <c r="F1027" s="97"/>
      <c r="G1027" s="81"/>
      <c r="H1027" s="81"/>
      <c r="I1027" s="81"/>
      <c r="J1027" s="81"/>
      <c r="K1027" s="81"/>
      <c r="L1027" s="155"/>
      <c r="M1027" s="155"/>
      <c r="N1027" s="109"/>
      <c r="O1027" s="126"/>
      <c r="P1027" s="126"/>
      <c r="Q1027" s="126"/>
      <c r="R1027" s="127"/>
      <c r="S1027" s="127"/>
      <c r="T1027" s="127"/>
      <c r="U1027" s="127"/>
    </row>
    <row r="1028" spans="1:21" ht="15" customHeight="1">
      <c r="A1028" s="125"/>
      <c r="B1028" s="125"/>
      <c r="C1028" s="125"/>
      <c r="D1028" s="81"/>
      <c r="E1028" s="81"/>
      <c r="F1028" s="97"/>
      <c r="G1028" s="81"/>
      <c r="H1028" s="81"/>
      <c r="I1028" s="81"/>
      <c r="J1028" s="81"/>
      <c r="K1028" s="81"/>
      <c r="L1028" s="155"/>
      <c r="M1028" s="155"/>
      <c r="N1028" s="109"/>
      <c r="O1028" s="126"/>
      <c r="P1028" s="126"/>
      <c r="Q1028" s="126"/>
      <c r="R1028" s="127"/>
      <c r="S1028" s="127"/>
      <c r="T1028" s="127"/>
      <c r="U1028" s="127"/>
    </row>
    <row r="1029" spans="1:21" ht="15" customHeight="1">
      <c r="A1029" s="125"/>
      <c r="B1029" s="125"/>
      <c r="C1029" s="125"/>
      <c r="D1029" s="81"/>
      <c r="E1029" s="81"/>
      <c r="F1029" s="97"/>
      <c r="G1029" s="81"/>
      <c r="H1029" s="81"/>
      <c r="I1029" s="81"/>
      <c r="J1029" s="81"/>
      <c r="K1029" s="81"/>
      <c r="L1029" s="155"/>
      <c r="M1029" s="155"/>
      <c r="N1029" s="109"/>
      <c r="O1029" s="126"/>
      <c r="P1029" s="126"/>
      <c r="Q1029" s="126"/>
      <c r="R1029" s="127"/>
      <c r="S1029" s="127"/>
      <c r="T1029" s="127"/>
      <c r="U1029" s="127"/>
    </row>
    <row r="1030" spans="1:21" ht="15" customHeight="1">
      <c r="A1030" s="125"/>
      <c r="B1030" s="125"/>
      <c r="C1030" s="125"/>
      <c r="D1030" s="81"/>
      <c r="E1030" s="81"/>
      <c r="F1030" s="97"/>
      <c r="G1030" s="81"/>
      <c r="H1030" s="81"/>
      <c r="I1030" s="81"/>
      <c r="J1030" s="81"/>
      <c r="K1030" s="81"/>
      <c r="L1030" s="155"/>
      <c r="M1030" s="155"/>
      <c r="N1030" s="109"/>
      <c r="O1030" s="126"/>
      <c r="P1030" s="126"/>
      <c r="Q1030" s="126"/>
      <c r="R1030" s="127"/>
      <c r="S1030" s="127"/>
      <c r="T1030" s="127"/>
      <c r="U1030" s="127"/>
    </row>
    <row r="1031" spans="1:21" ht="15" customHeight="1">
      <c r="A1031" s="125"/>
      <c r="B1031" s="125"/>
      <c r="C1031" s="125"/>
      <c r="D1031" s="81"/>
      <c r="E1031" s="81"/>
      <c r="F1031" s="97"/>
      <c r="G1031" s="81"/>
      <c r="H1031" s="81"/>
      <c r="I1031" s="81"/>
      <c r="J1031" s="81"/>
      <c r="K1031" s="81"/>
      <c r="L1031" s="155"/>
      <c r="M1031" s="155"/>
      <c r="N1031" s="109"/>
      <c r="O1031" s="126"/>
      <c r="P1031" s="126"/>
      <c r="Q1031" s="126"/>
      <c r="R1031" s="127"/>
      <c r="S1031" s="127"/>
      <c r="T1031" s="127"/>
      <c r="U1031" s="127"/>
    </row>
    <row r="1032" spans="1:21" ht="15" customHeight="1">
      <c r="A1032" s="125"/>
      <c r="B1032" s="125"/>
      <c r="C1032" s="125"/>
      <c r="D1032" s="81"/>
      <c r="E1032" s="81"/>
      <c r="F1032" s="97"/>
      <c r="G1032" s="81"/>
      <c r="H1032" s="81"/>
      <c r="I1032" s="81"/>
      <c r="J1032" s="81"/>
      <c r="K1032" s="81"/>
      <c r="L1032" s="155"/>
      <c r="M1032" s="155"/>
      <c r="N1032" s="109"/>
      <c r="O1032" s="126"/>
      <c r="P1032" s="126"/>
      <c r="Q1032" s="126"/>
      <c r="R1032" s="127"/>
      <c r="S1032" s="127"/>
      <c r="T1032" s="127"/>
      <c r="U1032" s="127"/>
    </row>
    <row r="1033" spans="1:21" ht="15" customHeight="1">
      <c r="A1033" s="125"/>
      <c r="B1033" s="125"/>
      <c r="C1033" s="125"/>
      <c r="D1033" s="81"/>
      <c r="E1033" s="81"/>
      <c r="F1033" s="97"/>
      <c r="G1033" s="81"/>
      <c r="H1033" s="81"/>
      <c r="I1033" s="81"/>
      <c r="J1033" s="81"/>
      <c r="K1033" s="81"/>
      <c r="L1033" s="155"/>
      <c r="M1033" s="155"/>
      <c r="N1033" s="109"/>
      <c r="O1033" s="126"/>
      <c r="P1033" s="126"/>
      <c r="Q1033" s="126"/>
      <c r="R1033" s="127"/>
      <c r="S1033" s="127"/>
      <c r="T1033" s="127"/>
      <c r="U1033" s="127"/>
    </row>
    <row r="1034" spans="1:21" ht="15" customHeight="1">
      <c r="A1034" s="125"/>
      <c r="B1034" s="125"/>
      <c r="C1034" s="125"/>
      <c r="D1034" s="81"/>
      <c r="E1034" s="81"/>
      <c r="F1034" s="97"/>
      <c r="G1034" s="81"/>
      <c r="H1034" s="81"/>
      <c r="I1034" s="81"/>
      <c r="J1034" s="81"/>
      <c r="K1034" s="81"/>
      <c r="L1034" s="155"/>
      <c r="M1034" s="155"/>
      <c r="N1034" s="109"/>
      <c r="O1034" s="126"/>
      <c r="P1034" s="126"/>
      <c r="Q1034" s="126"/>
      <c r="R1034" s="127"/>
      <c r="S1034" s="127"/>
      <c r="T1034" s="127"/>
      <c r="U1034" s="127"/>
    </row>
    <row r="1035" spans="1:21" ht="15" customHeight="1">
      <c r="A1035" s="125"/>
      <c r="B1035" s="125"/>
      <c r="C1035" s="125"/>
      <c r="D1035" s="81"/>
      <c r="E1035" s="81"/>
      <c r="F1035" s="97"/>
      <c r="G1035" s="81"/>
      <c r="H1035" s="81"/>
      <c r="I1035" s="81"/>
      <c r="J1035" s="81"/>
      <c r="K1035" s="81"/>
      <c r="L1035" s="155"/>
      <c r="M1035" s="155"/>
      <c r="N1035" s="109"/>
      <c r="O1035" s="126"/>
      <c r="P1035" s="126"/>
      <c r="Q1035" s="126"/>
      <c r="R1035" s="127"/>
      <c r="S1035" s="127"/>
      <c r="T1035" s="127"/>
      <c r="U1035" s="127"/>
    </row>
    <row r="1036" spans="1:21" ht="15" customHeight="1">
      <c r="A1036" s="125"/>
      <c r="B1036" s="125"/>
      <c r="C1036" s="125"/>
      <c r="D1036" s="81"/>
      <c r="E1036" s="81"/>
      <c r="F1036" s="97"/>
      <c r="G1036" s="81"/>
      <c r="H1036" s="81"/>
      <c r="I1036" s="81"/>
      <c r="J1036" s="81"/>
      <c r="K1036" s="81"/>
      <c r="L1036" s="155"/>
      <c r="M1036" s="155"/>
      <c r="N1036" s="109"/>
      <c r="O1036" s="126"/>
      <c r="P1036" s="126"/>
      <c r="Q1036" s="126"/>
      <c r="R1036" s="127"/>
      <c r="S1036" s="127"/>
      <c r="T1036" s="127"/>
      <c r="U1036" s="127"/>
    </row>
    <row r="1037" spans="1:21" ht="15" customHeight="1">
      <c r="A1037" s="125"/>
      <c r="B1037" s="125"/>
      <c r="C1037" s="125"/>
      <c r="D1037" s="81"/>
      <c r="E1037" s="81"/>
      <c r="F1037" s="97"/>
      <c r="G1037" s="81"/>
      <c r="H1037" s="81"/>
      <c r="I1037" s="81"/>
      <c r="J1037" s="81"/>
      <c r="K1037" s="81"/>
      <c r="L1037" s="155"/>
      <c r="M1037" s="155"/>
      <c r="N1037" s="109"/>
      <c r="O1037" s="126"/>
      <c r="P1037" s="126"/>
      <c r="Q1037" s="126"/>
      <c r="R1037" s="127"/>
      <c r="S1037" s="127"/>
      <c r="T1037" s="127"/>
      <c r="U1037" s="127"/>
    </row>
    <row r="1038" spans="1:21" ht="15" customHeight="1">
      <c r="A1038" s="125"/>
      <c r="B1038" s="125"/>
      <c r="C1038" s="125"/>
      <c r="D1038" s="81"/>
      <c r="E1038" s="81"/>
      <c r="F1038" s="97"/>
      <c r="G1038" s="81"/>
      <c r="H1038" s="81"/>
      <c r="I1038" s="81"/>
      <c r="J1038" s="81"/>
      <c r="K1038" s="81"/>
      <c r="L1038" s="155"/>
      <c r="M1038" s="155"/>
      <c r="N1038" s="109"/>
      <c r="O1038" s="126"/>
      <c r="P1038" s="126"/>
      <c r="Q1038" s="126"/>
      <c r="R1038" s="127"/>
      <c r="S1038" s="127"/>
      <c r="T1038" s="127"/>
      <c r="U1038" s="127"/>
    </row>
    <row r="1039" spans="1:21" ht="15" customHeight="1">
      <c r="A1039" s="125"/>
      <c r="B1039" s="125"/>
      <c r="C1039" s="125"/>
      <c r="D1039" s="81"/>
      <c r="E1039" s="81"/>
      <c r="F1039" s="97"/>
      <c r="G1039" s="81"/>
      <c r="H1039" s="81"/>
      <c r="I1039" s="81"/>
      <c r="J1039" s="81"/>
      <c r="K1039" s="81"/>
      <c r="L1039" s="155"/>
      <c r="M1039" s="155"/>
      <c r="N1039" s="109"/>
      <c r="O1039" s="126"/>
      <c r="P1039" s="126"/>
      <c r="Q1039" s="126"/>
      <c r="R1039" s="127"/>
      <c r="S1039" s="127"/>
      <c r="T1039" s="127"/>
      <c r="U1039" s="127"/>
    </row>
    <row r="1040" spans="1:21" ht="15" customHeight="1">
      <c r="A1040" s="125"/>
      <c r="B1040" s="125"/>
      <c r="C1040" s="125"/>
      <c r="D1040" s="81"/>
      <c r="E1040" s="81"/>
      <c r="F1040" s="97"/>
      <c r="G1040" s="81"/>
      <c r="H1040" s="81"/>
      <c r="I1040" s="81"/>
      <c r="J1040" s="81"/>
      <c r="K1040" s="81"/>
      <c r="L1040" s="155"/>
      <c r="M1040" s="155"/>
      <c r="N1040" s="109"/>
      <c r="O1040" s="126"/>
      <c r="P1040" s="126"/>
      <c r="Q1040" s="126"/>
      <c r="R1040" s="127"/>
      <c r="S1040" s="127"/>
      <c r="T1040" s="127"/>
      <c r="U1040" s="127"/>
    </row>
    <row r="1041" spans="1:21" ht="15" customHeight="1">
      <c r="A1041" s="125"/>
      <c r="B1041" s="125"/>
      <c r="C1041" s="125"/>
      <c r="D1041" s="81"/>
      <c r="E1041" s="81"/>
      <c r="F1041" s="97"/>
      <c r="G1041" s="81"/>
      <c r="H1041" s="81"/>
      <c r="I1041" s="81"/>
      <c r="J1041" s="81"/>
      <c r="K1041" s="81"/>
      <c r="L1041" s="155"/>
      <c r="M1041" s="155"/>
      <c r="N1041" s="109"/>
      <c r="O1041" s="126"/>
      <c r="P1041" s="126"/>
      <c r="Q1041" s="126"/>
      <c r="R1041" s="127"/>
      <c r="S1041" s="127"/>
      <c r="T1041" s="127"/>
      <c r="U1041" s="127"/>
    </row>
    <row r="1042" spans="1:21" ht="15" customHeight="1">
      <c r="A1042" s="125"/>
      <c r="B1042" s="125"/>
      <c r="C1042" s="125"/>
      <c r="D1042" s="81"/>
      <c r="E1042" s="81"/>
      <c r="F1042" s="97"/>
      <c r="G1042" s="81"/>
      <c r="H1042" s="81"/>
      <c r="I1042" s="81"/>
      <c r="J1042" s="81"/>
      <c r="K1042" s="81"/>
      <c r="L1042" s="155"/>
      <c r="M1042" s="155"/>
      <c r="N1042" s="109"/>
      <c r="O1042" s="126"/>
      <c r="P1042" s="126"/>
      <c r="Q1042" s="126"/>
      <c r="R1042" s="127"/>
      <c r="S1042" s="127"/>
      <c r="T1042" s="127"/>
      <c r="U1042" s="127"/>
    </row>
    <row r="1043" spans="1:21" ht="15" customHeight="1">
      <c r="A1043" s="125"/>
      <c r="B1043" s="125"/>
      <c r="C1043" s="125"/>
      <c r="D1043" s="81"/>
      <c r="E1043" s="81"/>
      <c r="F1043" s="97"/>
      <c r="G1043" s="81"/>
      <c r="H1043" s="81"/>
      <c r="I1043" s="81"/>
      <c r="J1043" s="81"/>
      <c r="K1043" s="81"/>
      <c r="L1043" s="155"/>
      <c r="M1043" s="155"/>
      <c r="N1043" s="109"/>
      <c r="O1043" s="126"/>
      <c r="P1043" s="126"/>
      <c r="Q1043" s="126"/>
      <c r="R1043" s="127"/>
      <c r="S1043" s="127"/>
      <c r="T1043" s="127"/>
      <c r="U1043" s="127"/>
    </row>
    <row r="1044" spans="1:21" ht="15" customHeight="1">
      <c r="A1044" s="125"/>
      <c r="B1044" s="125"/>
      <c r="C1044" s="125"/>
      <c r="D1044" s="81"/>
      <c r="E1044" s="81"/>
      <c r="F1044" s="97"/>
      <c r="G1044" s="81"/>
      <c r="H1044" s="81"/>
      <c r="I1044" s="81"/>
      <c r="J1044" s="81"/>
      <c r="K1044" s="81"/>
      <c r="L1044" s="155"/>
      <c r="M1044" s="155"/>
      <c r="N1044" s="109"/>
      <c r="O1044" s="126"/>
      <c r="P1044" s="126"/>
      <c r="Q1044" s="126"/>
      <c r="R1044" s="127"/>
      <c r="S1044" s="127"/>
      <c r="T1044" s="127"/>
      <c r="U1044" s="127"/>
    </row>
    <row r="1045" spans="1:21" ht="15" customHeight="1">
      <c r="A1045" s="125"/>
      <c r="B1045" s="125"/>
      <c r="C1045" s="125"/>
      <c r="D1045" s="81"/>
      <c r="E1045" s="81"/>
      <c r="F1045" s="97"/>
      <c r="G1045" s="81"/>
      <c r="H1045" s="81"/>
      <c r="I1045" s="81"/>
      <c r="J1045" s="81"/>
      <c r="K1045" s="81"/>
      <c r="L1045" s="155"/>
      <c r="M1045" s="155"/>
      <c r="N1045" s="109"/>
      <c r="O1045" s="126"/>
      <c r="P1045" s="126"/>
      <c r="Q1045" s="126"/>
      <c r="R1045" s="127"/>
      <c r="S1045" s="127"/>
      <c r="T1045" s="127"/>
      <c r="U1045" s="127"/>
    </row>
    <row r="1046" spans="1:21" ht="15" customHeight="1">
      <c r="A1046" s="125"/>
      <c r="B1046" s="125"/>
      <c r="C1046" s="125"/>
      <c r="D1046" s="81"/>
      <c r="E1046" s="81"/>
      <c r="F1046" s="97"/>
      <c r="G1046" s="81"/>
      <c r="H1046" s="81"/>
      <c r="I1046" s="81"/>
      <c r="J1046" s="81"/>
      <c r="K1046" s="81"/>
      <c r="L1046" s="155"/>
      <c r="M1046" s="155"/>
      <c r="N1046" s="109"/>
      <c r="O1046" s="126"/>
      <c r="P1046" s="126"/>
      <c r="Q1046" s="126"/>
      <c r="R1046" s="127"/>
      <c r="S1046" s="127"/>
      <c r="T1046" s="127"/>
      <c r="U1046" s="127"/>
    </row>
    <row r="1047" spans="1:21" ht="15" customHeight="1">
      <c r="A1047" s="125"/>
      <c r="B1047" s="125"/>
      <c r="C1047" s="125"/>
      <c r="D1047" s="81"/>
      <c r="E1047" s="81"/>
      <c r="F1047" s="97"/>
      <c r="G1047" s="81"/>
      <c r="H1047" s="81"/>
      <c r="I1047" s="81"/>
      <c r="J1047" s="81"/>
      <c r="K1047" s="81"/>
      <c r="L1047" s="155"/>
      <c r="M1047" s="155"/>
      <c r="N1047" s="109"/>
      <c r="O1047" s="126"/>
      <c r="P1047" s="126"/>
      <c r="Q1047" s="126"/>
      <c r="R1047" s="127"/>
      <c r="S1047" s="127"/>
      <c r="T1047" s="127"/>
      <c r="U1047" s="127"/>
    </row>
    <row r="1048" spans="1:21" ht="15" customHeight="1">
      <c r="A1048" s="125"/>
      <c r="B1048" s="125"/>
      <c r="C1048" s="125"/>
      <c r="D1048" s="81"/>
      <c r="E1048" s="81"/>
      <c r="F1048" s="97"/>
      <c r="G1048" s="81"/>
      <c r="H1048" s="81"/>
      <c r="I1048" s="81"/>
      <c r="J1048" s="81"/>
      <c r="K1048" s="81"/>
      <c r="L1048" s="155"/>
      <c r="M1048" s="155"/>
      <c r="N1048" s="109"/>
      <c r="O1048" s="126"/>
      <c r="P1048" s="126"/>
      <c r="Q1048" s="126"/>
      <c r="R1048" s="127"/>
      <c r="S1048" s="127"/>
      <c r="T1048" s="127"/>
      <c r="U1048" s="127"/>
    </row>
    <row r="1049" spans="1:21" ht="15" customHeight="1">
      <c r="A1049" s="125"/>
      <c r="B1049" s="125"/>
      <c r="C1049" s="125"/>
      <c r="D1049" s="81"/>
      <c r="E1049" s="81"/>
      <c r="F1049" s="97"/>
      <c r="G1049" s="81"/>
      <c r="H1049" s="81"/>
      <c r="I1049" s="81"/>
      <c r="J1049" s="81"/>
      <c r="K1049" s="81"/>
      <c r="L1049" s="155"/>
      <c r="M1049" s="155"/>
      <c r="N1049" s="109"/>
      <c r="O1049" s="126"/>
      <c r="P1049" s="126"/>
      <c r="Q1049" s="126"/>
      <c r="R1049" s="127"/>
      <c r="S1049" s="127"/>
      <c r="T1049" s="127"/>
      <c r="U1049" s="127"/>
    </row>
    <row r="1050" spans="1:21" ht="15" customHeight="1">
      <c r="A1050" s="125"/>
      <c r="B1050" s="125"/>
      <c r="C1050" s="125"/>
      <c r="D1050" s="81"/>
      <c r="E1050" s="81"/>
      <c r="F1050" s="97"/>
      <c r="G1050" s="81"/>
      <c r="H1050" s="81"/>
      <c r="I1050" s="81"/>
      <c r="J1050" s="81"/>
      <c r="K1050" s="81"/>
      <c r="L1050" s="155"/>
      <c r="M1050" s="155"/>
      <c r="N1050" s="109"/>
      <c r="O1050" s="126"/>
      <c r="P1050" s="126"/>
      <c r="Q1050" s="126"/>
      <c r="R1050" s="127"/>
      <c r="S1050" s="127"/>
      <c r="T1050" s="127"/>
      <c r="U1050" s="127"/>
    </row>
    <row r="1051" spans="1:21" ht="15" customHeight="1">
      <c r="A1051" s="125"/>
      <c r="B1051" s="125"/>
      <c r="C1051" s="125"/>
      <c r="D1051" s="81"/>
      <c r="E1051" s="81"/>
      <c r="F1051" s="97"/>
      <c r="G1051" s="81"/>
      <c r="H1051" s="81"/>
      <c r="I1051" s="81"/>
      <c r="J1051" s="81"/>
      <c r="K1051" s="81"/>
      <c r="L1051" s="155"/>
      <c r="M1051" s="155"/>
      <c r="N1051" s="109"/>
      <c r="O1051" s="126"/>
      <c r="P1051" s="126"/>
      <c r="Q1051" s="126"/>
      <c r="R1051" s="127"/>
      <c r="S1051" s="127"/>
      <c r="T1051" s="127"/>
      <c r="U1051" s="127"/>
    </row>
    <row r="1052" spans="1:21" ht="15" customHeight="1">
      <c r="A1052" s="125"/>
      <c r="B1052" s="125"/>
      <c r="C1052" s="125"/>
      <c r="D1052" s="81"/>
      <c r="E1052" s="81"/>
      <c r="F1052" s="97"/>
      <c r="G1052" s="81"/>
      <c r="H1052" s="81"/>
      <c r="I1052" s="81"/>
      <c r="J1052" s="81"/>
      <c r="K1052" s="81"/>
      <c r="L1052" s="155"/>
      <c r="M1052" s="155"/>
      <c r="N1052" s="109"/>
      <c r="O1052" s="126"/>
      <c r="P1052" s="126"/>
      <c r="Q1052" s="126"/>
      <c r="R1052" s="127"/>
      <c r="S1052" s="127"/>
      <c r="T1052" s="127"/>
      <c r="U1052" s="127"/>
    </row>
    <row r="1053" spans="1:21" ht="15" customHeight="1">
      <c r="A1053" s="125"/>
      <c r="B1053" s="125"/>
      <c r="C1053" s="125"/>
      <c r="D1053" s="81"/>
      <c r="E1053" s="81"/>
      <c r="F1053" s="97"/>
      <c r="G1053" s="81"/>
      <c r="H1053" s="81"/>
      <c r="I1053" s="81"/>
      <c r="J1053" s="81"/>
      <c r="K1053" s="81"/>
      <c r="L1053" s="155"/>
      <c r="M1053" s="155"/>
      <c r="N1053" s="109"/>
      <c r="O1053" s="126"/>
      <c r="P1053" s="126"/>
      <c r="Q1053" s="126"/>
      <c r="R1053" s="127"/>
      <c r="S1053" s="127"/>
      <c r="T1053" s="127"/>
      <c r="U1053" s="127"/>
    </row>
    <row r="1054" spans="1:21" ht="15" customHeight="1">
      <c r="A1054" s="125"/>
      <c r="B1054" s="125"/>
      <c r="C1054" s="125"/>
      <c r="D1054" s="81"/>
      <c r="E1054" s="81"/>
      <c r="F1054" s="97"/>
      <c r="G1054" s="81"/>
      <c r="H1054" s="81"/>
      <c r="I1054" s="81"/>
      <c r="J1054" s="81"/>
      <c r="K1054" s="81"/>
      <c r="L1054" s="155"/>
      <c r="M1054" s="155"/>
      <c r="N1054" s="109"/>
      <c r="O1054" s="126"/>
      <c r="P1054" s="126"/>
      <c r="Q1054" s="126"/>
      <c r="R1054" s="127"/>
      <c r="S1054" s="127"/>
      <c r="T1054" s="127"/>
      <c r="U1054" s="127"/>
    </row>
    <row r="1055" spans="1:21" ht="15" customHeight="1">
      <c r="A1055" s="125"/>
      <c r="B1055" s="125"/>
      <c r="C1055" s="125"/>
      <c r="D1055" s="81"/>
      <c r="E1055" s="81"/>
      <c r="F1055" s="97"/>
      <c r="G1055" s="81"/>
      <c r="H1055" s="81"/>
      <c r="I1055" s="81"/>
      <c r="J1055" s="81"/>
      <c r="K1055" s="81"/>
      <c r="L1055" s="155"/>
      <c r="M1055" s="155"/>
      <c r="N1055" s="109"/>
      <c r="O1055" s="126"/>
      <c r="P1055" s="126"/>
      <c r="Q1055" s="126"/>
      <c r="R1055" s="127"/>
      <c r="S1055" s="127"/>
      <c r="T1055" s="127"/>
      <c r="U1055" s="127"/>
    </row>
    <row r="1056" spans="1:21" ht="15" customHeight="1">
      <c r="A1056" s="125"/>
      <c r="B1056" s="125"/>
      <c r="C1056" s="125"/>
      <c r="D1056" s="81"/>
      <c r="E1056" s="81"/>
      <c r="F1056" s="97"/>
      <c r="G1056" s="81"/>
      <c r="H1056" s="81"/>
      <c r="I1056" s="81"/>
      <c r="J1056" s="81"/>
      <c r="K1056" s="81"/>
      <c r="L1056" s="155"/>
      <c r="M1056" s="155"/>
      <c r="N1056" s="109"/>
      <c r="O1056" s="126"/>
      <c r="P1056" s="126"/>
      <c r="Q1056" s="126"/>
      <c r="R1056" s="127"/>
      <c r="S1056" s="127"/>
      <c r="T1056" s="127"/>
      <c r="U1056" s="127"/>
    </row>
    <row r="1057" spans="1:21" ht="15" customHeight="1">
      <c r="A1057" s="125"/>
      <c r="B1057" s="125"/>
      <c r="C1057" s="125"/>
      <c r="D1057" s="81"/>
      <c r="E1057" s="81"/>
      <c r="F1057" s="97"/>
      <c r="G1057" s="81"/>
      <c r="H1057" s="81"/>
      <c r="I1057" s="81"/>
      <c r="J1057" s="81"/>
      <c r="K1057" s="81"/>
      <c r="L1057" s="155"/>
      <c r="M1057" s="155"/>
      <c r="N1057" s="109"/>
      <c r="O1057" s="126"/>
      <c r="P1057" s="126"/>
      <c r="Q1057" s="126"/>
      <c r="R1057" s="127"/>
      <c r="S1057" s="127"/>
      <c r="T1057" s="127"/>
      <c r="U1057" s="127"/>
    </row>
    <row r="1058" spans="1:21" ht="15" customHeight="1">
      <c r="A1058" s="125"/>
      <c r="B1058" s="125"/>
      <c r="C1058" s="125"/>
      <c r="D1058" s="81"/>
      <c r="E1058" s="81"/>
      <c r="F1058" s="97"/>
      <c r="G1058" s="81"/>
      <c r="H1058" s="81"/>
      <c r="I1058" s="81"/>
      <c r="J1058" s="81"/>
      <c r="K1058" s="81"/>
      <c r="L1058" s="155"/>
      <c r="M1058" s="155"/>
      <c r="N1058" s="109"/>
      <c r="O1058" s="126"/>
      <c r="P1058" s="126"/>
      <c r="Q1058" s="126"/>
      <c r="R1058" s="127"/>
      <c r="S1058" s="127"/>
      <c r="T1058" s="127"/>
      <c r="U1058" s="127"/>
    </row>
    <row r="1059" spans="1:21" ht="15" customHeight="1">
      <c r="A1059" s="125"/>
      <c r="B1059" s="125"/>
      <c r="C1059" s="125"/>
      <c r="D1059" s="81"/>
      <c r="E1059" s="81"/>
      <c r="F1059" s="97"/>
      <c r="G1059" s="81"/>
      <c r="H1059" s="81"/>
      <c r="I1059" s="81"/>
      <c r="J1059" s="81"/>
      <c r="K1059" s="81"/>
      <c r="L1059" s="155"/>
      <c r="M1059" s="155"/>
      <c r="N1059" s="109"/>
      <c r="O1059" s="126"/>
      <c r="P1059" s="126"/>
      <c r="Q1059" s="126"/>
      <c r="R1059" s="127"/>
      <c r="S1059" s="127"/>
      <c r="T1059" s="127"/>
      <c r="U1059" s="127"/>
    </row>
    <row r="1060" spans="1:21" ht="15" customHeight="1">
      <c r="A1060" s="125"/>
      <c r="B1060" s="125"/>
      <c r="C1060" s="125"/>
      <c r="D1060" s="81"/>
      <c r="E1060" s="81"/>
      <c r="F1060" s="97"/>
      <c r="G1060" s="81"/>
      <c r="H1060" s="81"/>
      <c r="I1060" s="81"/>
      <c r="J1060" s="81"/>
      <c r="K1060" s="81"/>
      <c r="L1060" s="155"/>
      <c r="M1060" s="155"/>
      <c r="N1060" s="109"/>
      <c r="O1060" s="126"/>
      <c r="P1060" s="126"/>
      <c r="Q1060" s="126"/>
      <c r="R1060" s="127"/>
      <c r="S1060" s="127"/>
      <c r="T1060" s="127"/>
      <c r="U1060" s="127"/>
    </row>
    <row r="1061" spans="1:21" ht="15" customHeight="1">
      <c r="A1061" s="125"/>
      <c r="B1061" s="125"/>
      <c r="C1061" s="125"/>
      <c r="D1061" s="81"/>
      <c r="E1061" s="81"/>
      <c r="F1061" s="97"/>
      <c r="G1061" s="81"/>
      <c r="H1061" s="81"/>
      <c r="I1061" s="81"/>
      <c r="J1061" s="81"/>
      <c r="K1061" s="81"/>
      <c r="L1061" s="155"/>
      <c r="M1061" s="155"/>
      <c r="N1061" s="109"/>
      <c r="O1061" s="126"/>
      <c r="P1061" s="126"/>
      <c r="Q1061" s="126"/>
      <c r="R1061" s="127"/>
      <c r="S1061" s="127"/>
      <c r="T1061" s="127"/>
      <c r="U1061" s="127"/>
    </row>
    <row r="1062" spans="1:21" ht="15" customHeight="1">
      <c r="A1062" s="125"/>
      <c r="B1062" s="125"/>
      <c r="C1062" s="125"/>
      <c r="D1062" s="81"/>
      <c r="E1062" s="81"/>
      <c r="F1062" s="97"/>
      <c r="G1062" s="81"/>
      <c r="H1062" s="81"/>
      <c r="I1062" s="81"/>
      <c r="J1062" s="81"/>
      <c r="K1062" s="81"/>
      <c r="L1062" s="155"/>
      <c r="M1062" s="155"/>
      <c r="N1062" s="109"/>
      <c r="O1062" s="126"/>
      <c r="P1062" s="126"/>
      <c r="Q1062" s="126"/>
      <c r="R1062" s="127"/>
      <c r="S1062" s="127"/>
      <c r="T1062" s="127"/>
      <c r="U1062" s="127"/>
    </row>
    <row r="1063" spans="1:21" ht="15" customHeight="1">
      <c r="A1063" s="125"/>
      <c r="B1063" s="125"/>
      <c r="C1063" s="125"/>
      <c r="D1063" s="81"/>
      <c r="E1063" s="81"/>
      <c r="F1063" s="97"/>
      <c r="G1063" s="81"/>
      <c r="H1063" s="81"/>
      <c r="I1063" s="81"/>
      <c r="J1063" s="81"/>
      <c r="K1063" s="81"/>
      <c r="L1063" s="155"/>
      <c r="M1063" s="155"/>
      <c r="N1063" s="109"/>
      <c r="O1063" s="126"/>
      <c r="P1063" s="126"/>
      <c r="Q1063" s="126"/>
      <c r="R1063" s="127"/>
      <c r="S1063" s="127"/>
      <c r="T1063" s="127"/>
      <c r="U1063" s="127"/>
    </row>
    <row r="1064" spans="1:21" ht="15" customHeight="1">
      <c r="A1064" s="125"/>
      <c r="B1064" s="125"/>
      <c r="C1064" s="125"/>
      <c r="D1064" s="81"/>
      <c r="E1064" s="81"/>
      <c r="F1064" s="97"/>
      <c r="G1064" s="81"/>
      <c r="H1064" s="81"/>
      <c r="I1064" s="81"/>
      <c r="J1064" s="81"/>
      <c r="K1064" s="81"/>
      <c r="L1064" s="155"/>
      <c r="M1064" s="155"/>
      <c r="N1064" s="109"/>
      <c r="O1064" s="126"/>
      <c r="P1064" s="126"/>
      <c r="Q1064" s="126"/>
      <c r="R1064" s="127"/>
      <c r="S1064" s="127"/>
      <c r="T1064" s="127"/>
      <c r="U1064" s="127"/>
    </row>
    <row r="1065" spans="1:21" ht="15" customHeight="1">
      <c r="A1065" s="125"/>
      <c r="B1065" s="125"/>
      <c r="C1065" s="125"/>
      <c r="D1065" s="81"/>
      <c r="E1065" s="81"/>
      <c r="F1065" s="97"/>
      <c r="G1065" s="81"/>
      <c r="H1065" s="81"/>
      <c r="I1065" s="81"/>
      <c r="J1065" s="81"/>
      <c r="K1065" s="81"/>
      <c r="L1065" s="155"/>
      <c r="M1065" s="155"/>
      <c r="N1065" s="109"/>
      <c r="O1065" s="126"/>
      <c r="P1065" s="126"/>
      <c r="Q1065" s="126"/>
      <c r="R1065" s="127"/>
      <c r="S1065" s="127"/>
      <c r="T1065" s="127"/>
      <c r="U1065" s="127"/>
    </row>
    <row r="1066" spans="1:21" ht="15" customHeight="1">
      <c r="A1066" s="125"/>
      <c r="B1066" s="125"/>
      <c r="C1066" s="125"/>
      <c r="D1066" s="81"/>
      <c r="E1066" s="81"/>
      <c r="F1066" s="97"/>
      <c r="G1066" s="81"/>
      <c r="H1066" s="81"/>
      <c r="I1066" s="81"/>
      <c r="J1066" s="81"/>
      <c r="K1066" s="81"/>
      <c r="L1066" s="155"/>
      <c r="M1066" s="155"/>
      <c r="N1066" s="109"/>
      <c r="O1066" s="126"/>
      <c r="P1066" s="126"/>
      <c r="Q1066" s="126"/>
      <c r="R1066" s="127"/>
      <c r="S1066" s="127"/>
      <c r="T1066" s="127"/>
      <c r="U1066" s="127"/>
    </row>
    <row r="1067" spans="1:21" ht="15" customHeight="1">
      <c r="A1067" s="125"/>
      <c r="B1067" s="125"/>
      <c r="C1067" s="125"/>
      <c r="D1067" s="81"/>
      <c r="E1067" s="81"/>
      <c r="F1067" s="97"/>
      <c r="G1067" s="81"/>
      <c r="H1067" s="81"/>
      <c r="I1067" s="81"/>
      <c r="J1067" s="81"/>
      <c r="K1067" s="81"/>
      <c r="L1067" s="155"/>
      <c r="M1067" s="155"/>
      <c r="N1067" s="109"/>
      <c r="O1067" s="126"/>
      <c r="P1067" s="126"/>
      <c r="Q1067" s="126"/>
      <c r="R1067" s="127"/>
      <c r="S1067" s="127"/>
      <c r="T1067" s="127"/>
      <c r="U1067" s="127"/>
    </row>
    <row r="1068" spans="1:21" ht="15" customHeight="1">
      <c r="A1068" s="125"/>
      <c r="B1068" s="125"/>
      <c r="C1068" s="125"/>
      <c r="D1068" s="81"/>
      <c r="E1068" s="81"/>
      <c r="F1068" s="97"/>
      <c r="G1068" s="81"/>
      <c r="H1068" s="81"/>
      <c r="I1068" s="81"/>
      <c r="J1068" s="81"/>
      <c r="K1068" s="81"/>
      <c r="L1068" s="155"/>
      <c r="M1068" s="155"/>
      <c r="N1068" s="109"/>
      <c r="O1068" s="126"/>
      <c r="P1068" s="126"/>
      <c r="Q1068" s="126"/>
      <c r="R1068" s="127"/>
      <c r="S1068" s="127"/>
      <c r="T1068" s="127"/>
      <c r="U1068" s="127"/>
    </row>
    <row r="1069" spans="1:21" ht="15" customHeight="1">
      <c r="A1069" s="125"/>
      <c r="B1069" s="125"/>
      <c r="C1069" s="125"/>
      <c r="D1069" s="81"/>
      <c r="E1069" s="81"/>
      <c r="F1069" s="97"/>
      <c r="G1069" s="81"/>
      <c r="H1069" s="81"/>
      <c r="I1069" s="81"/>
      <c r="J1069" s="81"/>
      <c r="K1069" s="81"/>
      <c r="L1069" s="155"/>
      <c r="M1069" s="155"/>
      <c r="N1069" s="109"/>
      <c r="O1069" s="126"/>
      <c r="P1069" s="126"/>
      <c r="Q1069" s="126"/>
      <c r="R1069" s="127"/>
      <c r="S1069" s="127"/>
      <c r="T1069" s="127"/>
      <c r="U1069" s="127"/>
    </row>
    <row r="1070" spans="1:21" ht="15" customHeight="1">
      <c r="A1070" s="125"/>
      <c r="B1070" s="125"/>
      <c r="C1070" s="125"/>
      <c r="D1070" s="81"/>
      <c r="E1070" s="81"/>
      <c r="F1070" s="97"/>
      <c r="G1070" s="81"/>
      <c r="H1070" s="81"/>
      <c r="I1070" s="81"/>
      <c r="J1070" s="81"/>
      <c r="K1070" s="81"/>
      <c r="L1070" s="155"/>
      <c r="M1070" s="155"/>
      <c r="N1070" s="109"/>
      <c r="O1070" s="126"/>
      <c r="P1070" s="126"/>
      <c r="Q1070" s="126"/>
      <c r="R1070" s="127"/>
      <c r="S1070" s="127"/>
      <c r="T1070" s="127"/>
      <c r="U1070" s="127"/>
    </row>
    <row r="1071" spans="1:21" ht="15" customHeight="1">
      <c r="A1071" s="125"/>
      <c r="B1071" s="125"/>
      <c r="C1071" s="125"/>
      <c r="D1071" s="81"/>
      <c r="E1071" s="81"/>
      <c r="F1071" s="97"/>
      <c r="G1071" s="81"/>
      <c r="H1071" s="81"/>
      <c r="I1071" s="81"/>
      <c r="J1071" s="81"/>
      <c r="K1071" s="81"/>
      <c r="L1071" s="155"/>
      <c r="M1071" s="155"/>
      <c r="N1071" s="109"/>
      <c r="O1071" s="126"/>
      <c r="P1071" s="126"/>
      <c r="Q1071" s="126"/>
      <c r="R1071" s="127"/>
      <c r="S1071" s="127"/>
      <c r="T1071" s="127"/>
      <c r="U1071" s="127"/>
    </row>
    <row r="1072" spans="1:21" ht="15" customHeight="1">
      <c r="A1072" s="125"/>
      <c r="B1072" s="125"/>
      <c r="C1072" s="125"/>
      <c r="D1072" s="81"/>
      <c r="E1072" s="81"/>
      <c r="F1072" s="97"/>
      <c r="G1072" s="81"/>
      <c r="H1072" s="81"/>
      <c r="I1072" s="81"/>
      <c r="J1072" s="81"/>
      <c r="K1072" s="81"/>
      <c r="L1072" s="155"/>
      <c r="M1072" s="155"/>
      <c r="N1072" s="109"/>
      <c r="O1072" s="126"/>
      <c r="P1072" s="126"/>
      <c r="Q1072" s="126"/>
      <c r="R1072" s="127"/>
      <c r="S1072" s="127"/>
      <c r="T1072" s="127"/>
      <c r="U1072" s="127"/>
    </row>
    <row r="1073" spans="1:21" ht="15" customHeight="1">
      <c r="A1073" s="125"/>
      <c r="B1073" s="125"/>
      <c r="C1073" s="125"/>
      <c r="D1073" s="81"/>
      <c r="E1073" s="81"/>
      <c r="F1073" s="97"/>
      <c r="G1073" s="81"/>
      <c r="H1073" s="81"/>
      <c r="I1073" s="81"/>
      <c r="J1073" s="81"/>
      <c r="K1073" s="81"/>
      <c r="L1073" s="155"/>
      <c r="M1073" s="155"/>
      <c r="N1073" s="109"/>
      <c r="O1073" s="126"/>
      <c r="P1073" s="126"/>
      <c r="Q1073" s="126"/>
      <c r="R1073" s="127"/>
      <c r="S1073" s="127"/>
      <c r="T1073" s="127"/>
      <c r="U1073" s="127"/>
    </row>
    <row r="1074" spans="1:21" ht="15" customHeight="1">
      <c r="A1074" s="125"/>
      <c r="B1074" s="125"/>
      <c r="C1074" s="125"/>
      <c r="D1074" s="81"/>
      <c r="E1074" s="81"/>
      <c r="F1074" s="97"/>
      <c r="G1074" s="81"/>
      <c r="H1074" s="81"/>
      <c r="I1074" s="81"/>
      <c r="J1074" s="81"/>
      <c r="K1074" s="81"/>
      <c r="L1074" s="155"/>
      <c r="M1074" s="155"/>
      <c r="N1074" s="109"/>
      <c r="O1074" s="126"/>
      <c r="P1074" s="126"/>
      <c r="Q1074" s="126"/>
      <c r="R1074" s="127"/>
      <c r="S1074" s="127"/>
      <c r="T1074" s="127"/>
      <c r="U1074" s="127"/>
    </row>
    <row r="1075" spans="1:21" ht="15" customHeight="1">
      <c r="A1075" s="125"/>
      <c r="B1075" s="125"/>
      <c r="C1075" s="125"/>
      <c r="D1075" s="81"/>
      <c r="E1075" s="81"/>
      <c r="F1075" s="97"/>
      <c r="G1075" s="81"/>
      <c r="H1075" s="81"/>
      <c r="I1075" s="81"/>
      <c r="J1075" s="81"/>
      <c r="K1075" s="81"/>
      <c r="L1075" s="155"/>
      <c r="M1075" s="155"/>
      <c r="N1075" s="109"/>
      <c r="O1075" s="126"/>
      <c r="P1075" s="126"/>
      <c r="Q1075" s="126"/>
      <c r="R1075" s="127"/>
      <c r="S1075" s="127"/>
      <c r="T1075" s="127"/>
      <c r="U1075" s="127"/>
    </row>
    <row r="1076" spans="1:21" ht="15" customHeight="1">
      <c r="A1076" s="125"/>
      <c r="B1076" s="125"/>
      <c r="C1076" s="125"/>
      <c r="D1076" s="81"/>
      <c r="E1076" s="81"/>
      <c r="F1076" s="97"/>
      <c r="G1076" s="81"/>
      <c r="H1076" s="81"/>
      <c r="I1076" s="81"/>
      <c r="J1076" s="81"/>
      <c r="K1076" s="81"/>
      <c r="L1076" s="155"/>
      <c r="M1076" s="155"/>
      <c r="N1076" s="109"/>
      <c r="O1076" s="126"/>
      <c r="P1076" s="126"/>
      <c r="Q1076" s="126"/>
      <c r="R1076" s="127"/>
      <c r="S1076" s="127"/>
      <c r="T1076" s="127"/>
      <c r="U1076" s="127"/>
    </row>
    <row r="1077" spans="1:21" ht="15" customHeight="1">
      <c r="A1077" s="125"/>
      <c r="B1077" s="125"/>
      <c r="C1077" s="125"/>
      <c r="D1077" s="81"/>
      <c r="E1077" s="81"/>
      <c r="F1077" s="97"/>
      <c r="G1077" s="81"/>
      <c r="H1077" s="81"/>
      <c r="I1077" s="81"/>
      <c r="J1077" s="81"/>
      <c r="K1077" s="81"/>
      <c r="L1077" s="155"/>
      <c r="M1077" s="155"/>
      <c r="N1077" s="109"/>
      <c r="O1077" s="126"/>
      <c r="P1077" s="126"/>
      <c r="Q1077" s="126"/>
      <c r="R1077" s="127"/>
      <c r="S1077" s="127"/>
      <c r="T1077" s="127"/>
      <c r="U1077" s="127"/>
    </row>
    <row r="1078" spans="1:21" ht="15" customHeight="1">
      <c r="A1078" s="125"/>
      <c r="B1078" s="125"/>
      <c r="C1078" s="125"/>
      <c r="D1078" s="81"/>
      <c r="E1078" s="81"/>
      <c r="F1078" s="97"/>
      <c r="G1078" s="81"/>
      <c r="H1078" s="81"/>
      <c r="I1078" s="81"/>
      <c r="J1078" s="81"/>
      <c r="K1078" s="81"/>
      <c r="L1078" s="155"/>
      <c r="M1078" s="155"/>
      <c r="N1078" s="109"/>
      <c r="O1078" s="126"/>
      <c r="P1078" s="126"/>
      <c r="Q1078" s="126"/>
      <c r="R1078" s="127"/>
      <c r="S1078" s="127"/>
      <c r="T1078" s="127"/>
      <c r="U1078" s="127"/>
    </row>
    <row r="1079" spans="1:21" ht="15" customHeight="1">
      <c r="A1079" s="125"/>
      <c r="B1079" s="125"/>
      <c r="C1079" s="125"/>
      <c r="D1079" s="81"/>
      <c r="E1079" s="81"/>
      <c r="F1079" s="97"/>
      <c r="G1079" s="81"/>
      <c r="H1079" s="81"/>
      <c r="I1079" s="81"/>
      <c r="J1079" s="81"/>
      <c r="K1079" s="81"/>
      <c r="L1079" s="155"/>
      <c r="M1079" s="155"/>
      <c r="N1079" s="109"/>
      <c r="O1079" s="126"/>
      <c r="P1079" s="126"/>
      <c r="Q1079" s="126"/>
      <c r="R1079" s="127"/>
      <c r="S1079" s="127"/>
      <c r="T1079" s="127"/>
      <c r="U1079" s="127"/>
    </row>
    <row r="1080" spans="1:21" ht="15" customHeight="1">
      <c r="A1080" s="125"/>
      <c r="B1080" s="125"/>
      <c r="C1080" s="125"/>
      <c r="D1080" s="81"/>
      <c r="E1080" s="81"/>
      <c r="F1080" s="97"/>
      <c r="G1080" s="81"/>
      <c r="H1080" s="81"/>
      <c r="I1080" s="81"/>
      <c r="J1080" s="81"/>
      <c r="K1080" s="81"/>
      <c r="L1080" s="155"/>
      <c r="M1080" s="155"/>
      <c r="N1080" s="109"/>
      <c r="O1080" s="126"/>
      <c r="P1080" s="126"/>
      <c r="Q1080" s="126"/>
      <c r="R1080" s="127"/>
      <c r="S1080" s="127"/>
      <c r="T1080" s="127"/>
      <c r="U1080" s="127"/>
    </row>
    <row r="1081" spans="1:21" ht="15" customHeight="1">
      <c r="A1081" s="125"/>
      <c r="B1081" s="125"/>
      <c r="C1081" s="125"/>
      <c r="D1081" s="81"/>
      <c r="E1081" s="81"/>
      <c r="F1081" s="97"/>
      <c r="G1081" s="81"/>
      <c r="H1081" s="81"/>
      <c r="I1081" s="81"/>
      <c r="J1081" s="81"/>
      <c r="K1081" s="81"/>
      <c r="L1081" s="155"/>
      <c r="M1081" s="155"/>
      <c r="N1081" s="109"/>
      <c r="O1081" s="126"/>
      <c r="P1081" s="126"/>
      <c r="Q1081" s="126"/>
      <c r="R1081" s="127"/>
      <c r="S1081" s="127"/>
      <c r="T1081" s="127"/>
      <c r="U1081" s="127"/>
    </row>
    <row r="1082" spans="1:21" ht="15" customHeight="1">
      <c r="A1082" s="125"/>
      <c r="B1082" s="125"/>
      <c r="C1082" s="125"/>
      <c r="D1082" s="81"/>
      <c r="E1082" s="81"/>
      <c r="F1082" s="97"/>
      <c r="G1082" s="81"/>
      <c r="H1082" s="81"/>
      <c r="I1082" s="81"/>
      <c r="J1082" s="81"/>
      <c r="K1082" s="81"/>
      <c r="L1082" s="155"/>
      <c r="M1082" s="155"/>
      <c r="N1082" s="109"/>
      <c r="O1082" s="126"/>
      <c r="P1082" s="126"/>
      <c r="Q1082" s="126"/>
      <c r="R1082" s="127"/>
      <c r="S1082" s="127"/>
      <c r="T1082" s="127"/>
      <c r="U1082" s="127"/>
    </row>
    <row r="1083" spans="1:21" ht="15" customHeight="1">
      <c r="A1083" s="125"/>
      <c r="B1083" s="125"/>
      <c r="C1083" s="125"/>
      <c r="D1083" s="81"/>
      <c r="E1083" s="81"/>
      <c r="F1083" s="97"/>
      <c r="G1083" s="81"/>
      <c r="H1083" s="81"/>
      <c r="I1083" s="81"/>
      <c r="J1083" s="81"/>
      <c r="K1083" s="81"/>
      <c r="L1083" s="155"/>
      <c r="M1083" s="155"/>
      <c r="N1083" s="109"/>
      <c r="O1083" s="126"/>
      <c r="P1083" s="126"/>
      <c r="Q1083" s="126"/>
      <c r="R1083" s="127"/>
      <c r="S1083" s="127"/>
      <c r="T1083" s="127"/>
      <c r="U1083" s="127"/>
    </row>
    <row r="1084" spans="1:21" ht="15" customHeight="1">
      <c r="A1084" s="125"/>
      <c r="B1084" s="125"/>
      <c r="C1084" s="125"/>
      <c r="D1084" s="81"/>
      <c r="E1084" s="81"/>
      <c r="F1084" s="97"/>
      <c r="G1084" s="81"/>
      <c r="H1084" s="81"/>
      <c r="I1084" s="81"/>
      <c r="J1084" s="81"/>
      <c r="K1084" s="81"/>
      <c r="L1084" s="155"/>
      <c r="M1084" s="155"/>
      <c r="N1084" s="109"/>
      <c r="O1084" s="126"/>
      <c r="P1084" s="126"/>
      <c r="Q1084" s="126"/>
      <c r="R1084" s="127"/>
      <c r="S1084" s="127"/>
      <c r="T1084" s="127"/>
      <c r="U1084" s="127"/>
    </row>
    <row r="1085" spans="1:21" ht="15" customHeight="1">
      <c r="A1085" s="125"/>
      <c r="B1085" s="125"/>
      <c r="C1085" s="125"/>
      <c r="D1085" s="81"/>
      <c r="E1085" s="81"/>
      <c r="F1085" s="97"/>
      <c r="G1085" s="81"/>
      <c r="H1085" s="81"/>
      <c r="I1085" s="81"/>
      <c r="J1085" s="81"/>
      <c r="K1085" s="81"/>
      <c r="L1085" s="155"/>
      <c r="M1085" s="155"/>
      <c r="N1085" s="109"/>
      <c r="O1085" s="126"/>
      <c r="P1085" s="126"/>
      <c r="Q1085" s="126"/>
      <c r="R1085" s="127"/>
      <c r="S1085" s="127"/>
      <c r="T1085" s="127"/>
      <c r="U1085" s="127"/>
    </row>
    <row r="1086" spans="1:21" ht="15" customHeight="1">
      <c r="A1086" s="125"/>
      <c r="B1086" s="125"/>
      <c r="C1086" s="125"/>
      <c r="D1086" s="81"/>
      <c r="E1086" s="81"/>
      <c r="F1086" s="97"/>
      <c r="G1086" s="81"/>
      <c r="H1086" s="81"/>
      <c r="I1086" s="81"/>
      <c r="J1086" s="81"/>
      <c r="K1086" s="81"/>
      <c r="L1086" s="155"/>
      <c r="M1086" s="155"/>
      <c r="N1086" s="109"/>
      <c r="O1086" s="126"/>
      <c r="P1086" s="126"/>
      <c r="Q1086" s="126"/>
      <c r="R1086" s="127"/>
      <c r="S1086" s="127"/>
      <c r="T1086" s="127"/>
      <c r="U1086" s="127"/>
    </row>
    <row r="1087" spans="1:21" ht="15" customHeight="1">
      <c r="A1087" s="125"/>
      <c r="B1087" s="125"/>
      <c r="C1087" s="125"/>
      <c r="D1087" s="81"/>
      <c r="E1087" s="81"/>
      <c r="F1087" s="97"/>
      <c r="G1087" s="81"/>
      <c r="H1087" s="81"/>
      <c r="I1087" s="81"/>
      <c r="J1087" s="81"/>
      <c r="K1087" s="81"/>
      <c r="L1087" s="155"/>
      <c r="M1087" s="155"/>
      <c r="N1087" s="109"/>
      <c r="O1087" s="126"/>
      <c r="P1087" s="126"/>
      <c r="Q1087" s="126"/>
      <c r="R1087" s="127"/>
      <c r="S1087" s="127"/>
      <c r="T1087" s="127"/>
      <c r="U1087" s="127"/>
    </row>
    <row r="1088" spans="1:21" ht="15" customHeight="1">
      <c r="A1088" s="125"/>
      <c r="B1088" s="125"/>
      <c r="C1088" s="125"/>
      <c r="D1088" s="81"/>
      <c r="E1088" s="81"/>
      <c r="F1088" s="97"/>
      <c r="G1088" s="81"/>
      <c r="H1088" s="81"/>
      <c r="I1088" s="81"/>
      <c r="J1088" s="81"/>
      <c r="K1088" s="81"/>
      <c r="L1088" s="155"/>
      <c r="M1088" s="155"/>
      <c r="N1088" s="109"/>
      <c r="O1088" s="126"/>
      <c r="P1088" s="126"/>
      <c r="Q1088" s="126"/>
      <c r="R1088" s="127"/>
      <c r="S1088" s="127"/>
      <c r="T1088" s="127"/>
      <c r="U1088" s="127"/>
    </row>
    <row r="1089" spans="1:21" ht="15" customHeight="1">
      <c r="A1089" s="125"/>
      <c r="B1089" s="125"/>
      <c r="C1089" s="125"/>
      <c r="D1089" s="81"/>
      <c r="E1089" s="81"/>
      <c r="F1089" s="97"/>
      <c r="G1089" s="81"/>
      <c r="H1089" s="81"/>
      <c r="I1089" s="81"/>
      <c r="J1089" s="81"/>
      <c r="K1089" s="81"/>
      <c r="L1089" s="155"/>
      <c r="M1089" s="155"/>
      <c r="N1089" s="109"/>
      <c r="O1089" s="126"/>
      <c r="P1089" s="126"/>
      <c r="Q1089" s="126"/>
      <c r="R1089" s="127"/>
      <c r="S1089" s="127"/>
      <c r="T1089" s="127"/>
      <c r="U1089" s="127"/>
    </row>
    <row r="1090" spans="1:21" ht="15" customHeight="1">
      <c r="A1090" s="125"/>
      <c r="B1090" s="125"/>
      <c r="C1090" s="125"/>
      <c r="D1090" s="81"/>
      <c r="E1090" s="81"/>
      <c r="F1090" s="97"/>
      <c r="G1090" s="81"/>
      <c r="H1090" s="81"/>
      <c r="I1090" s="81"/>
      <c r="J1090" s="81"/>
      <c r="K1090" s="81"/>
      <c r="L1090" s="155"/>
      <c r="M1090" s="155"/>
      <c r="N1090" s="109"/>
      <c r="O1090" s="126"/>
      <c r="P1090" s="126"/>
      <c r="Q1090" s="126"/>
      <c r="R1090" s="127"/>
      <c r="S1090" s="127"/>
      <c r="T1090" s="127"/>
      <c r="U1090" s="127"/>
    </row>
    <row r="1091" spans="1:21" ht="15" customHeight="1">
      <c r="A1091" s="125"/>
      <c r="B1091" s="125"/>
      <c r="C1091" s="125"/>
      <c r="D1091" s="81"/>
      <c r="E1091" s="81"/>
      <c r="F1091" s="97"/>
      <c r="G1091" s="81"/>
      <c r="H1091" s="81"/>
      <c r="I1091" s="81"/>
      <c r="J1091" s="81"/>
      <c r="K1091" s="81"/>
      <c r="L1091" s="155"/>
      <c r="M1091" s="155"/>
      <c r="N1091" s="109"/>
      <c r="O1091" s="126"/>
      <c r="P1091" s="126"/>
      <c r="Q1091" s="126"/>
      <c r="R1091" s="127"/>
      <c r="S1091" s="127"/>
      <c r="T1091" s="127"/>
      <c r="U1091" s="127"/>
    </row>
    <row r="1092" spans="1:21" ht="15" customHeight="1">
      <c r="A1092" s="125"/>
      <c r="B1092" s="125"/>
      <c r="C1092" s="125"/>
      <c r="D1092" s="81"/>
      <c r="E1092" s="81"/>
      <c r="F1092" s="97"/>
      <c r="G1092" s="81"/>
      <c r="H1092" s="81"/>
      <c r="I1092" s="81"/>
      <c r="J1092" s="81"/>
      <c r="K1092" s="81"/>
      <c r="L1092" s="155"/>
      <c r="M1092" s="155"/>
      <c r="N1092" s="109"/>
      <c r="O1092" s="126"/>
      <c r="P1092" s="126"/>
      <c r="Q1092" s="126"/>
      <c r="R1092" s="127"/>
      <c r="S1092" s="127"/>
      <c r="T1092" s="127"/>
      <c r="U1092" s="127"/>
    </row>
    <row r="1093" spans="1:21" ht="15" customHeight="1">
      <c r="A1093" s="125"/>
      <c r="B1093" s="125"/>
      <c r="C1093" s="125"/>
      <c r="D1093" s="81"/>
      <c r="E1093" s="81"/>
      <c r="F1093" s="97"/>
      <c r="G1093" s="81"/>
      <c r="H1093" s="81"/>
      <c r="I1093" s="81"/>
      <c r="J1093" s="81"/>
      <c r="K1093" s="81"/>
      <c r="L1093" s="155"/>
      <c r="M1093" s="155"/>
      <c r="N1093" s="109"/>
      <c r="O1093" s="126"/>
      <c r="P1093" s="126"/>
      <c r="Q1093" s="126"/>
      <c r="R1093" s="127"/>
      <c r="S1093" s="127"/>
      <c r="T1093" s="127"/>
      <c r="U1093" s="127"/>
    </row>
    <row r="1094" spans="1:21" ht="15" customHeight="1">
      <c r="A1094" s="125"/>
      <c r="B1094" s="125"/>
      <c r="C1094" s="125"/>
      <c r="D1094" s="81"/>
      <c r="E1094" s="81"/>
      <c r="F1094" s="97"/>
      <c r="G1094" s="81"/>
      <c r="H1094" s="81"/>
      <c r="I1094" s="81"/>
      <c r="J1094" s="81"/>
      <c r="K1094" s="81"/>
      <c r="L1094" s="155"/>
      <c r="M1094" s="155"/>
      <c r="N1094" s="109"/>
      <c r="O1094" s="126"/>
      <c r="P1094" s="126"/>
      <c r="Q1094" s="126"/>
      <c r="R1094" s="127"/>
      <c r="S1094" s="127"/>
      <c r="T1094" s="127"/>
      <c r="U1094" s="127"/>
    </row>
    <row r="1095" spans="1:21" ht="15" customHeight="1">
      <c r="A1095" s="125"/>
      <c r="B1095" s="125"/>
      <c r="C1095" s="125"/>
      <c r="D1095" s="81"/>
      <c r="E1095" s="81"/>
      <c r="F1095" s="97"/>
      <c r="G1095" s="81"/>
      <c r="H1095" s="81"/>
      <c r="I1095" s="81"/>
      <c r="J1095" s="81"/>
      <c r="K1095" s="81"/>
      <c r="L1095" s="155"/>
      <c r="M1095" s="155"/>
      <c r="N1095" s="109"/>
      <c r="O1095" s="126"/>
      <c r="P1095" s="126"/>
      <c r="Q1095" s="126"/>
      <c r="R1095" s="127"/>
      <c r="S1095" s="127"/>
      <c r="T1095" s="127"/>
      <c r="U1095" s="127"/>
    </row>
    <row r="1096" spans="1:21" ht="15" customHeight="1">
      <c r="A1096" s="125"/>
      <c r="B1096" s="125"/>
      <c r="C1096" s="125"/>
      <c r="D1096" s="81"/>
      <c r="E1096" s="81"/>
      <c r="F1096" s="97"/>
      <c r="G1096" s="81"/>
      <c r="H1096" s="81"/>
      <c r="I1096" s="81"/>
      <c r="J1096" s="81"/>
      <c r="K1096" s="81"/>
      <c r="L1096" s="155"/>
      <c r="M1096" s="155"/>
      <c r="N1096" s="109"/>
      <c r="O1096" s="126"/>
      <c r="P1096" s="126"/>
      <c r="Q1096" s="126"/>
      <c r="R1096" s="127"/>
      <c r="S1096" s="127"/>
      <c r="T1096" s="127"/>
      <c r="U1096" s="127"/>
    </row>
    <row r="1097" spans="1:21" ht="15" customHeight="1">
      <c r="A1097" s="125"/>
      <c r="B1097" s="125"/>
      <c r="C1097" s="125"/>
      <c r="D1097" s="81"/>
      <c r="E1097" s="81"/>
      <c r="F1097" s="97"/>
      <c r="G1097" s="81"/>
      <c r="H1097" s="81"/>
      <c r="I1097" s="81"/>
      <c r="J1097" s="81"/>
      <c r="K1097" s="81"/>
      <c r="L1097" s="155"/>
      <c r="M1097" s="155"/>
      <c r="N1097" s="109"/>
      <c r="O1097" s="126"/>
      <c r="P1097" s="126"/>
      <c r="Q1097" s="126"/>
      <c r="R1097" s="127"/>
      <c r="S1097" s="127"/>
      <c r="T1097" s="127"/>
      <c r="U1097" s="127"/>
    </row>
    <row r="1098" spans="1:21" ht="15" customHeight="1">
      <c r="A1098" s="125"/>
      <c r="B1098" s="125"/>
      <c r="C1098" s="125"/>
      <c r="D1098" s="81"/>
      <c r="E1098" s="81"/>
      <c r="F1098" s="97"/>
      <c r="G1098" s="81"/>
      <c r="H1098" s="81"/>
      <c r="I1098" s="81"/>
      <c r="J1098" s="81"/>
      <c r="K1098" s="81"/>
      <c r="L1098" s="155"/>
      <c r="M1098" s="155"/>
      <c r="N1098" s="109"/>
      <c r="O1098" s="126"/>
      <c r="P1098" s="126"/>
      <c r="Q1098" s="126"/>
      <c r="R1098" s="127"/>
      <c r="S1098" s="127"/>
      <c r="T1098" s="127"/>
      <c r="U1098" s="127"/>
    </row>
    <row r="1099" spans="1:21" ht="15" customHeight="1">
      <c r="A1099" s="125"/>
      <c r="B1099" s="125"/>
      <c r="C1099" s="125"/>
      <c r="D1099" s="81"/>
      <c r="E1099" s="81"/>
      <c r="F1099" s="97"/>
      <c r="G1099" s="81"/>
      <c r="H1099" s="81"/>
      <c r="I1099" s="81"/>
      <c r="J1099" s="81"/>
      <c r="K1099" s="81"/>
      <c r="L1099" s="155"/>
      <c r="M1099" s="155"/>
      <c r="N1099" s="109"/>
      <c r="O1099" s="126"/>
      <c r="P1099" s="126"/>
      <c r="Q1099" s="126"/>
      <c r="R1099" s="127"/>
      <c r="S1099" s="127"/>
      <c r="T1099" s="127"/>
      <c r="U1099" s="127"/>
    </row>
    <row r="1100" spans="1:21" ht="15" customHeight="1">
      <c r="A1100" s="125"/>
      <c r="B1100" s="125"/>
      <c r="C1100" s="125"/>
      <c r="D1100" s="81"/>
      <c r="E1100" s="81"/>
      <c r="F1100" s="97"/>
      <c r="G1100" s="81"/>
      <c r="H1100" s="81"/>
      <c r="I1100" s="81"/>
      <c r="J1100" s="81"/>
      <c r="K1100" s="81"/>
      <c r="L1100" s="155"/>
      <c r="M1100" s="155"/>
      <c r="N1100" s="109"/>
      <c r="O1100" s="126"/>
      <c r="P1100" s="126"/>
      <c r="Q1100" s="126"/>
      <c r="R1100" s="127"/>
      <c r="S1100" s="127"/>
      <c r="T1100" s="127"/>
      <c r="U1100" s="127"/>
    </row>
    <row r="1101" spans="1:21" ht="15" customHeight="1">
      <c r="A1101" s="125"/>
      <c r="B1101" s="125"/>
      <c r="C1101" s="125"/>
      <c r="D1101" s="81"/>
      <c r="E1101" s="81"/>
      <c r="F1101" s="97"/>
      <c r="G1101" s="81"/>
      <c r="H1101" s="81"/>
      <c r="I1101" s="81"/>
      <c r="J1101" s="81"/>
      <c r="K1101" s="81"/>
      <c r="L1101" s="155"/>
      <c r="M1101" s="155"/>
      <c r="N1101" s="109"/>
      <c r="O1101" s="126"/>
      <c r="P1101" s="126"/>
      <c r="Q1101" s="126"/>
      <c r="R1101" s="127"/>
      <c r="S1101" s="127"/>
      <c r="T1101" s="127"/>
      <c r="U1101" s="127"/>
    </row>
    <row r="1102" spans="1:21" ht="15" customHeight="1">
      <c r="A1102" s="125"/>
      <c r="B1102" s="125"/>
      <c r="C1102" s="125"/>
      <c r="D1102" s="81"/>
      <c r="E1102" s="81"/>
      <c r="F1102" s="97"/>
      <c r="G1102" s="81"/>
      <c r="H1102" s="81"/>
      <c r="I1102" s="81"/>
      <c r="J1102" s="81"/>
      <c r="K1102" s="81"/>
      <c r="L1102" s="155"/>
      <c r="M1102" s="155"/>
      <c r="N1102" s="109"/>
      <c r="O1102" s="126"/>
      <c r="P1102" s="126"/>
      <c r="Q1102" s="126"/>
      <c r="R1102" s="127"/>
      <c r="S1102" s="127"/>
      <c r="T1102" s="127"/>
      <c r="U1102" s="127"/>
    </row>
    <row r="1103" spans="1:21" ht="15" customHeight="1">
      <c r="A1103" s="125"/>
      <c r="B1103" s="125"/>
      <c r="C1103" s="125"/>
      <c r="D1103" s="81"/>
      <c r="E1103" s="81"/>
      <c r="F1103" s="97"/>
      <c r="G1103" s="81"/>
      <c r="H1103" s="81"/>
      <c r="I1103" s="81"/>
      <c r="J1103" s="81"/>
      <c r="K1103" s="81"/>
      <c r="L1103" s="155"/>
      <c r="M1103" s="155"/>
      <c r="N1103" s="109"/>
      <c r="O1103" s="126"/>
      <c r="P1103" s="126"/>
      <c r="Q1103" s="126"/>
      <c r="R1103" s="127"/>
      <c r="S1103" s="127"/>
      <c r="T1103" s="127"/>
      <c r="U1103" s="127"/>
    </row>
    <row r="1104" spans="1:21" ht="15" customHeight="1">
      <c r="A1104" s="125"/>
      <c r="B1104" s="125"/>
      <c r="C1104" s="125"/>
      <c r="D1104" s="81"/>
      <c r="E1104" s="81"/>
      <c r="F1104" s="97"/>
      <c r="G1104" s="81"/>
      <c r="H1104" s="81"/>
      <c r="I1104" s="81"/>
      <c r="J1104" s="81"/>
      <c r="K1104" s="81"/>
      <c r="L1104" s="155"/>
      <c r="M1104" s="155"/>
      <c r="N1104" s="109"/>
      <c r="O1104" s="126"/>
      <c r="P1104" s="126"/>
      <c r="Q1104" s="126"/>
      <c r="R1104" s="127"/>
      <c r="S1104" s="127"/>
      <c r="T1104" s="127"/>
      <c r="U1104" s="127"/>
    </row>
    <row r="1105" spans="1:21" ht="15" customHeight="1">
      <c r="A1105" s="125"/>
      <c r="B1105" s="125"/>
      <c r="C1105" s="125"/>
      <c r="D1105" s="81"/>
      <c r="E1105" s="81"/>
      <c r="F1105" s="97"/>
      <c r="G1105" s="81"/>
      <c r="H1105" s="81"/>
      <c r="I1105" s="81"/>
      <c r="J1105" s="81"/>
      <c r="K1105" s="81"/>
      <c r="L1105" s="155"/>
      <c r="M1105" s="155"/>
      <c r="N1105" s="109"/>
      <c r="O1105" s="126"/>
      <c r="P1105" s="126"/>
      <c r="Q1105" s="126"/>
      <c r="R1105" s="127"/>
      <c r="S1105" s="127"/>
      <c r="T1105" s="127"/>
      <c r="U1105" s="127"/>
    </row>
    <row r="1106" spans="1:21" ht="15" customHeight="1">
      <c r="A1106" s="125"/>
      <c r="B1106" s="125"/>
      <c r="C1106" s="125"/>
      <c r="D1106" s="81"/>
      <c r="E1106" s="81"/>
      <c r="F1106" s="97"/>
      <c r="G1106" s="81"/>
      <c r="H1106" s="81"/>
      <c r="I1106" s="81"/>
      <c r="J1106" s="81"/>
      <c r="K1106" s="81"/>
      <c r="L1106" s="155"/>
      <c r="M1106" s="155"/>
      <c r="N1106" s="109"/>
      <c r="O1106" s="126"/>
      <c r="P1106" s="126"/>
      <c r="Q1106" s="126"/>
      <c r="R1106" s="127"/>
      <c r="S1106" s="127"/>
      <c r="T1106" s="127"/>
      <c r="U1106" s="127"/>
    </row>
    <row r="1107" spans="1:21" ht="15" customHeight="1">
      <c r="A1107" s="125"/>
      <c r="B1107" s="125"/>
      <c r="C1107" s="125"/>
      <c r="D1107" s="81"/>
      <c r="E1107" s="81"/>
      <c r="F1107" s="97"/>
      <c r="G1107" s="81"/>
      <c r="H1107" s="81"/>
      <c r="I1107" s="81"/>
      <c r="J1107" s="81"/>
      <c r="K1107" s="81"/>
      <c r="L1107" s="155"/>
      <c r="M1107" s="155"/>
      <c r="N1107" s="109"/>
      <c r="O1107" s="126"/>
      <c r="P1107" s="126"/>
      <c r="Q1107" s="126"/>
      <c r="R1107" s="127"/>
      <c r="S1107" s="127"/>
      <c r="T1107" s="127"/>
      <c r="U1107" s="127"/>
    </row>
    <row r="1108" spans="1:21" ht="15" customHeight="1">
      <c r="A1108" s="125"/>
      <c r="B1108" s="125"/>
      <c r="C1108" s="125"/>
      <c r="D1108" s="81"/>
      <c r="E1108" s="81"/>
      <c r="F1108" s="97"/>
      <c r="G1108" s="81"/>
      <c r="H1108" s="81"/>
      <c r="I1108" s="81"/>
      <c r="J1108" s="81"/>
      <c r="K1108" s="81"/>
      <c r="L1108" s="155"/>
      <c r="M1108" s="155"/>
      <c r="N1108" s="109"/>
      <c r="O1108" s="126"/>
      <c r="P1108" s="126"/>
      <c r="Q1108" s="126"/>
      <c r="R1108" s="127"/>
      <c r="S1108" s="127"/>
      <c r="T1108" s="127"/>
      <c r="U1108" s="127"/>
    </row>
    <row r="1109" spans="1:21" ht="15" customHeight="1">
      <c r="A1109" s="125"/>
      <c r="B1109" s="125"/>
      <c r="C1109" s="125"/>
      <c r="D1109" s="81"/>
      <c r="E1109" s="81"/>
      <c r="F1109" s="97"/>
      <c r="G1109" s="81"/>
      <c r="H1109" s="81"/>
      <c r="I1109" s="81"/>
      <c r="J1109" s="81"/>
      <c r="K1109" s="81"/>
      <c r="L1109" s="155"/>
      <c r="M1109" s="155"/>
      <c r="N1109" s="109"/>
      <c r="O1109" s="126"/>
      <c r="P1109" s="126"/>
      <c r="Q1109" s="126"/>
      <c r="R1109" s="127"/>
      <c r="S1109" s="127"/>
      <c r="T1109" s="127"/>
      <c r="U1109" s="127"/>
    </row>
    <row r="1110" spans="1:21" ht="15" customHeight="1">
      <c r="A1110" s="125"/>
      <c r="B1110" s="125"/>
      <c r="C1110" s="125"/>
      <c r="D1110" s="81"/>
      <c r="E1110" s="81"/>
      <c r="F1110" s="97"/>
      <c r="G1110" s="81"/>
      <c r="H1110" s="81"/>
      <c r="I1110" s="81"/>
      <c r="J1110" s="81"/>
      <c r="K1110" s="81"/>
      <c r="L1110" s="155"/>
      <c r="M1110" s="155"/>
      <c r="N1110" s="109"/>
      <c r="O1110" s="126"/>
      <c r="P1110" s="126"/>
      <c r="Q1110" s="126"/>
      <c r="R1110" s="127"/>
      <c r="S1110" s="127"/>
      <c r="T1110" s="127"/>
      <c r="U1110" s="127"/>
    </row>
    <row r="1111" spans="1:21" ht="15" customHeight="1">
      <c r="A1111" s="125"/>
      <c r="B1111" s="125"/>
      <c r="C1111" s="125"/>
      <c r="D1111" s="81"/>
      <c r="E1111" s="81"/>
      <c r="F1111" s="97"/>
      <c r="G1111" s="81"/>
      <c r="H1111" s="81"/>
      <c r="I1111" s="81"/>
      <c r="J1111" s="81"/>
      <c r="K1111" s="81"/>
      <c r="L1111" s="155"/>
      <c r="M1111" s="155"/>
      <c r="N1111" s="109"/>
      <c r="O1111" s="126"/>
      <c r="P1111" s="126"/>
      <c r="Q1111" s="126"/>
      <c r="R1111" s="127"/>
      <c r="S1111" s="127"/>
      <c r="T1111" s="127"/>
      <c r="U1111" s="127"/>
    </row>
    <row r="1112" spans="1:21" ht="15" customHeight="1">
      <c r="A1112" s="125"/>
      <c r="B1112" s="125"/>
      <c r="C1112" s="125"/>
      <c r="D1112" s="81"/>
      <c r="E1112" s="81"/>
      <c r="F1112" s="97"/>
      <c r="G1112" s="81"/>
      <c r="H1112" s="81"/>
      <c r="I1112" s="81"/>
      <c r="J1112" s="81"/>
      <c r="K1112" s="81"/>
      <c r="L1112" s="155"/>
      <c r="M1112" s="155"/>
      <c r="N1112" s="109"/>
      <c r="O1112" s="126"/>
      <c r="P1112" s="126"/>
      <c r="Q1112" s="126"/>
      <c r="R1112" s="127"/>
      <c r="S1112" s="127"/>
      <c r="T1112" s="127"/>
      <c r="U1112" s="127"/>
    </row>
    <row r="1113" spans="1:21" ht="15" customHeight="1">
      <c r="A1113" s="125"/>
      <c r="B1113" s="125"/>
      <c r="C1113" s="125"/>
      <c r="D1113" s="81"/>
      <c r="E1113" s="81"/>
      <c r="F1113" s="97"/>
      <c r="G1113" s="81"/>
      <c r="H1113" s="81"/>
      <c r="I1113" s="81"/>
      <c r="J1113" s="81"/>
      <c r="K1113" s="81"/>
      <c r="L1113" s="155"/>
      <c r="M1113" s="155"/>
      <c r="N1113" s="109"/>
      <c r="O1113" s="126"/>
      <c r="P1113" s="126"/>
      <c r="Q1113" s="126"/>
      <c r="R1113" s="127"/>
      <c r="S1113" s="127"/>
      <c r="T1113" s="127"/>
      <c r="U1113" s="127"/>
    </row>
    <row r="1114" spans="1:21" ht="15" customHeight="1">
      <c r="A1114" s="125"/>
      <c r="B1114" s="125"/>
      <c r="C1114" s="125"/>
      <c r="D1114" s="81"/>
      <c r="E1114" s="81"/>
      <c r="F1114" s="97"/>
      <c r="G1114" s="81"/>
      <c r="H1114" s="81"/>
      <c r="I1114" s="81"/>
      <c r="J1114" s="81"/>
      <c r="K1114" s="81"/>
      <c r="L1114" s="155"/>
      <c r="M1114" s="155"/>
      <c r="N1114" s="109"/>
      <c r="O1114" s="126"/>
      <c r="P1114" s="126"/>
      <c r="Q1114" s="126"/>
      <c r="R1114" s="127"/>
      <c r="S1114" s="127"/>
      <c r="T1114" s="127"/>
      <c r="U1114" s="127"/>
    </row>
    <row r="1115" spans="1:21" ht="15" customHeight="1">
      <c r="A1115" s="125"/>
      <c r="B1115" s="125"/>
      <c r="C1115" s="125"/>
      <c r="D1115" s="81"/>
      <c r="E1115" s="81"/>
      <c r="F1115" s="97"/>
      <c r="G1115" s="81"/>
      <c r="H1115" s="81"/>
      <c r="I1115" s="81"/>
      <c r="J1115" s="81"/>
      <c r="K1115" s="81"/>
      <c r="L1115" s="155"/>
      <c r="M1115" s="155"/>
      <c r="N1115" s="109"/>
      <c r="O1115" s="126"/>
      <c r="P1115" s="126"/>
      <c r="Q1115" s="126"/>
      <c r="R1115" s="127"/>
      <c r="S1115" s="127"/>
      <c r="T1115" s="127"/>
      <c r="U1115" s="127"/>
    </row>
    <row r="1116" spans="1:21" ht="15" customHeight="1">
      <c r="A1116" s="125"/>
      <c r="B1116" s="125"/>
      <c r="C1116" s="125"/>
      <c r="D1116" s="81"/>
      <c r="E1116" s="81"/>
      <c r="F1116" s="97"/>
      <c r="G1116" s="81"/>
      <c r="H1116" s="81"/>
      <c r="I1116" s="81"/>
      <c r="J1116" s="81"/>
      <c r="K1116" s="81"/>
      <c r="L1116" s="155"/>
      <c r="M1116" s="155"/>
      <c r="N1116" s="109"/>
      <c r="O1116" s="126"/>
      <c r="P1116" s="126"/>
      <c r="Q1116" s="126"/>
      <c r="R1116" s="127"/>
      <c r="S1116" s="127"/>
      <c r="T1116" s="127"/>
      <c r="U1116" s="127"/>
    </row>
    <row r="1117" spans="1:21" ht="15" customHeight="1">
      <c r="A1117" s="125"/>
      <c r="B1117" s="125"/>
      <c r="C1117" s="125"/>
      <c r="D1117" s="81"/>
      <c r="E1117" s="81"/>
      <c r="F1117" s="97"/>
      <c r="G1117" s="81"/>
      <c r="H1117" s="81"/>
      <c r="I1117" s="81"/>
      <c r="J1117" s="81"/>
      <c r="K1117" s="81"/>
      <c r="L1117" s="155"/>
      <c r="M1117" s="155"/>
      <c r="N1117" s="109"/>
      <c r="O1117" s="126"/>
      <c r="P1117" s="126"/>
      <c r="Q1117" s="126"/>
      <c r="R1117" s="127"/>
      <c r="S1117" s="127"/>
      <c r="T1117" s="127"/>
      <c r="U1117" s="127"/>
    </row>
    <row r="1118" spans="1:21" ht="15" customHeight="1">
      <c r="A1118" s="125"/>
      <c r="B1118" s="125"/>
      <c r="C1118" s="125"/>
      <c r="D1118" s="81"/>
      <c r="E1118" s="81"/>
      <c r="F1118" s="97"/>
      <c r="G1118" s="81"/>
      <c r="H1118" s="81"/>
      <c r="I1118" s="81"/>
      <c r="J1118" s="81"/>
      <c r="K1118" s="81"/>
      <c r="L1118" s="155"/>
      <c r="M1118" s="155"/>
      <c r="N1118" s="109"/>
      <c r="O1118" s="126"/>
      <c r="P1118" s="126"/>
      <c r="Q1118" s="126"/>
      <c r="R1118" s="127"/>
      <c r="S1118" s="127"/>
      <c r="T1118" s="127"/>
      <c r="U1118" s="127"/>
    </row>
    <row r="1119" spans="1:21" ht="15" customHeight="1">
      <c r="A1119" s="125"/>
      <c r="B1119" s="125"/>
      <c r="C1119" s="125"/>
      <c r="D1119" s="81"/>
      <c r="E1119" s="81"/>
      <c r="F1119" s="97"/>
      <c r="G1119" s="81"/>
      <c r="H1119" s="81"/>
      <c r="I1119" s="81"/>
      <c r="J1119" s="81"/>
      <c r="K1119" s="81"/>
      <c r="L1119" s="155"/>
      <c r="M1119" s="155"/>
      <c r="N1119" s="109"/>
      <c r="O1119" s="126"/>
      <c r="P1119" s="126"/>
      <c r="Q1119" s="126"/>
      <c r="R1119" s="127"/>
      <c r="S1119" s="127"/>
      <c r="T1119" s="127"/>
      <c r="U1119" s="127"/>
    </row>
    <row r="1120" spans="1:21" ht="15" customHeight="1">
      <c r="A1120" s="125"/>
      <c r="B1120" s="125"/>
      <c r="C1120" s="125"/>
      <c r="D1120" s="81"/>
      <c r="E1120" s="81"/>
      <c r="F1120" s="97"/>
      <c r="G1120" s="81"/>
      <c r="H1120" s="81"/>
      <c r="I1120" s="81"/>
      <c r="J1120" s="81"/>
      <c r="K1120" s="81"/>
      <c r="L1120" s="155"/>
      <c r="M1120" s="155"/>
      <c r="N1120" s="109"/>
      <c r="O1120" s="126"/>
      <c r="P1120" s="126"/>
      <c r="Q1120" s="126"/>
      <c r="R1120" s="127"/>
      <c r="S1120" s="127"/>
      <c r="T1120" s="127"/>
      <c r="U1120" s="127"/>
    </row>
    <row r="1121" spans="1:21" ht="15" customHeight="1">
      <c r="A1121" s="125"/>
      <c r="B1121" s="125"/>
      <c r="C1121" s="125"/>
      <c r="D1121" s="81"/>
      <c r="E1121" s="81"/>
      <c r="F1121" s="97"/>
      <c r="G1121" s="81"/>
      <c r="H1121" s="81"/>
      <c r="I1121" s="81"/>
      <c r="J1121" s="81"/>
      <c r="K1121" s="81"/>
      <c r="L1121" s="155"/>
      <c r="M1121" s="155"/>
      <c r="N1121" s="109"/>
      <c r="O1121" s="126"/>
      <c r="P1121" s="126"/>
      <c r="Q1121" s="126"/>
      <c r="R1121" s="127"/>
      <c r="S1121" s="127"/>
      <c r="T1121" s="127"/>
      <c r="U1121" s="127"/>
    </row>
    <row r="1122" spans="1:21" ht="15" customHeight="1">
      <c r="A1122" s="125"/>
      <c r="B1122" s="125"/>
      <c r="C1122" s="125"/>
      <c r="D1122" s="81"/>
      <c r="E1122" s="81"/>
      <c r="F1122" s="97"/>
      <c r="G1122" s="81"/>
      <c r="H1122" s="81"/>
      <c r="I1122" s="81"/>
      <c r="J1122" s="81"/>
      <c r="K1122" s="81"/>
      <c r="L1122" s="155"/>
      <c r="M1122" s="155"/>
      <c r="N1122" s="109"/>
      <c r="O1122" s="126"/>
      <c r="P1122" s="126"/>
      <c r="Q1122" s="126"/>
      <c r="R1122" s="127"/>
      <c r="S1122" s="127"/>
      <c r="T1122" s="127"/>
      <c r="U1122" s="127"/>
    </row>
    <row r="1123" spans="1:21" ht="15" customHeight="1">
      <c r="A1123" s="125"/>
      <c r="B1123" s="125"/>
      <c r="C1123" s="125"/>
      <c r="D1123" s="81"/>
      <c r="E1123" s="81"/>
      <c r="F1123" s="97"/>
      <c r="G1123" s="81"/>
      <c r="H1123" s="81"/>
      <c r="I1123" s="81"/>
      <c r="J1123" s="81"/>
      <c r="K1123" s="81"/>
      <c r="L1123" s="155"/>
      <c r="M1123" s="155"/>
      <c r="N1123" s="109"/>
      <c r="O1123" s="126"/>
      <c r="P1123" s="126"/>
      <c r="Q1123" s="126"/>
      <c r="R1123" s="127"/>
      <c r="S1123" s="127"/>
      <c r="T1123" s="127"/>
      <c r="U1123" s="127"/>
    </row>
    <row r="1124" spans="1:21" ht="15" customHeight="1">
      <c r="A1124" s="125"/>
      <c r="B1124" s="125"/>
      <c r="C1124" s="125"/>
      <c r="D1124" s="81"/>
      <c r="E1124" s="81"/>
      <c r="F1124" s="97"/>
      <c r="G1124" s="81"/>
      <c r="H1124" s="81"/>
      <c r="I1124" s="81"/>
      <c r="J1124" s="81"/>
      <c r="K1124" s="81"/>
      <c r="L1124" s="155"/>
      <c r="M1124" s="155"/>
      <c r="N1124" s="109"/>
      <c r="O1124" s="126"/>
      <c r="P1124" s="126"/>
      <c r="Q1124" s="126"/>
      <c r="R1124" s="127"/>
      <c r="S1124" s="127"/>
      <c r="T1124" s="127"/>
      <c r="U1124" s="127"/>
    </row>
    <row r="1125" spans="1:21" ht="15" customHeight="1">
      <c r="A1125" s="125"/>
      <c r="B1125" s="125"/>
      <c r="C1125" s="125"/>
      <c r="D1125" s="81"/>
      <c r="E1125" s="81"/>
      <c r="F1125" s="97"/>
      <c r="G1125" s="81"/>
      <c r="H1125" s="81"/>
      <c r="I1125" s="81"/>
      <c r="J1125" s="81"/>
      <c r="K1125" s="81"/>
      <c r="L1125" s="155"/>
      <c r="M1125" s="155"/>
      <c r="N1125" s="109"/>
      <c r="O1125" s="126"/>
      <c r="P1125" s="126"/>
      <c r="Q1125" s="126"/>
      <c r="R1125" s="127"/>
      <c r="S1125" s="127"/>
      <c r="T1125" s="127"/>
      <c r="U1125" s="127"/>
    </row>
    <row r="1126" spans="1:21" ht="15" customHeight="1">
      <c r="A1126" s="125"/>
      <c r="B1126" s="125"/>
      <c r="C1126" s="125"/>
      <c r="D1126" s="81"/>
      <c r="E1126" s="81"/>
      <c r="F1126" s="97"/>
      <c r="G1126" s="81"/>
      <c r="H1126" s="81"/>
      <c r="I1126" s="81"/>
      <c r="J1126" s="81"/>
      <c r="K1126" s="81"/>
      <c r="L1126" s="155"/>
      <c r="M1126" s="155"/>
      <c r="N1126" s="109"/>
      <c r="O1126" s="126"/>
      <c r="P1126" s="126"/>
      <c r="Q1126" s="126"/>
      <c r="R1126" s="127"/>
      <c r="S1126" s="127"/>
      <c r="T1126" s="127"/>
      <c r="U1126" s="127"/>
    </row>
    <row r="1127" spans="1:21" ht="15" customHeight="1">
      <c r="A1127" s="125"/>
      <c r="B1127" s="125"/>
      <c r="C1127" s="125"/>
      <c r="D1127" s="81"/>
      <c r="E1127" s="81"/>
      <c r="F1127" s="97"/>
      <c r="G1127" s="81"/>
      <c r="H1127" s="81"/>
      <c r="I1127" s="81"/>
      <c r="J1127" s="81"/>
      <c r="K1127" s="81"/>
      <c r="L1127" s="155"/>
      <c r="M1127" s="155"/>
      <c r="N1127" s="109"/>
      <c r="O1127" s="126"/>
      <c r="P1127" s="126"/>
      <c r="Q1127" s="126"/>
      <c r="R1127" s="127"/>
      <c r="S1127" s="127"/>
      <c r="T1127" s="127"/>
      <c r="U1127" s="127"/>
    </row>
    <row r="1128" spans="1:21" ht="15" customHeight="1">
      <c r="A1128" s="125"/>
      <c r="B1128" s="125"/>
      <c r="C1128" s="125"/>
      <c r="D1128" s="81"/>
      <c r="E1128" s="81"/>
      <c r="F1128" s="97"/>
      <c r="G1128" s="81"/>
      <c r="H1128" s="81"/>
      <c r="I1128" s="81"/>
      <c r="J1128" s="81"/>
      <c r="K1128" s="81"/>
      <c r="L1128" s="155"/>
      <c r="M1128" s="155"/>
      <c r="N1128" s="109"/>
      <c r="O1128" s="126"/>
      <c r="P1128" s="126"/>
      <c r="Q1128" s="126"/>
      <c r="R1128" s="127"/>
      <c r="S1128" s="127"/>
      <c r="T1128" s="127"/>
      <c r="U1128" s="127"/>
    </row>
    <row r="1129" spans="1:21" ht="15" customHeight="1">
      <c r="A1129" s="125"/>
      <c r="B1129" s="125"/>
      <c r="C1129" s="125"/>
      <c r="D1129" s="81"/>
      <c r="E1129" s="81"/>
      <c r="F1129" s="97"/>
      <c r="G1129" s="81"/>
      <c r="H1129" s="81"/>
      <c r="I1129" s="81"/>
      <c r="J1129" s="81"/>
      <c r="K1129" s="81"/>
      <c r="L1129" s="155"/>
      <c r="M1129" s="155"/>
      <c r="N1129" s="109"/>
      <c r="O1129" s="126"/>
      <c r="P1129" s="126"/>
      <c r="Q1129" s="126"/>
      <c r="R1129" s="127"/>
      <c r="S1129" s="127"/>
      <c r="T1129" s="127"/>
      <c r="U1129" s="127"/>
    </row>
    <row r="1130" spans="1:21" ht="15" customHeight="1">
      <c r="A1130" s="125"/>
      <c r="B1130" s="125"/>
      <c r="C1130" s="125"/>
      <c r="D1130" s="81"/>
      <c r="E1130" s="81"/>
      <c r="F1130" s="97"/>
      <c r="G1130" s="81"/>
      <c r="H1130" s="81"/>
      <c r="I1130" s="81"/>
      <c r="J1130" s="81"/>
      <c r="K1130" s="81"/>
      <c r="L1130" s="155"/>
      <c r="M1130" s="155"/>
      <c r="N1130" s="109"/>
      <c r="O1130" s="126"/>
      <c r="P1130" s="126"/>
      <c r="Q1130" s="126"/>
      <c r="R1130" s="127"/>
      <c r="S1130" s="127"/>
      <c r="T1130" s="127"/>
      <c r="U1130" s="127"/>
    </row>
    <row r="1131" spans="1:21" ht="15" customHeight="1">
      <c r="A1131" s="125"/>
      <c r="B1131" s="125"/>
      <c r="C1131" s="125"/>
      <c r="D1131" s="81"/>
      <c r="E1131" s="81"/>
      <c r="F1131" s="97"/>
      <c r="G1131" s="81"/>
      <c r="H1131" s="81"/>
      <c r="I1131" s="81"/>
      <c r="J1131" s="81"/>
      <c r="K1131" s="81"/>
      <c r="L1131" s="155"/>
      <c r="M1131" s="155"/>
      <c r="N1131" s="109"/>
      <c r="O1131" s="126"/>
      <c r="P1131" s="126"/>
      <c r="Q1131" s="126"/>
      <c r="R1131" s="127"/>
      <c r="S1131" s="127"/>
      <c r="T1131" s="127"/>
      <c r="U1131" s="127"/>
    </row>
    <row r="1132" spans="1:21" ht="15" customHeight="1">
      <c r="A1132" s="125"/>
      <c r="B1132" s="125"/>
      <c r="C1132" s="125"/>
      <c r="D1132" s="81"/>
      <c r="E1132" s="81"/>
      <c r="F1132" s="97"/>
      <c r="G1132" s="81"/>
      <c r="H1132" s="81"/>
      <c r="I1132" s="81"/>
      <c r="J1132" s="81"/>
      <c r="K1132" s="81"/>
      <c r="L1132" s="155"/>
      <c r="M1132" s="155"/>
      <c r="N1132" s="109"/>
      <c r="O1132" s="126"/>
      <c r="P1132" s="126"/>
      <c r="Q1132" s="126"/>
      <c r="R1132" s="127"/>
      <c r="S1132" s="127"/>
      <c r="T1132" s="127"/>
      <c r="U1132" s="127"/>
    </row>
    <row r="1133" spans="1:21" ht="15" customHeight="1">
      <c r="A1133" s="125"/>
      <c r="B1133" s="125"/>
      <c r="C1133" s="125"/>
      <c r="D1133" s="81"/>
      <c r="E1133" s="81"/>
      <c r="F1133" s="97"/>
      <c r="G1133" s="81"/>
      <c r="H1133" s="81"/>
      <c r="I1133" s="81"/>
      <c r="J1133" s="81"/>
      <c r="K1133" s="81"/>
      <c r="L1133" s="155"/>
      <c r="M1133" s="155"/>
      <c r="N1133" s="109"/>
      <c r="O1133" s="126"/>
      <c r="P1133" s="126"/>
      <c r="Q1133" s="126"/>
      <c r="R1133" s="127"/>
      <c r="S1133" s="127"/>
      <c r="T1133" s="127"/>
      <c r="U1133" s="127"/>
    </row>
    <row r="1134" spans="1:21" ht="15" customHeight="1">
      <c r="A1134" s="125"/>
      <c r="B1134" s="125"/>
      <c r="C1134" s="125"/>
      <c r="D1134" s="81"/>
      <c r="E1134" s="81"/>
      <c r="F1134" s="97"/>
      <c r="G1134" s="81"/>
      <c r="H1134" s="81"/>
      <c r="I1134" s="81"/>
      <c r="J1134" s="81"/>
      <c r="K1134" s="81"/>
      <c r="L1134" s="155"/>
      <c r="M1134" s="155"/>
      <c r="N1134" s="109"/>
      <c r="O1134" s="126"/>
      <c r="P1134" s="126"/>
      <c r="Q1134" s="126"/>
      <c r="R1134" s="127"/>
      <c r="S1134" s="127"/>
      <c r="T1134" s="127"/>
      <c r="U1134" s="127"/>
    </row>
    <row r="1135" spans="1:21" ht="15" customHeight="1">
      <c r="A1135" s="125"/>
      <c r="B1135" s="125"/>
      <c r="C1135" s="125"/>
      <c r="D1135" s="81"/>
      <c r="E1135" s="81"/>
      <c r="F1135" s="97"/>
      <c r="G1135" s="81"/>
      <c r="H1135" s="81"/>
      <c r="I1135" s="81"/>
      <c r="J1135" s="81"/>
      <c r="K1135" s="81"/>
      <c r="L1135" s="155"/>
      <c r="M1135" s="155"/>
      <c r="N1135" s="109"/>
      <c r="O1135" s="126"/>
      <c r="P1135" s="126"/>
      <c r="Q1135" s="126"/>
      <c r="R1135" s="127"/>
      <c r="S1135" s="127"/>
      <c r="T1135" s="127"/>
      <c r="U1135" s="127"/>
    </row>
    <row r="1136" spans="1:21" ht="15" customHeight="1">
      <c r="A1136" s="125"/>
      <c r="B1136" s="125"/>
      <c r="C1136" s="125"/>
      <c r="D1136" s="81"/>
      <c r="E1136" s="81"/>
      <c r="F1136" s="97"/>
      <c r="G1136" s="81"/>
      <c r="H1136" s="81"/>
      <c r="I1136" s="81"/>
      <c r="J1136" s="81"/>
      <c r="K1136" s="81"/>
      <c r="L1136" s="155"/>
      <c r="M1136" s="155"/>
      <c r="N1136" s="109"/>
      <c r="O1136" s="126"/>
      <c r="P1136" s="126"/>
      <c r="Q1136" s="126"/>
      <c r="R1136" s="127"/>
      <c r="S1136" s="127"/>
      <c r="T1136" s="127"/>
      <c r="U1136" s="127"/>
    </row>
    <row r="1137" spans="1:21" ht="15" customHeight="1">
      <c r="A1137" s="125"/>
      <c r="B1137" s="125"/>
      <c r="C1137" s="125"/>
      <c r="D1137" s="81"/>
      <c r="E1137" s="81"/>
      <c r="F1137" s="97"/>
      <c r="G1137" s="81"/>
      <c r="H1137" s="81"/>
      <c r="I1137" s="81"/>
      <c r="J1137" s="81"/>
      <c r="K1137" s="81"/>
      <c r="L1137" s="155"/>
      <c r="M1137" s="155"/>
      <c r="N1137" s="109"/>
      <c r="O1137" s="126"/>
      <c r="P1137" s="126"/>
      <c r="Q1137" s="126"/>
      <c r="R1137" s="127"/>
      <c r="S1137" s="127"/>
      <c r="T1137" s="127"/>
      <c r="U1137" s="127"/>
    </row>
    <row r="1138" spans="1:21" ht="15" customHeight="1">
      <c r="A1138" s="125"/>
      <c r="B1138" s="125"/>
      <c r="C1138" s="125"/>
      <c r="D1138" s="81"/>
      <c r="E1138" s="81"/>
      <c r="F1138" s="97"/>
      <c r="G1138" s="81"/>
      <c r="H1138" s="81"/>
      <c r="I1138" s="81"/>
      <c r="J1138" s="81"/>
      <c r="K1138" s="81"/>
      <c r="L1138" s="155"/>
      <c r="M1138" s="155"/>
      <c r="N1138" s="109"/>
      <c r="O1138" s="126"/>
      <c r="P1138" s="126"/>
      <c r="Q1138" s="126"/>
      <c r="R1138" s="127"/>
      <c r="S1138" s="127"/>
      <c r="T1138" s="127"/>
      <c r="U1138" s="127"/>
    </row>
    <row r="1139" spans="1:21" ht="15" customHeight="1">
      <c r="A1139" s="125"/>
      <c r="B1139" s="125"/>
      <c r="C1139" s="125"/>
      <c r="D1139" s="81"/>
      <c r="E1139" s="81"/>
      <c r="F1139" s="97"/>
      <c r="G1139" s="81"/>
      <c r="H1139" s="81"/>
      <c r="I1139" s="81"/>
      <c r="J1139" s="81"/>
      <c r="K1139" s="81"/>
      <c r="L1139" s="155"/>
      <c r="M1139" s="155"/>
      <c r="N1139" s="109"/>
      <c r="O1139" s="126"/>
      <c r="P1139" s="126"/>
      <c r="Q1139" s="126"/>
      <c r="R1139" s="127"/>
      <c r="S1139" s="127"/>
      <c r="T1139" s="127"/>
      <c r="U1139" s="127"/>
    </row>
    <row r="1140" spans="1:21" ht="15" customHeight="1">
      <c r="A1140" s="125"/>
      <c r="B1140" s="125"/>
      <c r="C1140" s="125"/>
      <c r="D1140" s="81"/>
      <c r="E1140" s="81"/>
      <c r="F1140" s="97"/>
      <c r="G1140" s="81"/>
      <c r="H1140" s="81"/>
      <c r="I1140" s="81"/>
      <c r="J1140" s="81"/>
      <c r="K1140" s="81"/>
      <c r="L1140" s="155"/>
      <c r="M1140" s="155"/>
      <c r="N1140" s="109"/>
      <c r="O1140" s="126"/>
      <c r="P1140" s="126"/>
      <c r="Q1140" s="126"/>
      <c r="R1140" s="127"/>
      <c r="S1140" s="127"/>
      <c r="T1140" s="127"/>
      <c r="U1140" s="127"/>
    </row>
    <row r="1141" spans="1:21" ht="15" customHeight="1">
      <c r="A1141" s="125"/>
      <c r="B1141" s="125"/>
      <c r="C1141" s="125"/>
      <c r="D1141" s="81"/>
      <c r="E1141" s="81"/>
      <c r="F1141" s="97"/>
      <c r="G1141" s="81"/>
      <c r="H1141" s="81"/>
      <c r="I1141" s="81"/>
      <c r="J1141" s="81"/>
      <c r="K1141" s="81"/>
      <c r="L1141" s="155"/>
      <c r="M1141" s="155"/>
      <c r="N1141" s="109"/>
      <c r="O1141" s="126"/>
      <c r="P1141" s="126"/>
      <c r="Q1141" s="126"/>
      <c r="R1141" s="127"/>
      <c r="S1141" s="127"/>
      <c r="T1141" s="127"/>
      <c r="U1141" s="127"/>
    </row>
    <row r="1142" spans="1:21" ht="15" customHeight="1">
      <c r="A1142" s="125"/>
      <c r="B1142" s="125"/>
      <c r="C1142" s="125"/>
      <c r="D1142" s="81"/>
      <c r="E1142" s="81"/>
      <c r="F1142" s="97"/>
      <c r="G1142" s="81"/>
      <c r="H1142" s="81"/>
      <c r="I1142" s="81"/>
      <c r="J1142" s="81"/>
      <c r="K1142" s="81"/>
      <c r="L1142" s="155"/>
      <c r="M1142" s="155"/>
      <c r="N1142" s="109"/>
      <c r="O1142" s="126"/>
      <c r="P1142" s="126"/>
      <c r="Q1142" s="126"/>
      <c r="R1142" s="127"/>
      <c r="S1142" s="127"/>
      <c r="T1142" s="127"/>
      <c r="U1142" s="127"/>
    </row>
    <row r="1143" spans="1:21" ht="15" customHeight="1">
      <c r="A1143" s="125"/>
      <c r="B1143" s="125"/>
      <c r="C1143" s="125"/>
      <c r="D1143" s="81"/>
      <c r="E1143" s="81"/>
      <c r="F1143" s="97"/>
      <c r="G1143" s="81"/>
      <c r="H1143" s="81"/>
      <c r="I1143" s="81"/>
      <c r="J1143" s="81"/>
      <c r="K1143" s="81"/>
      <c r="L1143" s="155"/>
      <c r="M1143" s="155"/>
      <c r="N1143" s="109"/>
      <c r="O1143" s="126"/>
      <c r="P1143" s="126"/>
      <c r="Q1143" s="126"/>
      <c r="R1143" s="127"/>
      <c r="S1143" s="127"/>
      <c r="T1143" s="127"/>
      <c r="U1143" s="127"/>
    </row>
    <row r="1144" spans="1:21" ht="15" customHeight="1">
      <c r="A1144" s="125"/>
      <c r="B1144" s="125"/>
      <c r="C1144" s="125"/>
      <c r="D1144" s="81"/>
      <c r="E1144" s="81"/>
      <c r="F1144" s="97"/>
      <c r="G1144" s="81"/>
      <c r="H1144" s="81"/>
      <c r="I1144" s="81"/>
      <c r="J1144" s="81"/>
      <c r="K1144" s="81"/>
      <c r="L1144" s="155"/>
      <c r="M1144" s="155"/>
      <c r="N1144" s="109"/>
      <c r="O1144" s="126"/>
      <c r="P1144" s="126"/>
      <c r="Q1144" s="126"/>
      <c r="R1144" s="127"/>
      <c r="S1144" s="127"/>
      <c r="T1144" s="127"/>
      <c r="U1144" s="127"/>
    </row>
    <row r="1145" spans="1:21" ht="15" customHeight="1">
      <c r="A1145" s="125"/>
      <c r="B1145" s="125"/>
      <c r="C1145" s="125"/>
      <c r="D1145" s="81"/>
      <c r="E1145" s="81"/>
      <c r="F1145" s="97"/>
      <c r="G1145" s="81"/>
      <c r="H1145" s="81"/>
      <c r="I1145" s="81"/>
      <c r="J1145" s="81"/>
      <c r="K1145" s="81"/>
      <c r="L1145" s="155"/>
      <c r="M1145" s="155"/>
      <c r="N1145" s="109"/>
      <c r="O1145" s="126"/>
      <c r="P1145" s="126"/>
      <c r="Q1145" s="126"/>
      <c r="R1145" s="127"/>
      <c r="S1145" s="127"/>
      <c r="T1145" s="127"/>
      <c r="U1145" s="127"/>
    </row>
    <row r="1146" spans="1:21" ht="15" customHeight="1">
      <c r="A1146" s="125"/>
      <c r="B1146" s="125"/>
      <c r="C1146" s="125"/>
      <c r="D1146" s="81"/>
      <c r="E1146" s="81"/>
      <c r="F1146" s="97"/>
      <c r="G1146" s="81"/>
      <c r="H1146" s="81"/>
      <c r="I1146" s="81"/>
      <c r="J1146" s="81"/>
      <c r="K1146" s="81"/>
      <c r="L1146" s="155"/>
      <c r="M1146" s="155"/>
      <c r="N1146" s="109"/>
      <c r="O1146" s="126"/>
      <c r="P1146" s="126"/>
      <c r="Q1146" s="126"/>
      <c r="R1146" s="127"/>
      <c r="S1146" s="127"/>
      <c r="T1146" s="127"/>
      <c r="U1146" s="127"/>
    </row>
    <row r="1147" spans="1:21" ht="15" customHeight="1">
      <c r="A1147" s="125"/>
      <c r="B1147" s="125"/>
      <c r="C1147" s="125"/>
      <c r="D1147" s="81"/>
      <c r="E1147" s="81"/>
      <c r="F1147" s="97"/>
      <c r="G1147" s="81"/>
      <c r="H1147" s="81"/>
      <c r="I1147" s="81"/>
      <c r="J1147" s="81"/>
      <c r="K1147" s="81"/>
      <c r="L1147" s="155"/>
      <c r="M1147" s="155"/>
      <c r="N1147" s="109"/>
      <c r="O1147" s="126"/>
      <c r="P1147" s="126"/>
      <c r="Q1147" s="126"/>
      <c r="R1147" s="127"/>
      <c r="S1147" s="127"/>
      <c r="T1147" s="127"/>
      <c r="U1147" s="127"/>
    </row>
    <row r="1148" spans="1:21" ht="15" customHeight="1">
      <c r="A1148" s="125"/>
      <c r="B1148" s="125"/>
      <c r="C1148" s="125"/>
      <c r="D1148" s="81"/>
      <c r="E1148" s="81"/>
      <c r="F1148" s="97"/>
      <c r="G1148" s="81"/>
      <c r="H1148" s="81"/>
      <c r="I1148" s="81"/>
      <c r="J1148" s="81"/>
      <c r="K1148" s="81"/>
      <c r="L1148" s="155"/>
      <c r="M1148" s="155"/>
      <c r="N1148" s="109"/>
      <c r="O1148" s="126"/>
      <c r="P1148" s="126"/>
      <c r="Q1148" s="126"/>
      <c r="R1148" s="127"/>
      <c r="S1148" s="127"/>
      <c r="T1148" s="127"/>
      <c r="U1148" s="127"/>
    </row>
    <row r="1149" spans="1:21" ht="15" customHeight="1">
      <c r="A1149" s="125"/>
      <c r="B1149" s="125"/>
      <c r="C1149" s="125"/>
      <c r="D1149" s="81"/>
      <c r="E1149" s="81"/>
      <c r="F1149" s="97"/>
      <c r="G1149" s="81"/>
      <c r="H1149" s="81"/>
      <c r="I1149" s="81"/>
      <c r="J1149" s="81"/>
      <c r="K1149" s="81"/>
      <c r="L1149" s="155"/>
      <c r="M1149" s="155"/>
      <c r="N1149" s="109"/>
      <c r="O1149" s="126"/>
      <c r="P1149" s="126"/>
      <c r="Q1149" s="126"/>
      <c r="R1149" s="127"/>
      <c r="S1149" s="127"/>
      <c r="T1149" s="127"/>
      <c r="U1149" s="127"/>
    </row>
    <row r="1150" spans="1:21" ht="15" customHeight="1">
      <c r="A1150" s="125"/>
      <c r="B1150" s="125"/>
      <c r="C1150" s="125"/>
      <c r="D1150" s="81"/>
      <c r="E1150" s="81"/>
      <c r="F1150" s="97"/>
      <c r="G1150" s="81"/>
      <c r="H1150" s="81"/>
      <c r="I1150" s="81"/>
      <c r="J1150" s="81"/>
      <c r="K1150" s="81"/>
      <c r="L1150" s="155"/>
      <c r="M1150" s="155"/>
      <c r="N1150" s="109"/>
      <c r="O1150" s="126"/>
      <c r="P1150" s="126"/>
      <c r="Q1150" s="126"/>
      <c r="R1150" s="127"/>
      <c r="S1150" s="127"/>
      <c r="T1150" s="127"/>
      <c r="U1150" s="127"/>
    </row>
    <row r="1151" spans="1:21" ht="15" customHeight="1">
      <c r="A1151" s="125"/>
      <c r="B1151" s="125"/>
      <c r="C1151" s="125"/>
      <c r="D1151" s="81"/>
      <c r="E1151" s="81"/>
      <c r="F1151" s="97"/>
      <c r="G1151" s="81"/>
      <c r="H1151" s="81"/>
      <c r="I1151" s="81"/>
      <c r="J1151" s="81"/>
      <c r="K1151" s="81"/>
      <c r="L1151" s="155"/>
      <c r="M1151" s="155"/>
      <c r="N1151" s="109"/>
      <c r="O1151" s="126"/>
      <c r="P1151" s="126"/>
      <c r="Q1151" s="126"/>
      <c r="R1151" s="127"/>
      <c r="S1151" s="127"/>
      <c r="T1151" s="127"/>
      <c r="U1151" s="127"/>
    </row>
    <row r="1152" spans="1:21" ht="15" customHeight="1">
      <c r="A1152" s="125"/>
      <c r="B1152" s="125"/>
      <c r="C1152" s="125"/>
      <c r="D1152" s="81"/>
      <c r="E1152" s="81"/>
      <c r="F1152" s="97"/>
      <c r="G1152" s="81"/>
      <c r="H1152" s="81"/>
      <c r="I1152" s="81"/>
      <c r="J1152" s="81"/>
      <c r="K1152" s="81"/>
      <c r="L1152" s="155"/>
      <c r="M1152" s="155"/>
      <c r="N1152" s="109"/>
      <c r="O1152" s="126"/>
      <c r="P1152" s="126"/>
      <c r="Q1152" s="126"/>
      <c r="R1152" s="127"/>
      <c r="S1152" s="127"/>
      <c r="T1152" s="127"/>
      <c r="U1152" s="127"/>
    </row>
    <row r="1153" spans="1:21" ht="15" customHeight="1">
      <c r="A1153" s="125"/>
      <c r="B1153" s="125"/>
      <c r="C1153" s="125"/>
      <c r="D1153" s="81"/>
      <c r="E1153" s="81"/>
      <c r="F1153" s="97"/>
      <c r="G1153" s="81"/>
      <c r="H1153" s="81"/>
      <c r="I1153" s="81"/>
      <c r="J1153" s="81"/>
      <c r="K1153" s="81"/>
      <c r="L1153" s="155"/>
      <c r="M1153" s="155"/>
      <c r="N1153" s="109"/>
      <c r="O1153" s="126"/>
      <c r="P1153" s="126"/>
      <c r="Q1153" s="126"/>
      <c r="R1153" s="127"/>
      <c r="S1153" s="127"/>
      <c r="T1153" s="127"/>
      <c r="U1153" s="127"/>
    </row>
    <row r="1154" spans="1:21" ht="15" customHeight="1">
      <c r="A1154" s="125"/>
      <c r="B1154" s="125"/>
      <c r="C1154" s="125"/>
      <c r="D1154" s="81"/>
      <c r="E1154" s="81"/>
      <c r="F1154" s="97"/>
      <c r="G1154" s="81"/>
      <c r="H1154" s="81"/>
      <c r="I1154" s="81"/>
      <c r="J1154" s="81"/>
      <c r="K1154" s="81"/>
      <c r="L1154" s="155"/>
      <c r="M1154" s="155"/>
      <c r="N1154" s="109"/>
      <c r="O1154" s="126"/>
      <c r="P1154" s="126"/>
      <c r="Q1154" s="126"/>
      <c r="R1154" s="127"/>
      <c r="S1154" s="127"/>
      <c r="T1154" s="127"/>
      <c r="U1154" s="127"/>
    </row>
    <row r="1155" spans="1:21" ht="15" customHeight="1">
      <c r="A1155" s="125"/>
      <c r="B1155" s="125"/>
      <c r="C1155" s="125"/>
      <c r="D1155" s="81"/>
      <c r="E1155" s="81"/>
      <c r="F1155" s="97"/>
      <c r="G1155" s="81"/>
      <c r="H1155" s="81"/>
      <c r="I1155" s="81"/>
      <c r="J1155" s="81"/>
      <c r="K1155" s="81"/>
      <c r="L1155" s="155"/>
      <c r="M1155" s="155"/>
      <c r="N1155" s="109"/>
      <c r="O1155" s="126"/>
      <c r="P1155" s="126"/>
      <c r="Q1155" s="126"/>
      <c r="R1155" s="127"/>
      <c r="S1155" s="127"/>
      <c r="T1155" s="127"/>
      <c r="U1155" s="127"/>
    </row>
    <row r="1156" spans="1:21" ht="15" customHeight="1">
      <c r="A1156" s="125"/>
      <c r="B1156" s="125"/>
      <c r="C1156" s="125"/>
      <c r="D1156" s="81"/>
      <c r="E1156" s="81"/>
      <c r="F1156" s="97"/>
      <c r="G1156" s="81"/>
      <c r="H1156" s="81"/>
      <c r="I1156" s="81"/>
      <c r="J1156" s="81"/>
      <c r="K1156" s="81"/>
      <c r="L1156" s="155"/>
      <c r="M1156" s="155"/>
      <c r="N1156" s="109"/>
      <c r="O1156" s="126"/>
      <c r="P1156" s="126"/>
      <c r="Q1156" s="126"/>
      <c r="R1156" s="127"/>
      <c r="S1156" s="127"/>
      <c r="T1156" s="127"/>
      <c r="U1156" s="127"/>
    </row>
    <row r="1157" spans="1:21" ht="15" customHeight="1">
      <c r="A1157" s="125"/>
      <c r="B1157" s="125"/>
      <c r="C1157" s="125"/>
      <c r="D1157" s="81"/>
      <c r="E1157" s="81"/>
      <c r="F1157" s="97"/>
      <c r="G1157" s="81"/>
      <c r="H1157" s="81"/>
      <c r="I1157" s="81"/>
      <c r="J1157" s="81"/>
      <c r="K1157" s="81"/>
      <c r="L1157" s="155"/>
      <c r="M1157" s="155"/>
      <c r="N1157" s="109"/>
      <c r="O1157" s="126"/>
      <c r="P1157" s="126"/>
      <c r="Q1157" s="126"/>
      <c r="R1157" s="127"/>
      <c r="S1157" s="127"/>
      <c r="T1157" s="127"/>
      <c r="U1157" s="127"/>
    </row>
    <row r="1158" spans="1:21" ht="15" customHeight="1">
      <c r="A1158" s="125"/>
      <c r="B1158" s="125"/>
      <c r="C1158" s="125"/>
      <c r="D1158" s="81"/>
      <c r="E1158" s="81"/>
      <c r="F1158" s="97"/>
      <c r="G1158" s="81"/>
      <c r="H1158" s="81"/>
      <c r="I1158" s="81"/>
      <c r="J1158" s="81"/>
      <c r="K1158" s="81"/>
      <c r="L1158" s="155"/>
      <c r="M1158" s="155"/>
      <c r="N1158" s="109"/>
      <c r="O1158" s="126"/>
      <c r="P1158" s="126"/>
      <c r="Q1158" s="126"/>
      <c r="R1158" s="127"/>
      <c r="S1158" s="127"/>
      <c r="T1158" s="127"/>
      <c r="U1158" s="127"/>
    </row>
    <row r="1159" spans="1:21" ht="15" customHeight="1">
      <c r="A1159" s="125"/>
      <c r="B1159" s="125"/>
      <c r="C1159" s="125"/>
      <c r="D1159" s="81"/>
      <c r="E1159" s="81"/>
      <c r="F1159" s="97"/>
      <c r="G1159" s="81"/>
      <c r="H1159" s="81"/>
      <c r="I1159" s="81"/>
      <c r="J1159" s="81"/>
      <c r="K1159" s="81"/>
      <c r="L1159" s="155"/>
      <c r="M1159" s="155"/>
      <c r="N1159" s="109"/>
      <c r="O1159" s="126"/>
      <c r="P1159" s="126"/>
      <c r="Q1159" s="126"/>
      <c r="R1159" s="127"/>
      <c r="S1159" s="127"/>
      <c r="T1159" s="127"/>
      <c r="U1159" s="127"/>
    </row>
    <row r="1160" spans="1:21" ht="15" customHeight="1">
      <c r="A1160" s="125"/>
      <c r="B1160" s="125"/>
      <c r="C1160" s="125"/>
      <c r="D1160" s="81"/>
      <c r="E1160" s="81"/>
      <c r="F1160" s="97"/>
      <c r="G1160" s="81"/>
      <c r="H1160" s="81"/>
      <c r="I1160" s="81"/>
      <c r="J1160" s="81"/>
      <c r="K1160" s="81"/>
      <c r="L1160" s="155"/>
      <c r="M1160" s="155"/>
      <c r="N1160" s="109"/>
      <c r="O1160" s="126"/>
      <c r="P1160" s="126"/>
      <c r="Q1160" s="126"/>
      <c r="R1160" s="127"/>
      <c r="S1160" s="127"/>
      <c r="T1160" s="127"/>
      <c r="U1160" s="127"/>
    </row>
    <row r="1161" spans="1:21" ht="15" customHeight="1">
      <c r="A1161" s="125"/>
      <c r="B1161" s="125"/>
      <c r="C1161" s="125"/>
      <c r="D1161" s="81"/>
      <c r="E1161" s="81"/>
      <c r="F1161" s="97"/>
      <c r="G1161" s="81"/>
      <c r="H1161" s="81"/>
      <c r="I1161" s="81"/>
      <c r="J1161" s="81"/>
      <c r="K1161" s="81"/>
      <c r="L1161" s="155"/>
      <c r="M1161" s="155"/>
      <c r="N1161" s="109"/>
      <c r="O1161" s="126"/>
      <c r="P1161" s="126"/>
      <c r="Q1161" s="126"/>
      <c r="R1161" s="127"/>
      <c r="S1161" s="127"/>
      <c r="T1161" s="127"/>
      <c r="U1161" s="127"/>
    </row>
    <row r="1162" spans="1:21" ht="15" customHeight="1">
      <c r="A1162" s="125"/>
      <c r="B1162" s="125"/>
      <c r="C1162" s="125"/>
      <c r="D1162" s="81"/>
      <c r="E1162" s="81"/>
      <c r="F1162" s="97"/>
      <c r="G1162" s="81"/>
      <c r="H1162" s="81"/>
      <c r="I1162" s="81"/>
      <c r="J1162" s="81"/>
      <c r="K1162" s="81"/>
      <c r="L1162" s="155"/>
      <c r="M1162" s="155"/>
      <c r="N1162" s="109"/>
      <c r="O1162" s="126"/>
      <c r="P1162" s="126"/>
      <c r="Q1162" s="126"/>
      <c r="R1162" s="127"/>
      <c r="S1162" s="127"/>
      <c r="T1162" s="127"/>
      <c r="U1162" s="127"/>
    </row>
    <row r="1163" spans="1:21" ht="15" customHeight="1">
      <c r="A1163" s="125"/>
      <c r="B1163" s="125"/>
      <c r="C1163" s="125"/>
      <c r="D1163" s="81"/>
      <c r="E1163" s="81"/>
      <c r="F1163" s="97"/>
      <c r="G1163" s="81"/>
      <c r="H1163" s="81"/>
      <c r="I1163" s="81"/>
      <c r="J1163" s="81"/>
      <c r="K1163" s="81"/>
      <c r="L1163" s="155"/>
      <c r="M1163" s="155"/>
      <c r="N1163" s="109"/>
      <c r="O1163" s="126"/>
      <c r="P1163" s="126"/>
      <c r="Q1163" s="126"/>
      <c r="R1163" s="127"/>
      <c r="S1163" s="127"/>
      <c r="T1163" s="127"/>
      <c r="U1163" s="127"/>
    </row>
    <row r="1164" spans="1:21" ht="15" customHeight="1">
      <c r="A1164" s="125"/>
      <c r="B1164" s="125"/>
      <c r="C1164" s="125"/>
      <c r="D1164" s="81"/>
      <c r="E1164" s="81"/>
      <c r="F1164" s="97"/>
      <c r="G1164" s="81"/>
      <c r="H1164" s="81"/>
      <c r="I1164" s="81"/>
      <c r="J1164" s="81"/>
      <c r="K1164" s="81"/>
      <c r="L1164" s="155"/>
      <c r="M1164" s="155"/>
      <c r="N1164" s="109"/>
      <c r="O1164" s="126"/>
      <c r="P1164" s="126"/>
      <c r="Q1164" s="126"/>
      <c r="R1164" s="127"/>
      <c r="S1164" s="127"/>
      <c r="T1164" s="127"/>
      <c r="U1164" s="127"/>
    </row>
    <row r="1165" spans="1:21" ht="15" customHeight="1">
      <c r="A1165" s="125"/>
      <c r="B1165" s="125"/>
      <c r="C1165" s="125"/>
      <c r="D1165" s="81"/>
      <c r="E1165" s="81"/>
      <c r="F1165" s="97"/>
      <c r="G1165" s="81"/>
      <c r="H1165" s="81"/>
      <c r="I1165" s="81"/>
      <c r="J1165" s="81"/>
      <c r="K1165" s="81"/>
      <c r="L1165" s="155"/>
      <c r="M1165" s="155"/>
      <c r="N1165" s="109"/>
      <c r="O1165" s="126"/>
      <c r="P1165" s="126"/>
      <c r="Q1165" s="126"/>
      <c r="R1165" s="127"/>
      <c r="S1165" s="127"/>
      <c r="T1165" s="127"/>
      <c r="U1165" s="127"/>
    </row>
    <row r="1166" spans="1:21" ht="15" customHeight="1">
      <c r="A1166" s="125"/>
      <c r="B1166" s="125"/>
      <c r="C1166" s="125"/>
      <c r="D1166" s="81"/>
      <c r="E1166" s="81"/>
      <c r="F1166" s="97"/>
      <c r="G1166" s="81"/>
      <c r="H1166" s="81"/>
      <c r="I1166" s="81"/>
      <c r="J1166" s="81"/>
      <c r="K1166" s="81"/>
      <c r="L1166" s="155"/>
      <c r="M1166" s="155"/>
      <c r="N1166" s="109"/>
      <c r="O1166" s="126"/>
      <c r="P1166" s="126"/>
      <c r="Q1166" s="126"/>
      <c r="R1166" s="127"/>
      <c r="S1166" s="127"/>
      <c r="T1166" s="127"/>
      <c r="U1166" s="127"/>
    </row>
    <row r="1167" spans="1:21" ht="15" customHeight="1">
      <c r="A1167" s="125"/>
      <c r="B1167" s="125"/>
      <c r="C1167" s="125"/>
      <c r="D1167" s="81"/>
      <c r="E1167" s="81"/>
      <c r="F1167" s="97"/>
      <c r="G1167" s="81"/>
      <c r="H1167" s="81"/>
      <c r="I1167" s="81"/>
      <c r="J1167" s="81"/>
      <c r="K1167" s="81"/>
      <c r="L1167" s="155"/>
      <c r="M1167" s="155"/>
      <c r="N1167" s="109"/>
      <c r="O1167" s="126"/>
      <c r="P1167" s="126"/>
      <c r="Q1167" s="126"/>
      <c r="R1167" s="127"/>
      <c r="S1167" s="127"/>
      <c r="T1167" s="127"/>
      <c r="U1167" s="127"/>
    </row>
    <row r="1168" spans="1:21" ht="15" customHeight="1">
      <c r="A1168" s="125"/>
      <c r="B1168" s="125"/>
      <c r="C1168" s="125"/>
      <c r="D1168" s="81"/>
      <c r="E1168" s="81"/>
      <c r="F1168" s="97"/>
      <c r="G1168" s="81"/>
      <c r="H1168" s="81"/>
      <c r="I1168" s="81"/>
      <c r="J1168" s="81"/>
      <c r="K1168" s="81"/>
      <c r="L1168" s="155"/>
      <c r="M1168" s="155"/>
      <c r="N1168" s="109"/>
      <c r="O1168" s="126"/>
      <c r="P1168" s="126"/>
      <c r="Q1168" s="126"/>
      <c r="R1168" s="127"/>
      <c r="S1168" s="127"/>
      <c r="T1168" s="127"/>
      <c r="U1168" s="127"/>
    </row>
    <row r="1169" spans="1:21" ht="15" customHeight="1">
      <c r="A1169" s="125"/>
      <c r="B1169" s="125"/>
      <c r="C1169" s="125"/>
      <c r="D1169" s="81"/>
      <c r="E1169" s="81"/>
      <c r="F1169" s="97"/>
      <c r="G1169" s="81"/>
      <c r="H1169" s="81"/>
      <c r="I1169" s="81"/>
      <c r="J1169" s="81"/>
      <c r="K1169" s="81"/>
      <c r="L1169" s="155"/>
      <c r="M1169" s="155"/>
      <c r="N1169" s="109"/>
      <c r="O1169" s="126"/>
      <c r="P1169" s="126"/>
      <c r="Q1169" s="126"/>
      <c r="R1169" s="127"/>
      <c r="S1169" s="127"/>
      <c r="T1169" s="127"/>
      <c r="U1169" s="127"/>
    </row>
    <row r="1170" spans="1:21" ht="15" customHeight="1">
      <c r="A1170" s="125"/>
      <c r="B1170" s="125"/>
      <c r="C1170" s="125"/>
      <c r="D1170" s="81"/>
      <c r="E1170" s="81"/>
      <c r="F1170" s="97"/>
      <c r="G1170" s="81"/>
      <c r="H1170" s="81"/>
      <c r="I1170" s="81"/>
      <c r="J1170" s="81"/>
      <c r="K1170" s="81"/>
      <c r="L1170" s="155"/>
      <c r="M1170" s="155"/>
      <c r="N1170" s="109"/>
      <c r="O1170" s="126"/>
      <c r="P1170" s="126"/>
      <c r="Q1170" s="126"/>
      <c r="R1170" s="127"/>
      <c r="S1170" s="127"/>
      <c r="T1170" s="127"/>
      <c r="U1170" s="127"/>
    </row>
    <row r="1171" spans="1:21" ht="15" customHeight="1">
      <c r="A1171" s="125"/>
      <c r="B1171" s="125"/>
      <c r="C1171" s="125"/>
      <c r="D1171" s="81"/>
      <c r="E1171" s="81"/>
      <c r="F1171" s="97"/>
      <c r="G1171" s="81"/>
      <c r="H1171" s="81"/>
      <c r="I1171" s="81"/>
      <c r="J1171" s="81"/>
      <c r="K1171" s="81"/>
      <c r="L1171" s="155"/>
      <c r="M1171" s="155"/>
      <c r="N1171" s="109"/>
      <c r="O1171" s="126"/>
      <c r="P1171" s="126"/>
      <c r="Q1171" s="126"/>
      <c r="R1171" s="127"/>
      <c r="S1171" s="127"/>
      <c r="T1171" s="127"/>
      <c r="U1171" s="127"/>
    </row>
    <row r="1172" spans="1:21" ht="15" customHeight="1">
      <c r="A1172" s="125"/>
      <c r="B1172" s="125"/>
      <c r="C1172" s="125"/>
      <c r="D1172" s="81"/>
      <c r="E1172" s="81"/>
      <c r="F1172" s="97"/>
      <c r="G1172" s="81"/>
      <c r="H1172" s="81"/>
      <c r="I1172" s="81"/>
      <c r="J1172" s="81"/>
      <c r="K1172" s="81"/>
      <c r="L1172" s="155"/>
      <c r="M1172" s="155"/>
      <c r="N1172" s="109"/>
      <c r="O1172" s="126"/>
      <c r="P1172" s="126"/>
      <c r="Q1172" s="126"/>
      <c r="R1172" s="127"/>
      <c r="S1172" s="127"/>
      <c r="T1172" s="127"/>
      <c r="U1172" s="127"/>
    </row>
    <row r="1173" spans="1:21" ht="15" customHeight="1">
      <c r="A1173" s="125"/>
      <c r="B1173" s="125"/>
      <c r="C1173" s="125"/>
      <c r="D1173" s="81"/>
      <c r="E1173" s="81"/>
      <c r="F1173" s="97"/>
      <c r="G1173" s="81"/>
      <c r="H1173" s="81"/>
      <c r="I1173" s="81"/>
      <c r="J1173" s="81"/>
      <c r="K1173" s="81"/>
      <c r="L1173" s="155"/>
      <c r="M1173" s="155"/>
      <c r="N1173" s="109"/>
      <c r="O1173" s="126"/>
      <c r="P1173" s="126"/>
      <c r="Q1173" s="126"/>
      <c r="R1173" s="127"/>
      <c r="S1173" s="127"/>
      <c r="T1173" s="127"/>
      <c r="U1173" s="127"/>
    </row>
    <row r="1174" spans="1:21" ht="15" customHeight="1">
      <c r="A1174" s="125"/>
      <c r="B1174" s="125"/>
      <c r="C1174" s="125"/>
      <c r="D1174" s="81"/>
      <c r="E1174" s="81"/>
      <c r="F1174" s="97"/>
      <c r="G1174" s="81"/>
      <c r="H1174" s="81"/>
      <c r="I1174" s="81"/>
      <c r="J1174" s="81"/>
      <c r="K1174" s="81"/>
      <c r="L1174" s="155"/>
      <c r="M1174" s="155"/>
      <c r="N1174" s="109"/>
      <c r="O1174" s="126"/>
      <c r="P1174" s="126"/>
      <c r="Q1174" s="126"/>
      <c r="R1174" s="127"/>
      <c r="S1174" s="127"/>
      <c r="T1174" s="127"/>
      <c r="U1174" s="127"/>
    </row>
    <row r="1175" spans="1:21" ht="15" customHeight="1">
      <c r="A1175" s="125"/>
      <c r="B1175" s="125"/>
      <c r="C1175" s="125"/>
      <c r="D1175" s="81"/>
      <c r="E1175" s="81"/>
      <c r="F1175" s="97"/>
      <c r="G1175" s="81"/>
      <c r="H1175" s="81"/>
      <c r="I1175" s="81"/>
      <c r="J1175" s="81"/>
      <c r="K1175" s="81"/>
      <c r="L1175" s="155"/>
      <c r="M1175" s="155"/>
      <c r="N1175" s="109"/>
      <c r="O1175" s="126"/>
      <c r="P1175" s="126"/>
      <c r="Q1175" s="126"/>
      <c r="R1175" s="127"/>
      <c r="S1175" s="127"/>
      <c r="T1175" s="127"/>
      <c r="U1175" s="127"/>
    </row>
    <row r="1176" spans="1:21" ht="15" customHeight="1">
      <c r="A1176" s="125"/>
      <c r="B1176" s="125"/>
      <c r="C1176" s="125"/>
      <c r="D1176" s="81"/>
      <c r="E1176" s="81"/>
      <c r="F1176" s="97"/>
      <c r="G1176" s="81"/>
      <c r="H1176" s="81"/>
      <c r="I1176" s="81"/>
      <c r="J1176" s="81"/>
      <c r="K1176" s="81"/>
      <c r="L1176" s="155"/>
      <c r="M1176" s="155"/>
      <c r="N1176" s="109"/>
      <c r="O1176" s="126"/>
      <c r="P1176" s="126"/>
      <c r="Q1176" s="126"/>
      <c r="R1176" s="127"/>
      <c r="S1176" s="127"/>
      <c r="T1176" s="127"/>
      <c r="U1176" s="127"/>
    </row>
    <row r="1177" spans="1:21" ht="15" customHeight="1">
      <c r="A1177" s="125"/>
      <c r="B1177" s="125"/>
      <c r="C1177" s="125"/>
      <c r="D1177" s="81"/>
      <c r="E1177" s="81"/>
      <c r="F1177" s="97"/>
      <c r="G1177" s="81"/>
      <c r="H1177" s="81"/>
      <c r="I1177" s="81"/>
      <c r="J1177" s="81"/>
      <c r="K1177" s="81"/>
      <c r="L1177" s="155"/>
      <c r="M1177" s="155"/>
      <c r="N1177" s="109"/>
      <c r="O1177" s="126"/>
      <c r="P1177" s="126"/>
      <c r="Q1177" s="126"/>
      <c r="R1177" s="127"/>
      <c r="S1177" s="127"/>
      <c r="T1177" s="127"/>
      <c r="U1177" s="127"/>
    </row>
    <row r="1178" spans="1:21" ht="15" customHeight="1">
      <c r="A1178" s="125"/>
      <c r="B1178" s="125"/>
      <c r="C1178" s="125"/>
      <c r="D1178" s="81"/>
      <c r="E1178" s="81"/>
      <c r="F1178" s="97"/>
      <c r="G1178" s="81"/>
      <c r="H1178" s="81"/>
      <c r="I1178" s="81"/>
      <c r="J1178" s="81"/>
      <c r="K1178" s="81"/>
      <c r="L1178" s="155"/>
      <c r="M1178" s="155"/>
      <c r="N1178" s="109"/>
      <c r="O1178" s="126"/>
      <c r="P1178" s="126"/>
      <c r="Q1178" s="126"/>
      <c r="R1178" s="127"/>
      <c r="S1178" s="127"/>
      <c r="T1178" s="127"/>
      <c r="U1178" s="127"/>
    </row>
    <row r="1179" spans="1:21" ht="15" customHeight="1">
      <c r="A1179" s="125"/>
      <c r="B1179" s="125"/>
      <c r="C1179" s="125"/>
      <c r="D1179" s="81"/>
      <c r="E1179" s="81"/>
      <c r="F1179" s="97"/>
      <c r="G1179" s="81"/>
      <c r="H1179" s="81"/>
      <c r="I1179" s="81"/>
      <c r="J1179" s="81"/>
      <c r="K1179" s="81"/>
      <c r="L1179" s="155"/>
      <c r="M1179" s="155"/>
      <c r="N1179" s="109"/>
      <c r="O1179" s="126"/>
      <c r="P1179" s="126"/>
      <c r="Q1179" s="126"/>
      <c r="R1179" s="127"/>
      <c r="S1179" s="127"/>
      <c r="T1179" s="127"/>
      <c r="U1179" s="127"/>
    </row>
    <row r="1180" spans="1:21" ht="15" customHeight="1">
      <c r="A1180" s="125"/>
      <c r="B1180" s="125"/>
      <c r="C1180" s="125"/>
      <c r="D1180" s="81"/>
      <c r="E1180" s="81"/>
      <c r="F1180" s="97"/>
      <c r="G1180" s="81"/>
      <c r="H1180" s="81"/>
      <c r="I1180" s="81"/>
      <c r="J1180" s="81"/>
      <c r="K1180" s="81"/>
      <c r="L1180" s="155"/>
      <c r="M1180" s="155"/>
      <c r="N1180" s="109"/>
      <c r="O1180" s="126"/>
      <c r="P1180" s="126"/>
      <c r="Q1180" s="126"/>
      <c r="R1180" s="127"/>
      <c r="S1180" s="127"/>
      <c r="T1180" s="127"/>
      <c r="U1180" s="127"/>
    </row>
    <row r="1181" spans="1:21" ht="15" customHeight="1">
      <c r="A1181" s="125"/>
      <c r="B1181" s="125"/>
      <c r="C1181" s="125"/>
      <c r="D1181" s="81"/>
      <c r="E1181" s="81"/>
      <c r="F1181" s="97"/>
      <c r="G1181" s="81"/>
      <c r="H1181" s="81"/>
      <c r="I1181" s="81"/>
      <c r="J1181" s="81"/>
      <c r="K1181" s="81"/>
      <c r="L1181" s="155"/>
      <c r="M1181" s="155"/>
      <c r="N1181" s="109"/>
      <c r="O1181" s="126"/>
      <c r="P1181" s="126"/>
      <c r="Q1181" s="126"/>
      <c r="R1181" s="127"/>
      <c r="S1181" s="127"/>
      <c r="T1181" s="127"/>
      <c r="U1181" s="127"/>
    </row>
    <row r="1182" spans="1:21" ht="15" customHeight="1">
      <c r="A1182" s="125"/>
      <c r="B1182" s="125"/>
      <c r="C1182" s="125"/>
      <c r="D1182" s="81"/>
      <c r="E1182" s="81"/>
      <c r="F1182" s="97"/>
      <c r="G1182" s="81"/>
      <c r="H1182" s="81"/>
      <c r="I1182" s="81"/>
      <c r="J1182" s="81"/>
      <c r="K1182" s="81"/>
      <c r="L1182" s="155"/>
      <c r="M1182" s="155"/>
      <c r="N1182" s="109"/>
      <c r="O1182" s="126"/>
      <c r="P1182" s="126"/>
      <c r="Q1182" s="126"/>
      <c r="R1182" s="127"/>
      <c r="S1182" s="127"/>
      <c r="T1182" s="127"/>
      <c r="U1182" s="127"/>
    </row>
    <row r="1183" spans="1:21" ht="15" customHeight="1">
      <c r="A1183" s="125"/>
      <c r="B1183" s="125"/>
      <c r="C1183" s="125"/>
      <c r="D1183" s="81"/>
      <c r="E1183" s="81"/>
      <c r="F1183" s="97"/>
      <c r="G1183" s="81"/>
      <c r="H1183" s="81"/>
      <c r="I1183" s="81"/>
      <c r="J1183" s="81"/>
      <c r="K1183" s="81"/>
      <c r="L1183" s="155"/>
      <c r="M1183" s="155"/>
      <c r="N1183" s="109"/>
      <c r="O1183" s="126"/>
      <c r="P1183" s="126"/>
      <c r="Q1183" s="126"/>
      <c r="R1183" s="127"/>
      <c r="S1183" s="127"/>
      <c r="T1183" s="127"/>
      <c r="U1183" s="127"/>
    </row>
    <row r="1184" spans="1:21" ht="15" customHeight="1">
      <c r="A1184" s="125"/>
      <c r="B1184" s="125"/>
      <c r="C1184" s="125"/>
      <c r="D1184" s="81"/>
      <c r="E1184" s="81"/>
      <c r="F1184" s="97"/>
      <c r="G1184" s="81"/>
      <c r="H1184" s="81"/>
      <c r="I1184" s="81"/>
      <c r="J1184" s="81"/>
      <c r="K1184" s="81"/>
      <c r="L1184" s="155"/>
      <c r="M1184" s="155"/>
      <c r="N1184" s="109"/>
      <c r="O1184" s="126"/>
      <c r="P1184" s="126"/>
      <c r="Q1184" s="126"/>
      <c r="R1184" s="127"/>
      <c r="S1184" s="127"/>
      <c r="T1184" s="127"/>
      <c r="U1184" s="127"/>
    </row>
    <row r="1185" spans="1:21" ht="15" customHeight="1">
      <c r="A1185" s="125"/>
      <c r="B1185" s="125"/>
      <c r="C1185" s="125"/>
      <c r="D1185" s="81"/>
      <c r="E1185" s="81"/>
      <c r="F1185" s="97"/>
      <c r="G1185" s="81"/>
      <c r="H1185" s="81"/>
      <c r="I1185" s="81"/>
      <c r="J1185" s="81"/>
      <c r="K1185" s="81"/>
      <c r="L1185" s="155"/>
      <c r="M1185" s="155"/>
      <c r="N1185" s="109"/>
      <c r="O1185" s="126"/>
      <c r="P1185" s="126"/>
      <c r="Q1185" s="126"/>
      <c r="R1185" s="127"/>
      <c r="S1185" s="127"/>
      <c r="T1185" s="127"/>
      <c r="U1185" s="127"/>
    </row>
    <row r="1186" spans="1:21" ht="15" customHeight="1">
      <c r="A1186" s="125"/>
      <c r="B1186" s="125"/>
      <c r="C1186" s="125"/>
      <c r="D1186" s="81"/>
      <c r="E1186" s="81"/>
      <c r="F1186" s="97"/>
      <c r="G1186" s="81"/>
      <c r="H1186" s="81"/>
      <c r="I1186" s="81"/>
      <c r="J1186" s="81"/>
      <c r="K1186" s="81"/>
      <c r="L1186" s="155"/>
      <c r="M1186" s="155"/>
      <c r="N1186" s="109"/>
      <c r="O1186" s="126"/>
      <c r="P1186" s="126"/>
      <c r="Q1186" s="126"/>
      <c r="R1186" s="127"/>
      <c r="S1186" s="127"/>
      <c r="T1186" s="127"/>
      <c r="U1186" s="127"/>
    </row>
    <row r="1187" spans="1:21" ht="15" customHeight="1">
      <c r="A1187" s="125"/>
      <c r="B1187" s="125"/>
      <c r="C1187" s="125"/>
      <c r="D1187" s="81"/>
      <c r="E1187" s="81"/>
      <c r="F1187" s="97"/>
      <c r="G1187" s="81"/>
      <c r="H1187" s="81"/>
      <c r="I1187" s="81"/>
      <c r="J1187" s="81"/>
      <c r="K1187" s="81"/>
      <c r="L1187" s="155"/>
      <c r="M1187" s="155"/>
      <c r="N1187" s="109"/>
      <c r="O1187" s="126"/>
      <c r="P1187" s="126"/>
      <c r="Q1187" s="126"/>
      <c r="R1187" s="127"/>
      <c r="S1187" s="127"/>
      <c r="T1187" s="127"/>
      <c r="U1187" s="127"/>
    </row>
    <row r="1188" spans="1:21" ht="15" customHeight="1">
      <c r="A1188" s="125"/>
      <c r="B1188" s="125"/>
      <c r="C1188" s="125"/>
      <c r="D1188" s="81"/>
      <c r="E1188" s="81"/>
      <c r="F1188" s="97"/>
      <c r="G1188" s="81"/>
      <c r="H1188" s="81"/>
      <c r="I1188" s="81"/>
      <c r="J1188" s="81"/>
      <c r="K1188" s="81"/>
      <c r="L1188" s="155"/>
      <c r="M1188" s="155"/>
      <c r="N1188" s="109"/>
      <c r="O1188" s="126"/>
      <c r="P1188" s="126"/>
      <c r="Q1188" s="126"/>
      <c r="R1188" s="127"/>
      <c r="S1188" s="127"/>
      <c r="T1188" s="127"/>
      <c r="U1188" s="127"/>
    </row>
    <row r="1189" spans="1:21" ht="15" customHeight="1">
      <c r="A1189" s="125"/>
      <c r="B1189" s="125"/>
      <c r="C1189" s="125"/>
      <c r="D1189" s="81"/>
      <c r="E1189" s="81"/>
      <c r="F1189" s="97"/>
      <c r="G1189" s="81"/>
      <c r="H1189" s="81"/>
      <c r="I1189" s="81"/>
      <c r="J1189" s="81"/>
      <c r="K1189" s="81"/>
      <c r="L1189" s="155"/>
      <c r="M1189" s="155"/>
      <c r="N1189" s="109"/>
      <c r="O1189" s="126"/>
      <c r="P1189" s="126"/>
      <c r="Q1189" s="126"/>
      <c r="R1189" s="127"/>
      <c r="S1189" s="127"/>
      <c r="T1189" s="127"/>
      <c r="U1189" s="127"/>
    </row>
    <row r="1190" spans="1:21" ht="15" customHeight="1">
      <c r="A1190" s="125"/>
      <c r="B1190" s="125"/>
      <c r="C1190" s="125"/>
      <c r="D1190" s="81"/>
      <c r="E1190" s="81"/>
      <c r="F1190" s="97"/>
      <c r="G1190" s="81"/>
      <c r="H1190" s="81"/>
      <c r="I1190" s="81"/>
      <c r="J1190" s="81"/>
      <c r="K1190" s="81"/>
      <c r="L1190" s="155"/>
      <c r="M1190" s="155"/>
      <c r="N1190" s="109"/>
      <c r="O1190" s="126"/>
      <c r="P1190" s="126"/>
      <c r="Q1190" s="126"/>
      <c r="R1190" s="127"/>
      <c r="S1190" s="127"/>
      <c r="T1190" s="127"/>
      <c r="U1190" s="127"/>
    </row>
    <row r="1191" spans="1:21" ht="15" customHeight="1">
      <c r="A1191" s="125"/>
      <c r="B1191" s="125"/>
      <c r="C1191" s="125"/>
      <c r="D1191" s="81"/>
      <c r="E1191" s="81"/>
      <c r="F1191" s="97"/>
      <c r="G1191" s="81"/>
      <c r="H1191" s="81"/>
      <c r="I1191" s="81"/>
      <c r="J1191" s="81"/>
      <c r="K1191" s="81"/>
      <c r="L1191" s="155"/>
      <c r="M1191" s="155"/>
      <c r="N1191" s="109"/>
      <c r="O1191" s="126"/>
      <c r="P1191" s="126"/>
      <c r="Q1191" s="126"/>
      <c r="R1191" s="127"/>
      <c r="S1191" s="127"/>
      <c r="T1191" s="127"/>
      <c r="U1191" s="127"/>
    </row>
    <row r="1192" spans="1:21" ht="15" customHeight="1">
      <c r="A1192" s="125"/>
      <c r="B1192" s="125"/>
      <c r="C1192" s="125"/>
      <c r="D1192" s="81"/>
      <c r="E1192" s="81"/>
      <c r="F1192" s="97"/>
      <c r="G1192" s="81"/>
      <c r="H1192" s="81"/>
      <c r="I1192" s="81"/>
      <c r="J1192" s="81"/>
      <c r="K1192" s="81"/>
      <c r="L1192" s="155"/>
      <c r="M1192" s="155"/>
      <c r="N1192" s="109"/>
      <c r="O1192" s="126"/>
      <c r="P1192" s="126"/>
      <c r="Q1192" s="126"/>
      <c r="R1192" s="127"/>
      <c r="S1192" s="127"/>
      <c r="T1192" s="127"/>
      <c r="U1192" s="127"/>
    </row>
    <row r="1193" spans="1:21" ht="15" customHeight="1">
      <c r="A1193" s="125"/>
      <c r="B1193" s="125"/>
      <c r="C1193" s="125"/>
      <c r="D1193" s="81"/>
      <c r="E1193" s="81"/>
      <c r="F1193" s="97"/>
      <c r="G1193" s="81"/>
      <c r="H1193" s="81"/>
      <c r="I1193" s="81"/>
      <c r="J1193" s="81"/>
      <c r="K1193" s="81"/>
      <c r="L1193" s="155"/>
      <c r="M1193" s="155"/>
      <c r="N1193" s="109"/>
      <c r="O1193" s="126"/>
      <c r="P1193" s="126"/>
      <c r="Q1193" s="126"/>
      <c r="R1193" s="127"/>
      <c r="S1193" s="127"/>
      <c r="T1193" s="127"/>
      <c r="U1193" s="127"/>
    </row>
    <row r="1194" spans="1:21" ht="15" customHeight="1">
      <c r="A1194" s="125"/>
      <c r="B1194" s="125"/>
      <c r="C1194" s="125"/>
      <c r="D1194" s="81"/>
      <c r="E1194" s="81"/>
      <c r="F1194" s="97"/>
      <c r="G1194" s="81"/>
      <c r="H1194" s="81"/>
      <c r="I1194" s="81"/>
      <c r="J1194" s="81"/>
      <c r="K1194" s="81"/>
      <c r="L1194" s="155"/>
      <c r="M1194" s="155"/>
      <c r="N1194" s="109"/>
      <c r="O1194" s="126"/>
      <c r="P1194" s="126"/>
      <c r="Q1194" s="126"/>
      <c r="R1194" s="127"/>
      <c r="S1194" s="127"/>
      <c r="T1194" s="127"/>
      <c r="U1194" s="127"/>
    </row>
    <row r="1195" spans="1:21" ht="15" customHeight="1">
      <c r="A1195" s="125"/>
      <c r="B1195" s="125"/>
      <c r="C1195" s="125"/>
      <c r="D1195" s="81"/>
      <c r="E1195" s="81"/>
      <c r="F1195" s="97"/>
      <c r="G1195" s="81"/>
      <c r="H1195" s="81"/>
      <c r="I1195" s="81"/>
      <c r="J1195" s="81"/>
      <c r="K1195" s="81"/>
      <c r="L1195" s="155"/>
      <c r="M1195" s="155"/>
      <c r="N1195" s="109"/>
      <c r="O1195" s="126"/>
      <c r="P1195" s="126"/>
      <c r="Q1195" s="126"/>
      <c r="R1195" s="127"/>
      <c r="S1195" s="127"/>
      <c r="T1195" s="127"/>
      <c r="U1195" s="127"/>
    </row>
    <row r="1196" spans="1:21" ht="15" customHeight="1">
      <c r="A1196" s="125"/>
      <c r="B1196" s="125"/>
      <c r="C1196" s="125"/>
      <c r="D1196" s="81"/>
      <c r="E1196" s="81"/>
      <c r="F1196" s="97"/>
      <c r="G1196" s="81"/>
      <c r="H1196" s="81"/>
      <c r="I1196" s="81"/>
      <c r="J1196" s="81"/>
      <c r="K1196" s="81"/>
      <c r="L1196" s="155"/>
      <c r="M1196" s="155"/>
      <c r="N1196" s="109"/>
      <c r="O1196" s="126"/>
      <c r="P1196" s="126"/>
      <c r="Q1196" s="126"/>
      <c r="R1196" s="127"/>
      <c r="S1196" s="127"/>
      <c r="T1196" s="127"/>
      <c r="U1196" s="127"/>
    </row>
    <row r="1197" spans="1:21" ht="15" customHeight="1">
      <c r="A1197" s="125"/>
      <c r="B1197" s="125"/>
      <c r="C1197" s="125"/>
      <c r="D1197" s="81"/>
      <c r="E1197" s="81"/>
      <c r="F1197" s="97"/>
      <c r="G1197" s="81"/>
      <c r="H1197" s="81"/>
      <c r="I1197" s="81"/>
      <c r="J1197" s="81"/>
      <c r="K1197" s="81"/>
      <c r="L1197" s="155"/>
      <c r="M1197" s="155"/>
      <c r="N1197" s="109"/>
      <c r="O1197" s="126"/>
      <c r="P1197" s="126"/>
      <c r="Q1197" s="126"/>
      <c r="R1197" s="127"/>
      <c r="S1197" s="127"/>
      <c r="T1197" s="127"/>
      <c r="U1197" s="127"/>
    </row>
    <row r="1198" spans="1:21" ht="15" customHeight="1">
      <c r="A1198" s="125"/>
      <c r="B1198" s="125"/>
      <c r="C1198" s="125"/>
      <c r="D1198" s="81"/>
      <c r="E1198" s="81"/>
      <c r="F1198" s="97"/>
      <c r="G1198" s="81"/>
      <c r="H1198" s="81"/>
      <c r="I1198" s="81"/>
      <c r="J1198" s="81"/>
      <c r="K1198" s="81"/>
      <c r="L1198" s="155"/>
      <c r="M1198" s="155"/>
      <c r="N1198" s="109"/>
      <c r="O1198" s="126"/>
      <c r="P1198" s="126"/>
      <c r="Q1198" s="126"/>
      <c r="R1198" s="127"/>
      <c r="S1198" s="127"/>
      <c r="T1198" s="127"/>
      <c r="U1198" s="127"/>
    </row>
    <row r="1199" spans="1:21" ht="15" customHeight="1">
      <c r="A1199" s="125"/>
      <c r="B1199" s="125"/>
      <c r="C1199" s="125"/>
      <c r="D1199" s="81"/>
      <c r="E1199" s="81"/>
      <c r="F1199" s="97"/>
      <c r="G1199" s="81"/>
      <c r="H1199" s="81"/>
      <c r="I1199" s="81"/>
      <c r="J1199" s="81"/>
      <c r="K1199" s="81"/>
      <c r="L1199" s="155"/>
      <c r="M1199" s="155"/>
      <c r="N1199" s="109"/>
      <c r="O1199" s="126"/>
      <c r="P1199" s="126"/>
      <c r="Q1199" s="126"/>
      <c r="R1199" s="127"/>
      <c r="S1199" s="127"/>
      <c r="T1199" s="127"/>
      <c r="U1199" s="127"/>
    </row>
    <row r="1200" spans="1:21" ht="15" customHeight="1">
      <c r="A1200" s="125"/>
      <c r="B1200" s="125"/>
      <c r="C1200" s="125"/>
      <c r="D1200" s="81"/>
      <c r="E1200" s="81"/>
      <c r="F1200" s="97"/>
      <c r="G1200" s="81"/>
      <c r="H1200" s="81"/>
      <c r="I1200" s="81"/>
      <c r="J1200" s="81"/>
      <c r="K1200" s="81"/>
      <c r="L1200" s="155"/>
      <c r="M1200" s="155"/>
      <c r="N1200" s="109"/>
      <c r="O1200" s="126"/>
      <c r="P1200" s="126"/>
      <c r="Q1200" s="126"/>
      <c r="R1200" s="127"/>
      <c r="S1200" s="127"/>
      <c r="T1200" s="127"/>
      <c r="U1200" s="127"/>
    </row>
    <row r="1201" spans="1:21" ht="15" customHeight="1">
      <c r="A1201" s="125"/>
      <c r="B1201" s="125"/>
      <c r="C1201" s="125"/>
      <c r="D1201" s="81"/>
      <c r="E1201" s="81"/>
      <c r="F1201" s="97"/>
      <c r="G1201" s="81"/>
      <c r="H1201" s="81"/>
      <c r="I1201" s="81"/>
      <c r="J1201" s="81"/>
      <c r="K1201" s="81"/>
      <c r="L1201" s="155"/>
      <c r="M1201" s="155"/>
      <c r="N1201" s="109"/>
      <c r="O1201" s="126"/>
      <c r="P1201" s="126"/>
      <c r="Q1201" s="126"/>
      <c r="R1201" s="127"/>
      <c r="S1201" s="127"/>
      <c r="T1201" s="127"/>
      <c r="U1201" s="127"/>
    </row>
    <row r="1202" spans="1:21" ht="15" customHeight="1">
      <c r="A1202" s="125"/>
      <c r="B1202" s="125"/>
      <c r="C1202" s="125"/>
      <c r="D1202" s="81"/>
      <c r="E1202" s="81"/>
      <c r="F1202" s="97"/>
      <c r="G1202" s="81"/>
      <c r="H1202" s="81"/>
      <c r="I1202" s="81"/>
      <c r="J1202" s="81"/>
      <c r="K1202" s="81"/>
      <c r="L1202" s="155"/>
      <c r="M1202" s="155"/>
      <c r="N1202" s="109"/>
      <c r="O1202" s="126"/>
      <c r="P1202" s="126"/>
      <c r="Q1202" s="126"/>
      <c r="R1202" s="127"/>
      <c r="S1202" s="127"/>
      <c r="T1202" s="127"/>
      <c r="U1202" s="127"/>
    </row>
    <row r="1203" spans="1:21" ht="15" customHeight="1">
      <c r="A1203" s="125"/>
      <c r="B1203" s="125"/>
      <c r="C1203" s="125"/>
      <c r="D1203" s="81"/>
      <c r="E1203" s="81"/>
      <c r="F1203" s="97"/>
      <c r="G1203" s="81"/>
      <c r="H1203" s="81"/>
      <c r="I1203" s="81"/>
      <c r="J1203" s="81"/>
      <c r="K1203" s="81"/>
      <c r="L1203" s="155"/>
      <c r="M1203" s="155"/>
      <c r="N1203" s="109"/>
      <c r="O1203" s="126"/>
      <c r="P1203" s="126"/>
      <c r="Q1203" s="126"/>
      <c r="R1203" s="127"/>
      <c r="S1203" s="127"/>
      <c r="T1203" s="127"/>
      <c r="U1203" s="127"/>
    </row>
    <row r="1204" spans="1:21" ht="15" customHeight="1">
      <c r="A1204" s="125"/>
      <c r="B1204" s="125"/>
      <c r="C1204" s="125"/>
      <c r="D1204" s="81"/>
      <c r="E1204" s="81"/>
      <c r="F1204" s="97"/>
      <c r="G1204" s="81"/>
      <c r="H1204" s="81"/>
      <c r="I1204" s="81"/>
      <c r="J1204" s="81"/>
      <c r="K1204" s="81"/>
      <c r="L1204" s="155"/>
      <c r="M1204" s="155"/>
      <c r="N1204" s="109"/>
      <c r="O1204" s="126"/>
      <c r="P1204" s="126"/>
      <c r="Q1204" s="126"/>
      <c r="R1204" s="127"/>
      <c r="S1204" s="127"/>
      <c r="T1204" s="127"/>
      <c r="U1204" s="127"/>
    </row>
    <row r="1205" spans="1:21" ht="15" customHeight="1">
      <c r="A1205" s="125"/>
      <c r="B1205" s="125"/>
      <c r="C1205" s="125"/>
      <c r="D1205" s="81"/>
      <c r="E1205" s="81"/>
      <c r="F1205" s="97"/>
      <c r="G1205" s="81"/>
      <c r="H1205" s="81"/>
      <c r="I1205" s="81"/>
      <c r="J1205" s="81"/>
      <c r="K1205" s="81"/>
      <c r="L1205" s="155"/>
      <c r="M1205" s="155"/>
      <c r="N1205" s="109"/>
      <c r="O1205" s="126"/>
      <c r="P1205" s="126"/>
      <c r="Q1205" s="126"/>
      <c r="R1205" s="127"/>
      <c r="S1205" s="127"/>
      <c r="T1205" s="127"/>
      <c r="U1205" s="127"/>
    </row>
    <row r="1206" spans="1:21" ht="15" customHeight="1">
      <c r="A1206" s="125"/>
      <c r="B1206" s="125"/>
      <c r="C1206" s="125"/>
      <c r="D1206" s="81"/>
      <c r="E1206" s="81"/>
      <c r="F1206" s="97"/>
      <c r="G1206" s="81"/>
      <c r="H1206" s="81"/>
      <c r="I1206" s="81"/>
      <c r="J1206" s="81"/>
      <c r="K1206" s="81"/>
      <c r="L1206" s="155"/>
      <c r="M1206" s="155"/>
      <c r="N1206" s="109"/>
      <c r="O1206" s="126"/>
      <c r="P1206" s="126"/>
      <c r="Q1206" s="126"/>
      <c r="R1206" s="127"/>
      <c r="S1206" s="127"/>
      <c r="T1206" s="127"/>
      <c r="U1206" s="127"/>
    </row>
    <row r="1207" spans="1:21" ht="15" customHeight="1">
      <c r="A1207" s="125"/>
      <c r="B1207" s="125"/>
      <c r="C1207" s="125"/>
      <c r="D1207" s="81"/>
      <c r="E1207" s="81"/>
      <c r="F1207" s="97"/>
      <c r="G1207" s="81"/>
      <c r="H1207" s="81"/>
      <c r="I1207" s="81"/>
      <c r="J1207" s="81"/>
      <c r="K1207" s="81"/>
      <c r="L1207" s="155"/>
      <c r="M1207" s="155"/>
      <c r="N1207" s="109"/>
      <c r="O1207" s="126"/>
      <c r="P1207" s="126"/>
      <c r="Q1207" s="126"/>
      <c r="R1207" s="127"/>
      <c r="S1207" s="127"/>
      <c r="T1207" s="127"/>
      <c r="U1207" s="127"/>
    </row>
    <row r="1208" spans="1:21" ht="15" customHeight="1">
      <c r="A1208" s="125"/>
      <c r="B1208" s="125"/>
      <c r="C1208" s="125"/>
      <c r="D1208" s="81"/>
      <c r="E1208" s="81"/>
      <c r="F1208" s="97"/>
      <c r="G1208" s="81"/>
      <c r="H1208" s="81"/>
      <c r="I1208" s="81"/>
      <c r="J1208" s="81"/>
      <c r="K1208" s="81"/>
      <c r="L1208" s="155"/>
      <c r="M1208" s="155"/>
      <c r="N1208" s="109"/>
      <c r="O1208" s="126"/>
      <c r="P1208" s="126"/>
      <c r="Q1208" s="126"/>
      <c r="R1208" s="127"/>
      <c r="S1208" s="127"/>
      <c r="T1208" s="127"/>
      <c r="U1208" s="127"/>
    </row>
    <row r="1209" spans="1:21" ht="15" customHeight="1">
      <c r="A1209" s="125"/>
      <c r="B1209" s="125"/>
      <c r="C1209" s="125"/>
      <c r="D1209" s="81"/>
      <c r="E1209" s="81"/>
      <c r="F1209" s="97"/>
      <c r="G1209" s="81"/>
      <c r="H1209" s="81"/>
      <c r="I1209" s="81"/>
      <c r="J1209" s="81"/>
      <c r="K1209" s="81"/>
      <c r="L1209" s="155"/>
      <c r="M1209" s="155"/>
      <c r="N1209" s="109"/>
      <c r="O1209" s="126"/>
      <c r="P1209" s="126"/>
      <c r="Q1209" s="126"/>
      <c r="R1209" s="127"/>
      <c r="S1209" s="127"/>
      <c r="T1209" s="127"/>
      <c r="U1209" s="127"/>
    </row>
    <row r="1210" spans="1:21" ht="15" customHeight="1">
      <c r="A1210" s="125"/>
      <c r="B1210" s="125"/>
      <c r="C1210" s="125"/>
      <c r="D1210" s="81"/>
      <c r="E1210" s="81"/>
      <c r="F1210" s="97"/>
      <c r="G1210" s="81"/>
      <c r="H1210" s="81"/>
      <c r="I1210" s="81"/>
      <c r="J1210" s="81"/>
      <c r="K1210" s="81"/>
      <c r="L1210" s="155"/>
      <c r="M1210" s="155"/>
      <c r="N1210" s="109"/>
      <c r="O1210" s="126"/>
      <c r="P1210" s="126"/>
      <c r="Q1210" s="126"/>
      <c r="R1210" s="127"/>
      <c r="S1210" s="127"/>
      <c r="T1210" s="127"/>
      <c r="U1210" s="127"/>
    </row>
    <row r="1211" spans="1:21" ht="15" customHeight="1">
      <c r="A1211" s="125"/>
      <c r="B1211" s="125"/>
      <c r="C1211" s="125"/>
      <c r="D1211" s="81"/>
      <c r="E1211" s="81"/>
      <c r="F1211" s="97"/>
      <c r="G1211" s="81"/>
      <c r="H1211" s="81"/>
      <c r="I1211" s="81"/>
      <c r="J1211" s="81"/>
      <c r="K1211" s="81"/>
      <c r="L1211" s="155"/>
      <c r="M1211" s="155"/>
      <c r="N1211" s="109"/>
      <c r="O1211" s="126"/>
      <c r="P1211" s="126"/>
      <c r="Q1211" s="126"/>
      <c r="R1211" s="127"/>
      <c r="S1211" s="127"/>
      <c r="T1211" s="127"/>
      <c r="U1211" s="127"/>
    </row>
    <row r="1212" spans="1:21" ht="15" customHeight="1">
      <c r="A1212" s="125"/>
      <c r="B1212" s="125"/>
      <c r="C1212" s="125"/>
      <c r="D1212" s="81"/>
      <c r="E1212" s="81"/>
      <c r="F1212" s="97"/>
      <c r="G1212" s="81"/>
      <c r="H1212" s="81"/>
      <c r="I1212" s="81"/>
      <c r="J1212" s="81"/>
      <c r="K1212" s="81"/>
      <c r="L1212" s="155"/>
      <c r="M1212" s="155"/>
      <c r="N1212" s="109"/>
      <c r="O1212" s="126"/>
      <c r="P1212" s="126"/>
      <c r="Q1212" s="126"/>
      <c r="R1212" s="127"/>
      <c r="S1212" s="127"/>
      <c r="T1212" s="127"/>
      <c r="U1212" s="127"/>
    </row>
    <row r="1213" spans="1:21" ht="15" customHeight="1">
      <c r="A1213" s="125"/>
      <c r="B1213" s="125"/>
      <c r="C1213" s="125"/>
      <c r="D1213" s="81"/>
      <c r="E1213" s="81"/>
      <c r="F1213" s="97"/>
      <c r="G1213" s="81"/>
      <c r="H1213" s="81"/>
      <c r="I1213" s="81"/>
      <c r="J1213" s="81"/>
      <c r="K1213" s="81"/>
      <c r="L1213" s="155"/>
      <c r="M1213" s="155"/>
      <c r="N1213" s="109"/>
      <c r="O1213" s="126"/>
      <c r="P1213" s="126"/>
      <c r="Q1213" s="126"/>
      <c r="R1213" s="127"/>
      <c r="S1213" s="127"/>
      <c r="T1213" s="127"/>
      <c r="U1213" s="127"/>
    </row>
    <row r="1214" spans="1:21" ht="15" customHeight="1">
      <c r="A1214" s="125"/>
      <c r="B1214" s="125"/>
      <c r="C1214" s="125"/>
      <c r="D1214" s="81"/>
      <c r="E1214" s="81"/>
      <c r="F1214" s="97"/>
      <c r="G1214" s="81"/>
      <c r="H1214" s="81"/>
      <c r="I1214" s="81"/>
      <c r="J1214" s="81"/>
      <c r="K1214" s="81"/>
      <c r="L1214" s="155"/>
      <c r="M1214" s="155"/>
      <c r="N1214" s="109"/>
      <c r="O1214" s="126"/>
      <c r="P1214" s="126"/>
      <c r="Q1214" s="126"/>
      <c r="R1214" s="127"/>
      <c r="S1214" s="127"/>
      <c r="T1214" s="127"/>
      <c r="U1214" s="127"/>
    </row>
    <row r="1215" spans="1:21" ht="15" customHeight="1">
      <c r="A1215" s="125"/>
      <c r="B1215" s="125"/>
      <c r="C1215" s="125"/>
      <c r="D1215" s="81"/>
      <c r="E1215" s="81"/>
      <c r="F1215" s="97"/>
      <c r="G1215" s="81"/>
      <c r="H1215" s="81"/>
      <c r="I1215" s="81"/>
      <c r="J1215" s="81"/>
      <c r="K1215" s="81"/>
      <c r="L1215" s="155"/>
      <c r="M1215" s="155"/>
      <c r="N1215" s="109"/>
      <c r="O1215" s="126"/>
      <c r="P1215" s="126"/>
      <c r="Q1215" s="126"/>
      <c r="R1215" s="127"/>
      <c r="S1215" s="127"/>
      <c r="T1215" s="127"/>
      <c r="U1215" s="127"/>
    </row>
    <row r="1216" spans="1:21" ht="15" customHeight="1">
      <c r="A1216" s="125"/>
      <c r="B1216" s="125"/>
      <c r="C1216" s="125"/>
      <c r="D1216" s="81"/>
      <c r="E1216" s="81"/>
      <c r="F1216" s="97"/>
      <c r="G1216" s="81"/>
      <c r="H1216" s="81"/>
      <c r="I1216" s="81"/>
      <c r="J1216" s="81"/>
      <c r="K1216" s="81"/>
      <c r="L1216" s="155"/>
      <c r="M1216" s="155"/>
      <c r="N1216" s="109"/>
      <c r="O1216" s="126"/>
      <c r="P1216" s="126"/>
      <c r="Q1216" s="126"/>
      <c r="R1216" s="127"/>
      <c r="S1216" s="127"/>
      <c r="T1216" s="127"/>
      <c r="U1216" s="127"/>
    </row>
    <row r="1217" spans="1:21" ht="15" customHeight="1">
      <c r="A1217" s="125"/>
      <c r="B1217" s="125"/>
      <c r="C1217" s="125"/>
      <c r="D1217" s="81"/>
      <c r="E1217" s="81"/>
      <c r="F1217" s="97"/>
      <c r="G1217" s="81"/>
      <c r="H1217" s="81"/>
      <c r="I1217" s="81"/>
      <c r="J1217" s="81"/>
      <c r="K1217" s="81"/>
      <c r="L1217" s="155"/>
      <c r="M1217" s="155"/>
      <c r="N1217" s="109"/>
      <c r="O1217" s="126"/>
      <c r="P1217" s="126"/>
      <c r="Q1217" s="126"/>
      <c r="R1217" s="127"/>
      <c r="S1217" s="127"/>
      <c r="T1217" s="127"/>
      <c r="U1217" s="127"/>
    </row>
    <row r="1218" spans="1:21" ht="15" customHeight="1">
      <c r="A1218" s="125"/>
      <c r="B1218" s="125"/>
      <c r="C1218" s="125"/>
      <c r="D1218" s="81"/>
      <c r="E1218" s="81"/>
      <c r="F1218" s="97"/>
      <c r="G1218" s="81"/>
      <c r="H1218" s="81"/>
      <c r="I1218" s="81"/>
      <c r="J1218" s="81"/>
      <c r="K1218" s="81"/>
      <c r="L1218" s="155"/>
      <c r="M1218" s="155"/>
      <c r="N1218" s="109"/>
      <c r="O1218" s="126"/>
      <c r="P1218" s="126"/>
      <c r="Q1218" s="126"/>
      <c r="R1218" s="127"/>
      <c r="S1218" s="127"/>
      <c r="T1218" s="127"/>
      <c r="U1218" s="127"/>
    </row>
    <row r="1219" spans="1:21" ht="15" customHeight="1">
      <c r="A1219" s="125"/>
      <c r="B1219" s="125"/>
      <c r="C1219" s="125"/>
      <c r="D1219" s="81"/>
      <c r="E1219" s="81"/>
      <c r="F1219" s="97"/>
      <c r="G1219" s="81"/>
      <c r="H1219" s="81"/>
      <c r="I1219" s="81"/>
      <c r="J1219" s="81"/>
      <c r="K1219" s="81"/>
      <c r="L1219" s="155"/>
      <c r="M1219" s="155"/>
      <c r="N1219" s="109"/>
      <c r="O1219" s="126"/>
      <c r="P1219" s="126"/>
      <c r="Q1219" s="126"/>
      <c r="R1219" s="127"/>
      <c r="S1219" s="127"/>
      <c r="T1219" s="127"/>
      <c r="U1219" s="127"/>
    </row>
    <row r="1220" spans="1:21" ht="15" customHeight="1">
      <c r="A1220" s="125"/>
      <c r="B1220" s="125"/>
      <c r="C1220" s="125"/>
      <c r="D1220" s="81"/>
      <c r="E1220" s="81"/>
      <c r="F1220" s="97"/>
      <c r="G1220" s="81"/>
      <c r="H1220" s="81"/>
      <c r="I1220" s="81"/>
      <c r="J1220" s="81"/>
      <c r="K1220" s="81"/>
      <c r="L1220" s="155"/>
      <c r="M1220" s="155"/>
      <c r="N1220" s="109"/>
      <c r="O1220" s="126"/>
      <c r="P1220" s="126"/>
      <c r="Q1220" s="126"/>
      <c r="R1220" s="127"/>
      <c r="S1220" s="127"/>
      <c r="T1220" s="127"/>
      <c r="U1220" s="127"/>
    </row>
    <row r="1221" spans="1:21" ht="15" customHeight="1">
      <c r="A1221" s="125"/>
      <c r="B1221" s="125"/>
      <c r="C1221" s="125"/>
      <c r="D1221" s="81"/>
      <c r="E1221" s="81"/>
      <c r="F1221" s="97"/>
      <c r="G1221" s="81"/>
      <c r="H1221" s="81"/>
      <c r="I1221" s="81"/>
      <c r="J1221" s="81"/>
      <c r="K1221" s="81"/>
      <c r="L1221" s="155"/>
      <c r="M1221" s="155"/>
      <c r="N1221" s="109"/>
      <c r="O1221" s="126"/>
      <c r="P1221" s="126"/>
      <c r="Q1221" s="126"/>
      <c r="R1221" s="127"/>
      <c r="S1221" s="127"/>
      <c r="T1221" s="127"/>
      <c r="U1221" s="127"/>
    </row>
    <row r="1222" spans="1:21" ht="15" customHeight="1">
      <c r="A1222" s="125"/>
      <c r="B1222" s="125"/>
      <c r="C1222" s="125"/>
      <c r="D1222" s="81"/>
      <c r="E1222" s="81"/>
      <c r="F1222" s="97"/>
      <c r="G1222" s="81"/>
      <c r="H1222" s="81"/>
      <c r="I1222" s="81"/>
      <c r="J1222" s="81"/>
      <c r="K1222" s="81"/>
      <c r="L1222" s="155"/>
      <c r="M1222" s="155"/>
      <c r="N1222" s="109"/>
      <c r="O1222" s="126"/>
      <c r="P1222" s="126"/>
      <c r="Q1222" s="126"/>
      <c r="R1222" s="127"/>
      <c r="S1222" s="127"/>
      <c r="T1222" s="127"/>
      <c r="U1222" s="127"/>
    </row>
    <row r="1223" spans="1:21" ht="15" customHeight="1">
      <c r="A1223" s="125"/>
      <c r="B1223" s="125"/>
      <c r="C1223" s="125"/>
      <c r="D1223" s="81"/>
      <c r="E1223" s="81"/>
      <c r="F1223" s="97"/>
      <c r="G1223" s="81"/>
      <c r="H1223" s="81"/>
      <c r="I1223" s="81"/>
      <c r="J1223" s="81"/>
      <c r="K1223" s="81"/>
      <c r="L1223" s="155"/>
      <c r="M1223" s="155"/>
      <c r="N1223" s="109"/>
      <c r="O1223" s="126"/>
      <c r="P1223" s="126"/>
      <c r="Q1223" s="126"/>
      <c r="R1223" s="127"/>
      <c r="S1223" s="127"/>
      <c r="T1223" s="127"/>
      <c r="U1223" s="127"/>
    </row>
    <row r="1224" spans="1:21" ht="15" customHeight="1">
      <c r="A1224" s="125"/>
      <c r="B1224" s="125"/>
      <c r="C1224" s="125"/>
      <c r="D1224" s="81"/>
      <c r="E1224" s="81"/>
      <c r="F1224" s="97"/>
      <c r="G1224" s="81"/>
      <c r="H1224" s="81"/>
      <c r="I1224" s="81"/>
      <c r="J1224" s="81"/>
      <c r="K1224" s="81"/>
      <c r="L1224" s="155"/>
      <c r="M1224" s="155"/>
      <c r="N1224" s="109"/>
      <c r="O1224" s="126"/>
      <c r="P1224" s="126"/>
      <c r="Q1224" s="126"/>
      <c r="R1224" s="127"/>
      <c r="S1224" s="127"/>
      <c r="T1224" s="127"/>
      <c r="U1224" s="127"/>
    </row>
    <row r="1225" spans="1:21" ht="15" customHeight="1">
      <c r="A1225" s="125"/>
      <c r="B1225" s="125"/>
      <c r="C1225" s="125"/>
      <c r="D1225" s="81"/>
      <c r="E1225" s="81"/>
      <c r="F1225" s="97"/>
      <c r="G1225" s="81"/>
      <c r="H1225" s="81"/>
      <c r="I1225" s="81"/>
      <c r="J1225" s="81"/>
      <c r="K1225" s="81"/>
      <c r="L1225" s="155"/>
      <c r="M1225" s="155"/>
      <c r="N1225" s="109"/>
      <c r="O1225" s="126"/>
      <c r="P1225" s="126"/>
      <c r="Q1225" s="126"/>
      <c r="R1225" s="127"/>
      <c r="S1225" s="127"/>
      <c r="T1225" s="127"/>
      <c r="U1225" s="127"/>
    </row>
    <row r="1226" spans="1:21" ht="15" customHeight="1">
      <c r="A1226" s="125"/>
      <c r="B1226" s="125"/>
      <c r="C1226" s="125"/>
      <c r="D1226" s="81"/>
      <c r="E1226" s="81"/>
      <c r="F1226" s="97"/>
      <c r="G1226" s="81"/>
      <c r="H1226" s="81"/>
      <c r="I1226" s="81"/>
      <c r="J1226" s="81"/>
      <c r="K1226" s="81"/>
      <c r="L1226" s="155"/>
      <c r="M1226" s="155"/>
      <c r="N1226" s="109"/>
      <c r="O1226" s="126"/>
      <c r="P1226" s="126"/>
      <c r="Q1226" s="126"/>
      <c r="R1226" s="127"/>
      <c r="S1226" s="127"/>
      <c r="T1226" s="127"/>
      <c r="U1226" s="127"/>
    </row>
    <row r="1227" spans="1:21" ht="15" customHeight="1">
      <c r="A1227" s="125"/>
      <c r="B1227" s="125"/>
      <c r="C1227" s="125"/>
      <c r="D1227" s="81"/>
      <c r="E1227" s="81"/>
      <c r="F1227" s="97"/>
      <c r="G1227" s="81"/>
      <c r="H1227" s="81"/>
      <c r="I1227" s="81"/>
      <c r="J1227" s="81"/>
      <c r="K1227" s="81"/>
      <c r="L1227" s="155"/>
      <c r="M1227" s="155"/>
      <c r="N1227" s="109"/>
      <c r="O1227" s="126"/>
      <c r="P1227" s="126"/>
      <c r="Q1227" s="126"/>
      <c r="R1227" s="127"/>
      <c r="S1227" s="127"/>
      <c r="T1227" s="127"/>
      <c r="U1227" s="127"/>
    </row>
    <row r="1228" spans="1:21" ht="15" customHeight="1">
      <c r="A1228" s="125"/>
      <c r="B1228" s="125"/>
      <c r="C1228" s="125"/>
      <c r="D1228" s="81"/>
      <c r="E1228" s="81"/>
      <c r="F1228" s="97"/>
      <c r="G1228" s="81"/>
      <c r="H1228" s="81"/>
      <c r="I1228" s="81"/>
      <c r="J1228" s="81"/>
      <c r="K1228" s="81"/>
      <c r="L1228" s="155"/>
      <c r="M1228" s="155"/>
      <c r="N1228" s="109"/>
      <c r="O1228" s="126"/>
      <c r="P1228" s="126"/>
      <c r="Q1228" s="126"/>
      <c r="R1228" s="127"/>
      <c r="S1228" s="127"/>
      <c r="T1228" s="127"/>
      <c r="U1228" s="127"/>
    </row>
    <row r="1229" spans="1:21" ht="15" customHeight="1">
      <c r="A1229" s="125"/>
      <c r="B1229" s="125"/>
      <c r="C1229" s="125"/>
      <c r="D1229" s="81"/>
      <c r="E1229" s="81"/>
      <c r="F1229" s="97"/>
      <c r="G1229" s="81"/>
      <c r="H1229" s="81"/>
      <c r="I1229" s="81"/>
      <c r="J1229" s="81"/>
      <c r="K1229" s="81"/>
      <c r="L1229" s="155"/>
      <c r="M1229" s="155"/>
      <c r="N1229" s="109"/>
      <c r="O1229" s="126"/>
      <c r="P1229" s="126"/>
      <c r="Q1229" s="126"/>
      <c r="R1229" s="127"/>
      <c r="S1229" s="127"/>
      <c r="T1229" s="127"/>
      <c r="U1229" s="127"/>
    </row>
    <row r="1230" spans="1:21" ht="15" customHeight="1">
      <c r="A1230" s="125"/>
      <c r="B1230" s="125"/>
      <c r="C1230" s="125"/>
      <c r="D1230" s="81"/>
      <c r="E1230" s="81"/>
      <c r="F1230" s="97"/>
      <c r="G1230" s="81"/>
      <c r="H1230" s="81"/>
      <c r="I1230" s="81"/>
      <c r="J1230" s="81"/>
      <c r="K1230" s="81"/>
      <c r="L1230" s="155"/>
      <c r="M1230" s="155"/>
      <c r="N1230" s="109"/>
      <c r="O1230" s="126"/>
      <c r="P1230" s="126"/>
      <c r="Q1230" s="126"/>
      <c r="R1230" s="127"/>
      <c r="S1230" s="127"/>
      <c r="T1230" s="127"/>
      <c r="U1230" s="127"/>
    </row>
    <row r="1231" spans="1:21" ht="15" customHeight="1">
      <c r="A1231" s="125"/>
      <c r="B1231" s="125"/>
      <c r="C1231" s="125"/>
      <c r="D1231" s="81"/>
      <c r="E1231" s="81"/>
      <c r="F1231" s="97"/>
      <c r="G1231" s="81"/>
      <c r="H1231" s="81"/>
      <c r="I1231" s="81"/>
      <c r="J1231" s="81"/>
      <c r="K1231" s="81"/>
      <c r="L1231" s="155"/>
      <c r="M1231" s="155"/>
      <c r="N1231" s="109"/>
      <c r="O1231" s="126"/>
      <c r="P1231" s="126"/>
      <c r="Q1231" s="126"/>
      <c r="R1231" s="127"/>
      <c r="S1231" s="127"/>
      <c r="T1231" s="127"/>
      <c r="U1231" s="127"/>
    </row>
    <row r="1232" spans="1:21" ht="15" customHeight="1">
      <c r="A1232" s="125"/>
      <c r="B1232" s="125"/>
      <c r="C1232" s="125"/>
      <c r="D1232" s="81"/>
      <c r="E1232" s="81"/>
      <c r="F1232" s="97"/>
      <c r="G1232" s="81"/>
      <c r="H1232" s="81"/>
      <c r="I1232" s="81"/>
      <c r="J1232" s="81"/>
      <c r="K1232" s="81"/>
      <c r="L1232" s="155"/>
      <c r="M1232" s="155"/>
      <c r="N1232" s="109"/>
      <c r="O1232" s="126"/>
      <c r="P1232" s="126"/>
      <c r="Q1232" s="126"/>
      <c r="R1232" s="127"/>
      <c r="S1232" s="127"/>
      <c r="T1232" s="127"/>
      <c r="U1232" s="127"/>
    </row>
    <row r="1233" spans="1:21" ht="15" customHeight="1">
      <c r="A1233" s="125"/>
      <c r="B1233" s="125"/>
      <c r="C1233" s="125"/>
      <c r="D1233" s="81"/>
      <c r="E1233" s="81"/>
      <c r="F1233" s="97"/>
      <c r="G1233" s="81"/>
      <c r="H1233" s="81"/>
      <c r="I1233" s="81"/>
      <c r="J1233" s="81"/>
      <c r="K1233" s="81"/>
      <c r="L1233" s="155"/>
      <c r="M1233" s="155"/>
      <c r="N1233" s="109"/>
      <c r="O1233" s="126"/>
      <c r="P1233" s="126"/>
      <c r="Q1233" s="126"/>
      <c r="R1233" s="127"/>
      <c r="S1233" s="127"/>
      <c r="T1233" s="127"/>
      <c r="U1233" s="127"/>
    </row>
    <row r="1234" spans="1:21" ht="15" customHeight="1">
      <c r="A1234" s="125"/>
      <c r="B1234" s="125"/>
      <c r="C1234" s="125"/>
      <c r="D1234" s="81"/>
      <c r="E1234" s="81"/>
      <c r="F1234" s="97"/>
      <c r="G1234" s="81"/>
      <c r="H1234" s="81"/>
      <c r="I1234" s="81"/>
      <c r="J1234" s="81"/>
      <c r="K1234" s="81"/>
      <c r="L1234" s="155"/>
      <c r="M1234" s="155"/>
      <c r="N1234" s="109"/>
      <c r="O1234" s="126"/>
      <c r="P1234" s="126"/>
      <c r="Q1234" s="126"/>
      <c r="R1234" s="127"/>
      <c r="S1234" s="127"/>
      <c r="T1234" s="127"/>
      <c r="U1234" s="127"/>
    </row>
    <row r="1235" spans="1:21" ht="15" customHeight="1">
      <c r="A1235" s="125"/>
      <c r="B1235" s="125"/>
      <c r="C1235" s="125"/>
      <c r="D1235" s="81"/>
      <c r="E1235" s="81"/>
      <c r="F1235" s="97"/>
      <c r="G1235" s="81"/>
      <c r="H1235" s="81"/>
      <c r="I1235" s="81"/>
      <c r="J1235" s="81"/>
      <c r="K1235" s="81"/>
      <c r="L1235" s="155"/>
      <c r="M1235" s="155"/>
      <c r="N1235" s="109"/>
      <c r="O1235" s="126"/>
      <c r="P1235" s="126"/>
      <c r="Q1235" s="126"/>
      <c r="R1235" s="127"/>
      <c r="S1235" s="127"/>
      <c r="T1235" s="127"/>
      <c r="U1235" s="127"/>
    </row>
    <row r="1236" spans="1:21" ht="15" customHeight="1">
      <c r="A1236" s="125"/>
      <c r="B1236" s="125"/>
      <c r="C1236" s="125"/>
      <c r="D1236" s="81"/>
      <c r="E1236" s="81"/>
      <c r="F1236" s="97"/>
      <c r="G1236" s="81"/>
      <c r="H1236" s="81"/>
      <c r="I1236" s="81"/>
      <c r="J1236" s="81"/>
      <c r="K1236" s="81"/>
      <c r="L1236" s="155"/>
      <c r="M1236" s="155"/>
      <c r="N1236" s="109"/>
      <c r="O1236" s="126"/>
      <c r="P1236" s="126"/>
      <c r="Q1236" s="126"/>
      <c r="R1236" s="127"/>
      <c r="S1236" s="127"/>
      <c r="T1236" s="127"/>
      <c r="U1236" s="127"/>
    </row>
    <row r="1237" spans="1:21" ht="15" customHeight="1">
      <c r="A1237" s="125"/>
      <c r="B1237" s="125"/>
      <c r="C1237" s="125"/>
      <c r="D1237" s="81"/>
      <c r="E1237" s="81"/>
      <c r="F1237" s="97"/>
      <c r="G1237" s="81"/>
      <c r="H1237" s="81"/>
      <c r="I1237" s="81"/>
      <c r="J1237" s="81"/>
      <c r="K1237" s="81"/>
      <c r="L1237" s="155"/>
      <c r="M1237" s="155"/>
      <c r="N1237" s="109"/>
      <c r="O1237" s="126"/>
      <c r="P1237" s="126"/>
      <c r="Q1237" s="126"/>
      <c r="R1237" s="127"/>
      <c r="S1237" s="127"/>
      <c r="T1237" s="127"/>
      <c r="U1237" s="127"/>
    </row>
    <row r="1238" spans="1:21" ht="15" customHeight="1">
      <c r="A1238" s="125"/>
      <c r="B1238" s="125"/>
      <c r="C1238" s="125"/>
      <c r="D1238" s="81"/>
      <c r="E1238" s="81"/>
      <c r="F1238" s="97"/>
      <c r="G1238" s="81"/>
      <c r="H1238" s="81"/>
      <c r="I1238" s="81"/>
      <c r="J1238" s="81"/>
      <c r="K1238" s="81"/>
      <c r="L1238" s="155"/>
      <c r="M1238" s="155"/>
      <c r="N1238" s="109"/>
      <c r="O1238" s="126"/>
      <c r="P1238" s="126"/>
      <c r="Q1238" s="126"/>
      <c r="R1238" s="127"/>
      <c r="S1238" s="127"/>
      <c r="T1238" s="127"/>
      <c r="U1238" s="127"/>
    </row>
    <row r="1239" spans="1:21" ht="15" customHeight="1">
      <c r="A1239" s="125"/>
      <c r="B1239" s="125"/>
      <c r="C1239" s="125"/>
      <c r="D1239" s="81"/>
      <c r="E1239" s="81"/>
      <c r="F1239" s="97"/>
      <c r="G1239" s="81"/>
      <c r="H1239" s="81"/>
      <c r="I1239" s="81"/>
      <c r="J1239" s="81"/>
      <c r="K1239" s="81"/>
      <c r="L1239" s="155"/>
      <c r="M1239" s="155"/>
      <c r="N1239" s="109"/>
      <c r="O1239" s="126"/>
      <c r="P1239" s="126"/>
      <c r="Q1239" s="126"/>
      <c r="R1239" s="127"/>
      <c r="S1239" s="127"/>
      <c r="T1239" s="127"/>
      <c r="U1239" s="127"/>
    </row>
    <row r="1240" spans="1:21" ht="15" customHeight="1">
      <c r="A1240" s="125"/>
      <c r="B1240" s="125"/>
      <c r="C1240" s="125"/>
      <c r="D1240" s="81"/>
      <c r="E1240" s="81"/>
      <c r="F1240" s="97"/>
      <c r="G1240" s="81"/>
      <c r="H1240" s="81"/>
      <c r="I1240" s="81"/>
      <c r="J1240" s="81"/>
      <c r="K1240" s="81"/>
      <c r="L1240" s="155"/>
      <c r="M1240" s="155"/>
      <c r="N1240" s="109"/>
      <c r="O1240" s="126"/>
      <c r="P1240" s="126"/>
      <c r="Q1240" s="126"/>
      <c r="R1240" s="127"/>
      <c r="S1240" s="127"/>
      <c r="T1240" s="127"/>
      <c r="U1240" s="127"/>
    </row>
    <row r="1241" spans="1:21" ht="15" customHeight="1">
      <c r="A1241" s="125"/>
      <c r="B1241" s="125"/>
      <c r="C1241" s="125"/>
      <c r="D1241" s="81"/>
      <c r="E1241" s="81"/>
      <c r="F1241" s="97"/>
      <c r="G1241" s="81"/>
      <c r="H1241" s="81"/>
      <c r="I1241" s="81"/>
      <c r="J1241" s="81"/>
      <c r="K1241" s="81"/>
      <c r="L1241" s="155"/>
      <c r="M1241" s="155"/>
      <c r="N1241" s="109"/>
      <c r="O1241" s="126"/>
      <c r="P1241" s="126"/>
      <c r="Q1241" s="126"/>
      <c r="R1241" s="127"/>
      <c r="S1241" s="127"/>
      <c r="T1241" s="127"/>
      <c r="U1241" s="127"/>
    </row>
    <row r="1242" spans="1:21" ht="15" customHeight="1">
      <c r="A1242" s="125"/>
      <c r="B1242" s="125"/>
      <c r="C1242" s="125"/>
      <c r="D1242" s="81"/>
      <c r="E1242" s="81"/>
      <c r="F1242" s="97"/>
      <c r="G1242" s="81"/>
      <c r="H1242" s="81"/>
      <c r="I1242" s="81"/>
      <c r="J1242" s="81"/>
      <c r="K1242" s="81"/>
      <c r="L1242" s="155"/>
      <c r="M1242" s="155"/>
      <c r="N1242" s="109"/>
      <c r="O1242" s="126"/>
      <c r="P1242" s="126"/>
      <c r="Q1242" s="126"/>
      <c r="R1242" s="127"/>
      <c r="S1242" s="127"/>
      <c r="T1242" s="127"/>
      <c r="U1242" s="127"/>
    </row>
    <row r="1243" spans="1:21" ht="15" customHeight="1">
      <c r="A1243" s="125"/>
      <c r="B1243" s="125"/>
      <c r="C1243" s="125"/>
      <c r="D1243" s="81"/>
      <c r="E1243" s="81"/>
      <c r="F1243" s="97"/>
      <c r="G1243" s="81"/>
      <c r="H1243" s="81"/>
      <c r="I1243" s="81"/>
      <c r="J1243" s="81"/>
      <c r="K1243" s="81"/>
      <c r="L1243" s="155"/>
      <c r="M1243" s="155"/>
      <c r="N1243" s="109"/>
      <c r="O1243" s="126"/>
      <c r="P1243" s="126"/>
      <c r="Q1243" s="126"/>
      <c r="R1243" s="127"/>
      <c r="S1243" s="127"/>
      <c r="T1243" s="127"/>
      <c r="U1243" s="127"/>
    </row>
    <row r="1244" spans="1:21" ht="15" customHeight="1">
      <c r="A1244" s="125"/>
      <c r="B1244" s="125"/>
      <c r="C1244" s="125"/>
      <c r="D1244" s="81"/>
      <c r="E1244" s="81"/>
      <c r="F1244" s="97"/>
      <c r="G1244" s="81"/>
      <c r="H1244" s="81"/>
      <c r="I1244" s="81"/>
      <c r="J1244" s="81"/>
      <c r="K1244" s="81"/>
      <c r="L1244" s="155"/>
      <c r="M1244" s="155"/>
      <c r="N1244" s="109"/>
      <c r="O1244" s="126"/>
      <c r="P1244" s="126"/>
      <c r="Q1244" s="126"/>
      <c r="R1244" s="127"/>
      <c r="S1244" s="127"/>
      <c r="T1244" s="127"/>
      <c r="U1244" s="127"/>
    </row>
    <row r="1245" spans="1:21" ht="15" customHeight="1">
      <c r="A1245" s="125"/>
      <c r="B1245" s="125"/>
      <c r="C1245" s="125"/>
      <c r="D1245" s="81"/>
      <c r="E1245" s="81"/>
      <c r="F1245" s="97"/>
      <c r="G1245" s="81"/>
      <c r="H1245" s="81"/>
      <c r="I1245" s="81"/>
      <c r="J1245" s="81"/>
      <c r="K1245" s="81"/>
      <c r="L1245" s="155"/>
      <c r="M1245" s="155"/>
      <c r="N1245" s="109"/>
      <c r="O1245" s="126"/>
      <c r="P1245" s="126"/>
      <c r="Q1245" s="126"/>
      <c r="R1245" s="127"/>
      <c r="S1245" s="127"/>
      <c r="T1245" s="127"/>
      <c r="U1245" s="127"/>
    </row>
    <row r="1246" spans="1:21" ht="15" customHeight="1">
      <c r="A1246" s="125"/>
      <c r="B1246" s="125"/>
      <c r="C1246" s="125"/>
      <c r="D1246" s="81"/>
      <c r="E1246" s="81"/>
      <c r="F1246" s="97"/>
      <c r="G1246" s="81"/>
      <c r="H1246" s="81"/>
      <c r="I1246" s="81"/>
      <c r="J1246" s="81"/>
      <c r="K1246" s="81"/>
      <c r="L1246" s="155"/>
      <c r="M1246" s="155"/>
      <c r="N1246" s="109"/>
      <c r="O1246" s="126"/>
      <c r="P1246" s="126"/>
      <c r="Q1246" s="126"/>
      <c r="R1246" s="127"/>
      <c r="S1246" s="127"/>
      <c r="T1246" s="127"/>
      <c r="U1246" s="127"/>
    </row>
    <row r="1247" spans="1:21" ht="15" customHeight="1">
      <c r="A1247" s="125"/>
      <c r="B1247" s="125"/>
      <c r="C1247" s="125"/>
      <c r="D1247" s="81"/>
      <c r="E1247" s="81"/>
      <c r="F1247" s="97"/>
      <c r="G1247" s="81"/>
      <c r="H1247" s="81"/>
      <c r="I1247" s="81"/>
      <c r="J1247" s="81"/>
      <c r="K1247" s="81"/>
      <c r="L1247" s="155"/>
      <c r="M1247" s="155"/>
      <c r="N1247" s="109"/>
      <c r="O1247" s="126"/>
      <c r="P1247" s="126"/>
      <c r="Q1247" s="126"/>
      <c r="R1247" s="127"/>
      <c r="S1247" s="127"/>
      <c r="T1247" s="127"/>
      <c r="U1247" s="127"/>
    </row>
    <row r="1248" spans="1:21" ht="15" customHeight="1">
      <c r="A1248" s="125"/>
      <c r="B1248" s="125"/>
      <c r="C1248" s="125"/>
      <c r="D1248" s="81"/>
      <c r="E1248" s="81"/>
      <c r="F1248" s="97"/>
      <c r="G1248" s="81"/>
      <c r="H1248" s="81"/>
      <c r="I1248" s="81"/>
      <c r="J1248" s="81"/>
      <c r="K1248" s="81"/>
      <c r="L1248" s="155"/>
      <c r="M1248" s="155"/>
      <c r="N1248" s="109"/>
      <c r="O1248" s="126"/>
      <c r="P1248" s="126"/>
      <c r="Q1248" s="126"/>
      <c r="R1248" s="127"/>
      <c r="S1248" s="127"/>
      <c r="T1248" s="127"/>
      <c r="U1248" s="127"/>
    </row>
    <row r="1249" spans="1:21" ht="15" customHeight="1">
      <c r="A1249" s="125"/>
      <c r="B1249" s="125"/>
      <c r="C1249" s="125"/>
      <c r="D1249" s="81"/>
      <c r="E1249" s="81"/>
      <c r="F1249" s="97"/>
      <c r="G1249" s="81"/>
      <c r="H1249" s="81"/>
      <c r="I1249" s="81"/>
      <c r="J1249" s="81"/>
      <c r="K1249" s="81"/>
      <c r="L1249" s="155"/>
      <c r="M1249" s="155"/>
      <c r="N1249" s="109"/>
      <c r="O1249" s="126"/>
      <c r="P1249" s="126"/>
      <c r="Q1249" s="126"/>
      <c r="R1249" s="127"/>
      <c r="S1249" s="127"/>
      <c r="T1249" s="127"/>
      <c r="U1249" s="127"/>
    </row>
    <row r="1250" spans="1:21" ht="15" customHeight="1">
      <c r="A1250" s="125"/>
      <c r="B1250" s="125"/>
      <c r="C1250" s="125"/>
      <c r="D1250" s="81"/>
      <c r="E1250" s="81"/>
      <c r="F1250" s="97"/>
      <c r="G1250" s="81"/>
      <c r="H1250" s="81"/>
      <c r="I1250" s="81"/>
      <c r="J1250" s="81"/>
      <c r="K1250" s="81"/>
      <c r="L1250" s="155"/>
      <c r="M1250" s="155"/>
      <c r="N1250" s="109"/>
      <c r="O1250" s="126"/>
      <c r="P1250" s="126"/>
      <c r="Q1250" s="126"/>
      <c r="R1250" s="127"/>
      <c r="S1250" s="127"/>
      <c r="T1250" s="127"/>
      <c r="U1250" s="127"/>
    </row>
    <row r="1251" spans="1:21" ht="15" customHeight="1">
      <c r="A1251" s="125"/>
      <c r="B1251" s="125"/>
      <c r="C1251" s="125"/>
      <c r="D1251" s="81"/>
      <c r="E1251" s="81"/>
      <c r="F1251" s="97"/>
      <c r="G1251" s="81"/>
      <c r="H1251" s="81"/>
      <c r="I1251" s="81"/>
      <c r="J1251" s="81"/>
      <c r="K1251" s="81"/>
      <c r="L1251" s="155"/>
      <c r="M1251" s="155"/>
      <c r="N1251" s="109"/>
      <c r="O1251" s="126"/>
      <c r="P1251" s="126"/>
      <c r="Q1251" s="126"/>
      <c r="R1251" s="127"/>
      <c r="S1251" s="127"/>
      <c r="T1251" s="127"/>
      <c r="U1251" s="127"/>
    </row>
    <row r="1252" spans="1:21" ht="15" customHeight="1">
      <c r="A1252" s="125"/>
      <c r="B1252" s="125"/>
      <c r="C1252" s="125"/>
      <c r="D1252" s="81"/>
      <c r="E1252" s="81"/>
      <c r="F1252" s="97"/>
      <c r="G1252" s="81"/>
      <c r="H1252" s="81"/>
      <c r="I1252" s="81"/>
      <c r="J1252" s="81"/>
      <c r="K1252" s="81"/>
      <c r="L1252" s="155"/>
      <c r="M1252" s="155"/>
      <c r="N1252" s="109"/>
      <c r="O1252" s="126"/>
      <c r="P1252" s="126"/>
      <c r="Q1252" s="126"/>
      <c r="R1252" s="127"/>
      <c r="S1252" s="127"/>
      <c r="T1252" s="127"/>
      <c r="U1252" s="127"/>
    </row>
    <row r="1253" spans="1:21" ht="15" customHeight="1">
      <c r="A1253" s="125"/>
      <c r="B1253" s="125"/>
      <c r="C1253" s="125"/>
      <c r="D1253" s="81"/>
      <c r="E1253" s="81"/>
      <c r="F1253" s="97"/>
      <c r="G1253" s="81"/>
      <c r="H1253" s="81"/>
      <c r="I1253" s="81"/>
      <c r="J1253" s="81"/>
      <c r="K1253" s="81"/>
      <c r="L1253" s="155"/>
      <c r="M1253" s="155"/>
      <c r="N1253" s="109"/>
      <c r="O1253" s="126"/>
      <c r="P1253" s="126"/>
      <c r="Q1253" s="126"/>
      <c r="R1253" s="127"/>
      <c r="S1253" s="127"/>
      <c r="T1253" s="127"/>
      <c r="U1253" s="127"/>
    </row>
    <row r="1254" spans="1:21" ht="15" customHeight="1">
      <c r="A1254" s="125"/>
      <c r="B1254" s="125"/>
      <c r="C1254" s="125"/>
      <c r="D1254" s="81"/>
      <c r="E1254" s="81"/>
      <c r="F1254" s="97"/>
      <c r="G1254" s="81"/>
      <c r="H1254" s="81"/>
      <c r="I1254" s="81"/>
      <c r="J1254" s="81"/>
      <c r="K1254" s="81"/>
      <c r="L1254" s="155"/>
      <c r="M1254" s="155"/>
      <c r="N1254" s="109"/>
      <c r="O1254" s="126"/>
      <c r="P1254" s="126"/>
      <c r="Q1254" s="126"/>
      <c r="R1254" s="127"/>
      <c r="S1254" s="127"/>
      <c r="T1254" s="127"/>
      <c r="U1254" s="127"/>
    </row>
    <row r="1255" spans="1:21" ht="15" customHeight="1">
      <c r="A1255" s="125"/>
      <c r="B1255" s="125"/>
      <c r="C1255" s="125"/>
      <c r="D1255" s="81"/>
      <c r="E1255" s="81"/>
      <c r="F1255" s="97"/>
      <c r="G1255" s="81"/>
      <c r="H1255" s="81"/>
      <c r="I1255" s="81"/>
      <c r="J1255" s="81"/>
      <c r="K1255" s="81"/>
      <c r="L1255" s="155"/>
      <c r="M1255" s="155"/>
      <c r="N1255" s="109"/>
      <c r="O1255" s="126"/>
      <c r="P1255" s="126"/>
      <c r="Q1255" s="126"/>
      <c r="R1255" s="127"/>
      <c r="S1255" s="127"/>
      <c r="T1255" s="127"/>
      <c r="U1255" s="127"/>
    </row>
    <row r="1256" spans="1:21" ht="15" customHeight="1">
      <c r="A1256" s="125"/>
      <c r="B1256" s="125"/>
      <c r="C1256" s="125"/>
      <c r="D1256" s="81"/>
      <c r="E1256" s="81"/>
      <c r="F1256" s="97"/>
      <c r="G1256" s="81"/>
      <c r="H1256" s="81"/>
      <c r="I1256" s="81"/>
      <c r="J1256" s="81"/>
      <c r="K1256" s="81"/>
      <c r="L1256" s="155"/>
      <c r="M1256" s="155"/>
      <c r="N1256" s="109"/>
      <c r="O1256" s="126"/>
      <c r="P1256" s="126"/>
      <c r="Q1256" s="126"/>
      <c r="R1256" s="127"/>
      <c r="S1256" s="127"/>
      <c r="T1256" s="127"/>
      <c r="U1256" s="127"/>
    </row>
    <row r="1257" spans="1:21" ht="15" customHeight="1">
      <c r="A1257" s="125"/>
      <c r="B1257" s="125"/>
      <c r="C1257" s="125"/>
      <c r="D1257" s="81"/>
      <c r="E1257" s="81"/>
      <c r="F1257" s="97"/>
      <c r="G1257" s="81"/>
      <c r="H1257" s="81"/>
      <c r="I1257" s="81"/>
      <c r="J1257" s="81"/>
      <c r="K1257" s="81"/>
      <c r="L1257" s="155"/>
      <c r="M1257" s="155"/>
      <c r="N1257" s="109"/>
      <c r="O1257" s="126"/>
      <c r="P1257" s="126"/>
      <c r="Q1257" s="126"/>
      <c r="R1257" s="127"/>
      <c r="S1257" s="127"/>
      <c r="T1257" s="127"/>
      <c r="U1257" s="127"/>
    </row>
    <row r="1258" spans="1:21" ht="15" customHeight="1">
      <c r="A1258" s="125"/>
      <c r="B1258" s="125"/>
      <c r="C1258" s="125"/>
      <c r="D1258" s="81"/>
      <c r="E1258" s="81"/>
      <c r="F1258" s="97"/>
      <c r="G1258" s="81"/>
      <c r="H1258" s="81"/>
      <c r="I1258" s="81"/>
      <c r="J1258" s="81"/>
      <c r="K1258" s="81"/>
      <c r="L1258" s="155"/>
      <c r="M1258" s="155"/>
      <c r="N1258" s="109"/>
      <c r="O1258" s="126"/>
      <c r="P1258" s="126"/>
      <c r="Q1258" s="126"/>
      <c r="R1258" s="127"/>
      <c r="S1258" s="127"/>
      <c r="T1258" s="127"/>
      <c r="U1258" s="127"/>
    </row>
    <row r="1259" spans="1:21" ht="15" customHeight="1">
      <c r="A1259" s="125"/>
      <c r="B1259" s="125"/>
      <c r="C1259" s="125"/>
      <c r="D1259" s="81"/>
      <c r="E1259" s="81"/>
      <c r="F1259" s="97"/>
      <c r="G1259" s="81"/>
      <c r="H1259" s="81"/>
      <c r="I1259" s="81"/>
      <c r="J1259" s="81"/>
      <c r="K1259" s="81"/>
      <c r="L1259" s="155"/>
      <c r="M1259" s="155"/>
      <c r="N1259" s="109"/>
      <c r="O1259" s="126"/>
      <c r="P1259" s="126"/>
      <c r="Q1259" s="126"/>
      <c r="R1259" s="127"/>
      <c r="S1259" s="127"/>
      <c r="T1259" s="127"/>
      <c r="U1259" s="127"/>
    </row>
    <row r="1260" spans="1:21" ht="15" customHeight="1">
      <c r="A1260" s="125"/>
      <c r="B1260" s="125"/>
      <c r="C1260" s="125"/>
      <c r="D1260" s="81"/>
      <c r="E1260" s="81"/>
      <c r="F1260" s="97"/>
      <c r="G1260" s="81"/>
      <c r="H1260" s="81"/>
      <c r="I1260" s="81"/>
      <c r="J1260" s="81"/>
      <c r="K1260" s="81"/>
      <c r="L1260" s="155"/>
      <c r="M1260" s="155"/>
      <c r="N1260" s="109"/>
      <c r="O1260" s="126"/>
      <c r="P1260" s="126"/>
      <c r="Q1260" s="126"/>
      <c r="R1260" s="127"/>
      <c r="S1260" s="127"/>
      <c r="T1260" s="127"/>
      <c r="U1260" s="127"/>
    </row>
    <row r="1261" spans="1:21" ht="15" customHeight="1">
      <c r="A1261" s="125"/>
      <c r="B1261" s="125"/>
      <c r="C1261" s="125"/>
      <c r="D1261" s="81"/>
      <c r="E1261" s="81"/>
      <c r="F1261" s="97"/>
      <c r="G1261" s="81"/>
      <c r="H1261" s="81"/>
      <c r="I1261" s="81"/>
      <c r="J1261" s="81"/>
      <c r="K1261" s="81"/>
      <c r="L1261" s="155"/>
      <c r="M1261" s="155"/>
      <c r="N1261" s="109"/>
      <c r="O1261" s="126"/>
      <c r="P1261" s="126"/>
      <c r="Q1261" s="126"/>
      <c r="R1261" s="127"/>
      <c r="S1261" s="127"/>
      <c r="T1261" s="127"/>
      <c r="U1261" s="127"/>
    </row>
    <row r="1262" spans="1:21" ht="15" customHeight="1">
      <c r="A1262" s="125"/>
      <c r="B1262" s="125"/>
      <c r="C1262" s="125"/>
      <c r="D1262" s="81"/>
      <c r="E1262" s="81"/>
      <c r="F1262" s="97"/>
      <c r="G1262" s="81"/>
      <c r="H1262" s="81"/>
      <c r="I1262" s="81"/>
      <c r="J1262" s="81"/>
      <c r="K1262" s="81"/>
      <c r="L1262" s="155"/>
      <c r="M1262" s="155"/>
      <c r="N1262" s="109"/>
      <c r="O1262" s="126"/>
      <c r="P1262" s="126"/>
      <c r="Q1262" s="126"/>
      <c r="R1262" s="127"/>
      <c r="S1262" s="127"/>
      <c r="T1262" s="127"/>
      <c r="U1262" s="127"/>
    </row>
    <row r="1263" spans="1:21" ht="15" customHeight="1">
      <c r="A1263" s="125"/>
      <c r="B1263" s="125"/>
      <c r="C1263" s="125"/>
      <c r="D1263" s="81"/>
      <c r="E1263" s="81"/>
      <c r="F1263" s="97"/>
      <c r="G1263" s="81"/>
      <c r="H1263" s="81"/>
      <c r="I1263" s="81"/>
      <c r="J1263" s="81"/>
      <c r="K1263" s="81"/>
      <c r="L1263" s="155"/>
      <c r="M1263" s="155"/>
      <c r="N1263" s="109"/>
      <c r="O1263" s="126"/>
      <c r="P1263" s="126"/>
      <c r="Q1263" s="126"/>
      <c r="R1263" s="127"/>
      <c r="S1263" s="127"/>
      <c r="T1263" s="127"/>
      <c r="U1263" s="127"/>
    </row>
    <row r="1264" spans="1:21" ht="15" customHeight="1">
      <c r="A1264" s="125"/>
      <c r="B1264" s="125"/>
      <c r="C1264" s="125"/>
      <c r="D1264" s="81"/>
      <c r="E1264" s="81"/>
      <c r="F1264" s="97"/>
      <c r="G1264" s="81"/>
      <c r="H1264" s="81"/>
      <c r="I1264" s="81"/>
      <c r="J1264" s="81"/>
      <c r="K1264" s="81"/>
      <c r="L1264" s="155"/>
      <c r="M1264" s="155"/>
      <c r="N1264" s="109"/>
      <c r="O1264" s="126"/>
      <c r="P1264" s="126"/>
      <c r="Q1264" s="126"/>
      <c r="R1264" s="127"/>
      <c r="S1264" s="127"/>
      <c r="T1264" s="127"/>
      <c r="U1264" s="127"/>
    </row>
    <row r="1265" spans="1:21" ht="15" customHeight="1">
      <c r="A1265" s="125"/>
      <c r="B1265" s="125"/>
      <c r="C1265" s="125"/>
      <c r="D1265" s="81"/>
      <c r="E1265" s="81"/>
      <c r="F1265" s="97"/>
      <c r="G1265" s="81"/>
      <c r="H1265" s="81"/>
      <c r="I1265" s="81"/>
      <c r="J1265" s="81"/>
      <c r="K1265" s="81"/>
      <c r="L1265" s="155"/>
      <c r="M1265" s="155"/>
      <c r="N1265" s="109"/>
      <c r="O1265" s="126"/>
      <c r="P1265" s="126"/>
      <c r="Q1265" s="126"/>
      <c r="R1265" s="127"/>
      <c r="S1265" s="127"/>
      <c r="T1265" s="127"/>
      <c r="U1265" s="127"/>
    </row>
    <row r="1266" spans="1:21" ht="15" customHeight="1">
      <c r="A1266" s="125"/>
      <c r="B1266" s="125"/>
      <c r="C1266" s="125"/>
      <c r="D1266" s="81"/>
      <c r="E1266" s="81"/>
      <c r="F1266" s="97"/>
      <c r="G1266" s="81"/>
      <c r="H1266" s="81"/>
      <c r="I1266" s="81"/>
      <c r="J1266" s="81"/>
      <c r="K1266" s="81"/>
      <c r="L1266" s="155"/>
      <c r="M1266" s="155"/>
      <c r="N1266" s="109"/>
      <c r="O1266" s="126"/>
      <c r="P1266" s="126"/>
      <c r="Q1266" s="126"/>
      <c r="R1266" s="127"/>
      <c r="S1266" s="127"/>
      <c r="T1266" s="127"/>
      <c r="U1266" s="127"/>
    </row>
    <row r="1267" spans="1:21" ht="15" customHeight="1">
      <c r="A1267" s="125"/>
      <c r="B1267" s="125"/>
      <c r="C1267" s="125"/>
      <c r="D1267" s="81"/>
      <c r="E1267" s="81"/>
      <c r="F1267" s="97"/>
      <c r="G1267" s="81"/>
      <c r="H1267" s="81"/>
      <c r="I1267" s="81"/>
      <c r="J1267" s="81"/>
      <c r="K1267" s="81"/>
      <c r="L1267" s="155"/>
      <c r="M1267" s="155"/>
      <c r="N1267" s="109"/>
      <c r="O1267" s="126"/>
      <c r="P1267" s="126"/>
      <c r="Q1267" s="126"/>
      <c r="R1267" s="127"/>
      <c r="S1267" s="127"/>
      <c r="T1267" s="127"/>
      <c r="U1267" s="127"/>
    </row>
    <row r="1268" spans="1:21" ht="15" customHeight="1">
      <c r="A1268" s="125"/>
      <c r="B1268" s="125"/>
      <c r="C1268" s="125"/>
      <c r="D1268" s="81"/>
      <c r="E1268" s="81"/>
      <c r="F1268" s="97"/>
      <c r="G1268" s="81"/>
      <c r="H1268" s="81"/>
      <c r="I1268" s="81"/>
      <c r="J1268" s="81"/>
      <c r="K1268" s="81"/>
      <c r="L1268" s="155"/>
      <c r="M1268" s="155"/>
      <c r="N1268" s="109"/>
      <c r="O1268" s="126"/>
      <c r="P1268" s="126"/>
      <c r="Q1268" s="126"/>
      <c r="R1268" s="127"/>
      <c r="S1268" s="127"/>
      <c r="T1268" s="127"/>
      <c r="U1268" s="127"/>
    </row>
    <row r="1269" spans="1:21" ht="15" customHeight="1">
      <c r="A1269" s="125"/>
      <c r="B1269" s="125"/>
      <c r="C1269" s="125"/>
      <c r="D1269" s="81"/>
      <c r="E1269" s="81"/>
      <c r="F1269" s="97"/>
      <c r="G1269" s="81"/>
      <c r="H1269" s="81"/>
      <c r="I1269" s="81"/>
      <c r="J1269" s="81"/>
      <c r="K1269" s="81"/>
      <c r="L1269" s="155"/>
      <c r="M1269" s="155"/>
      <c r="N1269" s="109"/>
      <c r="O1269" s="126"/>
      <c r="P1269" s="126"/>
      <c r="Q1269" s="126"/>
      <c r="R1269" s="127"/>
      <c r="S1269" s="127"/>
      <c r="T1269" s="127"/>
      <c r="U1269" s="127"/>
    </row>
    <row r="1270" spans="1:21" ht="15" customHeight="1">
      <c r="A1270" s="125"/>
      <c r="B1270" s="125"/>
      <c r="C1270" s="125"/>
      <c r="D1270" s="81"/>
      <c r="E1270" s="81"/>
      <c r="F1270" s="97"/>
      <c r="G1270" s="81"/>
      <c r="H1270" s="81"/>
      <c r="I1270" s="81"/>
      <c r="J1270" s="81"/>
      <c r="K1270" s="81"/>
      <c r="L1270" s="155"/>
      <c r="M1270" s="155"/>
      <c r="N1270" s="109"/>
      <c r="O1270" s="126"/>
      <c r="P1270" s="126"/>
      <c r="Q1270" s="126"/>
      <c r="R1270" s="127"/>
      <c r="S1270" s="127"/>
      <c r="T1270" s="127"/>
      <c r="U1270" s="127"/>
    </row>
    <row r="1271" spans="1:21" ht="15" customHeight="1">
      <c r="A1271" s="125"/>
      <c r="B1271" s="125"/>
      <c r="C1271" s="125"/>
      <c r="D1271" s="81"/>
      <c r="E1271" s="81"/>
      <c r="F1271" s="97"/>
      <c r="G1271" s="81"/>
      <c r="H1271" s="81"/>
      <c r="I1271" s="81"/>
      <c r="J1271" s="81"/>
      <c r="K1271" s="81"/>
      <c r="L1271" s="155"/>
      <c r="M1271" s="155"/>
      <c r="N1271" s="109"/>
      <c r="O1271" s="126"/>
      <c r="P1271" s="126"/>
      <c r="Q1271" s="126"/>
      <c r="R1271" s="127"/>
      <c r="S1271" s="127"/>
      <c r="T1271" s="127"/>
      <c r="U1271" s="127"/>
    </row>
    <row r="1272" spans="1:21" ht="15" customHeight="1">
      <c r="A1272" s="125"/>
      <c r="B1272" s="125"/>
      <c r="C1272" s="125"/>
      <c r="D1272" s="81"/>
      <c r="E1272" s="81"/>
      <c r="F1272" s="97"/>
      <c r="G1272" s="81"/>
      <c r="H1272" s="81"/>
      <c r="I1272" s="81"/>
      <c r="J1272" s="81"/>
      <c r="K1272" s="81"/>
      <c r="L1272" s="155"/>
      <c r="M1272" s="155"/>
      <c r="N1272" s="109"/>
      <c r="O1272" s="126"/>
      <c r="P1272" s="126"/>
      <c r="Q1272" s="126"/>
      <c r="R1272" s="127"/>
      <c r="S1272" s="127"/>
      <c r="T1272" s="127"/>
      <c r="U1272" s="127"/>
    </row>
    <row r="1273" spans="1:21" ht="15" customHeight="1">
      <c r="A1273" s="125"/>
      <c r="B1273" s="125"/>
      <c r="C1273" s="125"/>
      <c r="D1273" s="81"/>
      <c r="E1273" s="81"/>
      <c r="F1273" s="97"/>
      <c r="G1273" s="81"/>
      <c r="H1273" s="81"/>
      <c r="I1273" s="81"/>
      <c r="J1273" s="81"/>
      <c r="K1273" s="81"/>
      <c r="L1273" s="155"/>
      <c r="M1273" s="155"/>
      <c r="N1273" s="109"/>
      <c r="O1273" s="126"/>
      <c r="P1273" s="126"/>
      <c r="Q1273" s="126"/>
      <c r="R1273" s="127"/>
      <c r="S1273" s="127"/>
      <c r="T1273" s="127"/>
      <c r="U1273" s="127"/>
    </row>
    <row r="1274" spans="1:21" ht="15" customHeight="1">
      <c r="A1274" s="125"/>
      <c r="B1274" s="125"/>
      <c r="C1274" s="125"/>
      <c r="D1274" s="81"/>
      <c r="E1274" s="81"/>
      <c r="F1274" s="97"/>
      <c r="G1274" s="81"/>
      <c r="H1274" s="81"/>
      <c r="I1274" s="81"/>
      <c r="J1274" s="81"/>
      <c r="K1274" s="81"/>
      <c r="L1274" s="155"/>
      <c r="M1274" s="155"/>
      <c r="N1274" s="109"/>
      <c r="O1274" s="126"/>
      <c r="P1274" s="126"/>
      <c r="Q1274" s="126"/>
      <c r="R1274" s="127"/>
      <c r="S1274" s="127"/>
      <c r="T1274" s="127"/>
      <c r="U1274" s="127"/>
    </row>
    <row r="1275" spans="1:21" ht="15" customHeight="1">
      <c r="A1275" s="125"/>
      <c r="B1275" s="125"/>
      <c r="C1275" s="125"/>
      <c r="D1275" s="81"/>
      <c r="E1275" s="81"/>
      <c r="F1275" s="97"/>
      <c r="G1275" s="81"/>
      <c r="H1275" s="81"/>
      <c r="I1275" s="81"/>
      <c r="J1275" s="81"/>
      <c r="K1275" s="81"/>
      <c r="L1275" s="155"/>
      <c r="M1275" s="155"/>
      <c r="N1275" s="109"/>
      <c r="O1275" s="126"/>
      <c r="P1275" s="126"/>
      <c r="Q1275" s="126"/>
      <c r="R1275" s="127"/>
      <c r="S1275" s="127"/>
      <c r="T1275" s="127"/>
      <c r="U1275" s="127"/>
    </row>
    <row r="1276" spans="1:21" ht="15" customHeight="1">
      <c r="A1276" s="125"/>
      <c r="B1276" s="125"/>
      <c r="C1276" s="125"/>
      <c r="D1276" s="81"/>
      <c r="E1276" s="81"/>
      <c r="F1276" s="97"/>
      <c r="G1276" s="81"/>
      <c r="H1276" s="81"/>
      <c r="I1276" s="81"/>
      <c r="J1276" s="81"/>
      <c r="K1276" s="81"/>
      <c r="L1276" s="155"/>
      <c r="M1276" s="155"/>
      <c r="N1276" s="109"/>
      <c r="O1276" s="126"/>
      <c r="P1276" s="126"/>
      <c r="Q1276" s="126"/>
      <c r="R1276" s="127"/>
      <c r="S1276" s="127"/>
      <c r="T1276" s="127"/>
      <c r="U1276" s="127"/>
    </row>
    <row r="1277" spans="1:21" ht="15" customHeight="1">
      <c r="A1277" s="125"/>
      <c r="B1277" s="125"/>
      <c r="C1277" s="125"/>
      <c r="D1277" s="81"/>
      <c r="E1277" s="81"/>
      <c r="F1277" s="97"/>
      <c r="G1277" s="81"/>
      <c r="H1277" s="81"/>
      <c r="I1277" s="81"/>
      <c r="J1277" s="81"/>
      <c r="K1277" s="81"/>
      <c r="L1277" s="155"/>
      <c r="M1277" s="155"/>
      <c r="N1277" s="109"/>
      <c r="O1277" s="126"/>
      <c r="P1277" s="126"/>
      <c r="Q1277" s="126"/>
      <c r="R1277" s="127"/>
      <c r="S1277" s="127"/>
      <c r="T1277" s="127"/>
      <c r="U1277" s="127"/>
    </row>
    <row r="1278" spans="1:21" ht="15" customHeight="1">
      <c r="A1278" s="125"/>
      <c r="B1278" s="125"/>
      <c r="C1278" s="125"/>
      <c r="D1278" s="81"/>
      <c r="E1278" s="81"/>
      <c r="F1278" s="97"/>
      <c r="G1278" s="81"/>
      <c r="H1278" s="81"/>
      <c r="I1278" s="81"/>
      <c r="J1278" s="81"/>
      <c r="K1278" s="81"/>
      <c r="L1278" s="155"/>
      <c r="M1278" s="155"/>
      <c r="N1278" s="109"/>
      <c r="O1278" s="126"/>
      <c r="P1278" s="126"/>
      <c r="Q1278" s="126"/>
      <c r="R1278" s="127"/>
      <c r="S1278" s="127"/>
      <c r="T1278" s="127"/>
      <c r="U1278" s="127"/>
    </row>
    <row r="1279" spans="1:21" ht="15" customHeight="1">
      <c r="A1279" s="125"/>
      <c r="B1279" s="125"/>
      <c r="C1279" s="125"/>
      <c r="D1279" s="81"/>
      <c r="E1279" s="81"/>
      <c r="F1279" s="97"/>
      <c r="G1279" s="81"/>
      <c r="H1279" s="81"/>
      <c r="I1279" s="81"/>
      <c r="J1279" s="81"/>
      <c r="K1279" s="81"/>
      <c r="L1279" s="155"/>
      <c r="M1279" s="155"/>
      <c r="N1279" s="109"/>
      <c r="O1279" s="126"/>
      <c r="P1279" s="126"/>
      <c r="Q1279" s="126"/>
      <c r="R1279" s="127"/>
      <c r="S1279" s="127"/>
      <c r="T1279" s="127"/>
      <c r="U1279" s="127"/>
    </row>
    <row r="1280" spans="1:21" ht="15" customHeight="1">
      <c r="A1280" s="125"/>
      <c r="B1280" s="125"/>
      <c r="C1280" s="125"/>
      <c r="D1280" s="81"/>
      <c r="E1280" s="81"/>
      <c r="F1280" s="97"/>
      <c r="G1280" s="81"/>
      <c r="H1280" s="81"/>
      <c r="I1280" s="81"/>
      <c r="J1280" s="81"/>
      <c r="K1280" s="81"/>
      <c r="L1280" s="155"/>
      <c r="M1280" s="155"/>
      <c r="N1280" s="109"/>
      <c r="O1280" s="126"/>
      <c r="P1280" s="126"/>
      <c r="Q1280" s="126"/>
      <c r="R1280" s="127"/>
      <c r="S1280" s="127"/>
      <c r="T1280" s="127"/>
      <c r="U1280" s="127"/>
    </row>
    <row r="1281" spans="1:21" ht="15" customHeight="1">
      <c r="A1281" s="125"/>
      <c r="B1281" s="125"/>
      <c r="C1281" s="125"/>
      <c r="D1281" s="81"/>
      <c r="E1281" s="81"/>
      <c r="F1281" s="97"/>
      <c r="G1281" s="81"/>
      <c r="H1281" s="81"/>
      <c r="I1281" s="81"/>
      <c r="J1281" s="81"/>
      <c r="K1281" s="81"/>
      <c r="L1281" s="155"/>
      <c r="M1281" s="155"/>
      <c r="N1281" s="109"/>
      <c r="O1281" s="126"/>
      <c r="P1281" s="126"/>
      <c r="Q1281" s="126"/>
      <c r="R1281" s="127"/>
      <c r="S1281" s="127"/>
      <c r="T1281" s="127"/>
      <c r="U1281" s="127"/>
    </row>
    <row r="1282" spans="1:21" ht="15" customHeight="1">
      <c r="A1282" s="125"/>
      <c r="B1282" s="125"/>
      <c r="C1282" s="125"/>
      <c r="D1282" s="81"/>
      <c r="E1282" s="81"/>
      <c r="F1282" s="97"/>
      <c r="G1282" s="81"/>
      <c r="H1282" s="81"/>
      <c r="I1282" s="81"/>
      <c r="J1282" s="81"/>
      <c r="K1282" s="81"/>
      <c r="L1282" s="155"/>
      <c r="M1282" s="155"/>
      <c r="N1282" s="109"/>
      <c r="O1282" s="126"/>
      <c r="P1282" s="126"/>
      <c r="Q1282" s="126"/>
      <c r="R1282" s="127"/>
      <c r="S1282" s="127"/>
      <c r="T1282" s="127"/>
      <c r="U1282" s="127"/>
    </row>
    <row r="1283" spans="1:21" ht="15" customHeight="1">
      <c r="A1283" s="125"/>
      <c r="B1283" s="125"/>
      <c r="C1283" s="125"/>
      <c r="D1283" s="81"/>
      <c r="E1283" s="81"/>
      <c r="F1283" s="97"/>
      <c r="G1283" s="81"/>
      <c r="H1283" s="81"/>
      <c r="I1283" s="81"/>
      <c r="J1283" s="81"/>
      <c r="K1283" s="81"/>
      <c r="L1283" s="155"/>
      <c r="M1283" s="155"/>
      <c r="N1283" s="109"/>
      <c r="O1283" s="126"/>
      <c r="P1283" s="126"/>
      <c r="Q1283" s="126"/>
      <c r="R1283" s="127"/>
      <c r="S1283" s="127"/>
      <c r="T1283" s="127"/>
      <c r="U1283" s="127"/>
    </row>
    <row r="1284" spans="1:21" ht="15" customHeight="1">
      <c r="A1284" s="125"/>
      <c r="B1284" s="125"/>
      <c r="C1284" s="125"/>
      <c r="D1284" s="81"/>
      <c r="E1284" s="81"/>
      <c r="F1284" s="97"/>
      <c r="G1284" s="81"/>
      <c r="H1284" s="81"/>
      <c r="I1284" s="81"/>
      <c r="J1284" s="81"/>
      <c r="K1284" s="81"/>
      <c r="L1284" s="155"/>
      <c r="M1284" s="155"/>
      <c r="N1284" s="109"/>
      <c r="O1284" s="126"/>
      <c r="P1284" s="126"/>
      <c r="Q1284" s="126"/>
      <c r="R1284" s="127"/>
      <c r="S1284" s="127"/>
      <c r="T1284" s="127"/>
      <c r="U1284" s="127"/>
    </row>
    <row r="1285" spans="1:21" ht="15" customHeight="1">
      <c r="A1285" s="125"/>
      <c r="B1285" s="125"/>
      <c r="C1285" s="125"/>
      <c r="D1285" s="81"/>
      <c r="E1285" s="81"/>
      <c r="F1285" s="97"/>
      <c r="G1285" s="81"/>
      <c r="H1285" s="81"/>
      <c r="I1285" s="81"/>
      <c r="J1285" s="81"/>
      <c r="K1285" s="81"/>
      <c r="L1285" s="155"/>
      <c r="M1285" s="155"/>
      <c r="N1285" s="109"/>
      <c r="O1285" s="126"/>
      <c r="P1285" s="126"/>
      <c r="Q1285" s="126"/>
      <c r="R1285" s="127"/>
      <c r="S1285" s="127"/>
      <c r="T1285" s="127"/>
      <c r="U1285" s="127"/>
    </row>
    <row r="1286" spans="1:21" ht="15" customHeight="1">
      <c r="A1286" s="125"/>
      <c r="B1286" s="125"/>
      <c r="C1286" s="125"/>
      <c r="D1286" s="81"/>
      <c r="E1286" s="81"/>
      <c r="F1286" s="97"/>
      <c r="G1286" s="81"/>
      <c r="H1286" s="81"/>
      <c r="I1286" s="81"/>
      <c r="J1286" s="81"/>
      <c r="K1286" s="81"/>
      <c r="L1286" s="155"/>
      <c r="M1286" s="155"/>
      <c r="N1286" s="109"/>
      <c r="O1286" s="126"/>
      <c r="P1286" s="126"/>
      <c r="Q1286" s="126"/>
      <c r="R1286" s="127"/>
      <c r="S1286" s="127"/>
      <c r="T1286" s="127"/>
      <c r="U1286" s="127"/>
    </row>
    <row r="1287" spans="1:21" ht="15" customHeight="1">
      <c r="A1287" s="125"/>
      <c r="B1287" s="125"/>
      <c r="C1287" s="125"/>
      <c r="D1287" s="81"/>
      <c r="E1287" s="81"/>
      <c r="F1287" s="97"/>
      <c r="G1287" s="81"/>
      <c r="H1287" s="81"/>
      <c r="I1287" s="81"/>
      <c r="J1287" s="81"/>
      <c r="K1287" s="81"/>
      <c r="L1287" s="155"/>
      <c r="M1287" s="155"/>
      <c r="N1287" s="109"/>
      <c r="O1287" s="126"/>
      <c r="P1287" s="126"/>
      <c r="Q1287" s="126"/>
      <c r="R1287" s="127"/>
      <c r="S1287" s="127"/>
      <c r="T1287" s="127"/>
      <c r="U1287" s="127"/>
    </row>
    <row r="1288" spans="1:21" ht="15" customHeight="1">
      <c r="A1288" s="125"/>
      <c r="B1288" s="125"/>
      <c r="C1288" s="125"/>
      <c r="D1288" s="81"/>
      <c r="E1288" s="81"/>
      <c r="F1288" s="97"/>
      <c r="G1288" s="81"/>
      <c r="H1288" s="81"/>
      <c r="I1288" s="81"/>
      <c r="J1288" s="81"/>
      <c r="K1288" s="81"/>
      <c r="L1288" s="155"/>
      <c r="M1288" s="155"/>
      <c r="N1288" s="109"/>
      <c r="O1288" s="126"/>
      <c r="P1288" s="126"/>
      <c r="Q1288" s="126"/>
      <c r="R1288" s="127"/>
      <c r="S1288" s="127"/>
      <c r="T1288" s="127"/>
      <c r="U1288" s="127"/>
    </row>
    <row r="1289" spans="1:21" ht="15" customHeight="1">
      <c r="A1289" s="125"/>
      <c r="B1289" s="125"/>
      <c r="C1289" s="125"/>
      <c r="D1289" s="81"/>
      <c r="E1289" s="81"/>
      <c r="F1289" s="97"/>
      <c r="G1289" s="81"/>
      <c r="H1289" s="81"/>
      <c r="I1289" s="81"/>
      <c r="J1289" s="81"/>
      <c r="K1289" s="81"/>
      <c r="L1289" s="155"/>
      <c r="M1289" s="155"/>
      <c r="N1289" s="109"/>
      <c r="O1289" s="126"/>
      <c r="P1289" s="126"/>
      <c r="Q1289" s="126"/>
      <c r="R1289" s="127"/>
      <c r="S1289" s="127"/>
      <c r="T1289" s="127"/>
      <c r="U1289" s="127"/>
    </row>
    <row r="1290" spans="1:21" ht="15" customHeight="1">
      <c r="A1290" s="125"/>
      <c r="B1290" s="125"/>
      <c r="C1290" s="125"/>
      <c r="D1290" s="81"/>
      <c r="E1290" s="81"/>
      <c r="F1290" s="97"/>
      <c r="G1290" s="81"/>
      <c r="H1290" s="81"/>
      <c r="I1290" s="81"/>
      <c r="J1290" s="81"/>
      <c r="K1290" s="81"/>
      <c r="L1290" s="155"/>
      <c r="M1290" s="155"/>
      <c r="N1290" s="109"/>
      <c r="O1290" s="126"/>
      <c r="P1290" s="126"/>
      <c r="Q1290" s="126"/>
      <c r="R1290" s="127"/>
      <c r="S1290" s="127"/>
      <c r="T1290" s="127"/>
      <c r="U1290" s="127"/>
    </row>
    <row r="1291" spans="1:21" ht="15" customHeight="1">
      <c r="A1291" s="125"/>
      <c r="B1291" s="125"/>
      <c r="C1291" s="125"/>
      <c r="D1291" s="81"/>
      <c r="E1291" s="81"/>
      <c r="F1291" s="97"/>
      <c r="G1291" s="81"/>
      <c r="H1291" s="81"/>
      <c r="I1291" s="81"/>
      <c r="J1291" s="81"/>
      <c r="K1291" s="81"/>
      <c r="L1291" s="155"/>
      <c r="M1291" s="155"/>
      <c r="N1291" s="109"/>
      <c r="O1291" s="126"/>
      <c r="P1291" s="126"/>
      <c r="Q1291" s="126"/>
      <c r="R1291" s="127"/>
      <c r="S1291" s="127"/>
      <c r="T1291" s="127"/>
      <c r="U1291" s="127"/>
    </row>
    <row r="1292" spans="1:21" ht="15" customHeight="1">
      <c r="A1292" s="125"/>
      <c r="B1292" s="125"/>
      <c r="C1292" s="125"/>
      <c r="D1292" s="81"/>
      <c r="E1292" s="81"/>
      <c r="F1292" s="97"/>
      <c r="G1292" s="81"/>
      <c r="H1292" s="81"/>
      <c r="I1292" s="81"/>
      <c r="J1292" s="81"/>
      <c r="K1292" s="81"/>
      <c r="L1292" s="155"/>
      <c r="M1292" s="155"/>
      <c r="N1292" s="109"/>
      <c r="O1292" s="126"/>
      <c r="P1292" s="126"/>
      <c r="Q1292" s="126"/>
      <c r="R1292" s="127"/>
      <c r="S1292" s="127"/>
      <c r="T1292" s="127"/>
      <c r="U1292" s="127"/>
    </row>
    <row r="1293" spans="1:21" ht="15" customHeight="1">
      <c r="A1293" s="125"/>
      <c r="B1293" s="125"/>
      <c r="C1293" s="125"/>
      <c r="D1293" s="81"/>
      <c r="E1293" s="81"/>
      <c r="F1293" s="97"/>
      <c r="G1293" s="81"/>
      <c r="H1293" s="81"/>
      <c r="I1293" s="81"/>
      <c r="J1293" s="81"/>
      <c r="K1293" s="81"/>
      <c r="L1293" s="155"/>
      <c r="M1293" s="155"/>
      <c r="N1293" s="109"/>
      <c r="O1293" s="126"/>
      <c r="P1293" s="126"/>
      <c r="Q1293" s="126"/>
      <c r="R1293" s="127"/>
      <c r="S1293" s="127"/>
      <c r="T1293" s="127"/>
      <c r="U1293" s="127"/>
    </row>
    <row r="1294" spans="1:21" ht="15" customHeight="1">
      <c r="A1294" s="125"/>
      <c r="B1294" s="125"/>
      <c r="C1294" s="125"/>
      <c r="D1294" s="81"/>
      <c r="E1294" s="81"/>
      <c r="F1294" s="97"/>
      <c r="G1294" s="81"/>
      <c r="H1294" s="81"/>
      <c r="I1294" s="81"/>
      <c r="J1294" s="81"/>
      <c r="K1294" s="81"/>
      <c r="L1294" s="155"/>
      <c r="M1294" s="155"/>
      <c r="N1294" s="109"/>
      <c r="O1294" s="126"/>
      <c r="P1294" s="126"/>
      <c r="Q1294" s="126"/>
      <c r="R1294" s="127"/>
      <c r="S1294" s="127"/>
      <c r="T1294" s="127"/>
      <c r="U1294" s="127"/>
    </row>
    <row r="1295" spans="1:21" ht="15" customHeight="1">
      <c r="A1295" s="125"/>
      <c r="B1295" s="125"/>
      <c r="C1295" s="125"/>
      <c r="D1295" s="81"/>
      <c r="E1295" s="81"/>
      <c r="F1295" s="97"/>
      <c r="G1295" s="81"/>
      <c r="H1295" s="81"/>
      <c r="I1295" s="81"/>
      <c r="J1295" s="81"/>
      <c r="K1295" s="81"/>
      <c r="L1295" s="155"/>
      <c r="M1295" s="155"/>
      <c r="N1295" s="109"/>
      <c r="O1295" s="126"/>
      <c r="P1295" s="126"/>
      <c r="Q1295" s="126"/>
      <c r="R1295" s="127"/>
      <c r="S1295" s="127"/>
      <c r="T1295" s="127"/>
      <c r="U1295" s="127"/>
    </row>
    <row r="1296" spans="1:21" ht="15" customHeight="1">
      <c r="A1296" s="125"/>
      <c r="B1296" s="125"/>
      <c r="C1296" s="125"/>
      <c r="D1296" s="81"/>
      <c r="E1296" s="81"/>
      <c r="F1296" s="97"/>
      <c r="G1296" s="81"/>
      <c r="H1296" s="81"/>
      <c r="I1296" s="81"/>
      <c r="J1296" s="81"/>
      <c r="K1296" s="81"/>
      <c r="L1296" s="155"/>
      <c r="M1296" s="155"/>
      <c r="N1296" s="109"/>
      <c r="O1296" s="126"/>
      <c r="P1296" s="126"/>
      <c r="Q1296" s="126"/>
      <c r="R1296" s="127"/>
      <c r="S1296" s="127"/>
      <c r="T1296" s="127"/>
      <c r="U1296" s="127"/>
    </row>
    <row r="1297" spans="1:21" ht="15" customHeight="1">
      <c r="A1297" s="125"/>
      <c r="B1297" s="125"/>
      <c r="C1297" s="125"/>
      <c r="D1297" s="81"/>
      <c r="E1297" s="81"/>
      <c r="F1297" s="97"/>
      <c r="G1297" s="81"/>
      <c r="H1297" s="81"/>
      <c r="I1297" s="81"/>
      <c r="J1297" s="81"/>
      <c r="K1297" s="81"/>
      <c r="L1297" s="155"/>
      <c r="M1297" s="155"/>
      <c r="N1297" s="109"/>
      <c r="O1297" s="126"/>
      <c r="P1297" s="126"/>
      <c r="Q1297" s="126"/>
      <c r="R1297" s="127"/>
      <c r="S1297" s="127"/>
      <c r="T1297" s="127"/>
      <c r="U1297" s="127"/>
    </row>
    <row r="1298" spans="1:21" ht="15" customHeight="1">
      <c r="A1298" s="125"/>
      <c r="B1298" s="125"/>
      <c r="C1298" s="125"/>
      <c r="D1298" s="81"/>
      <c r="E1298" s="81"/>
      <c r="F1298" s="97"/>
      <c r="G1298" s="81"/>
      <c r="H1298" s="81"/>
      <c r="I1298" s="81"/>
      <c r="J1298" s="81"/>
      <c r="K1298" s="81"/>
      <c r="L1298" s="155"/>
      <c r="M1298" s="155"/>
      <c r="N1298" s="109"/>
      <c r="O1298" s="126"/>
      <c r="P1298" s="126"/>
      <c r="Q1298" s="126"/>
      <c r="R1298" s="127"/>
      <c r="S1298" s="127"/>
      <c r="T1298" s="127"/>
      <c r="U1298" s="127"/>
    </row>
    <row r="1299" spans="1:21" ht="15" customHeight="1">
      <c r="A1299" s="125"/>
      <c r="B1299" s="125"/>
      <c r="C1299" s="125"/>
      <c r="D1299" s="81"/>
      <c r="E1299" s="81"/>
      <c r="F1299" s="97"/>
      <c r="G1299" s="81"/>
      <c r="H1299" s="81"/>
      <c r="I1299" s="81"/>
      <c r="J1299" s="81"/>
      <c r="K1299" s="81"/>
      <c r="L1299" s="155"/>
      <c r="M1299" s="155"/>
      <c r="N1299" s="109"/>
      <c r="O1299" s="126"/>
      <c r="P1299" s="126"/>
      <c r="Q1299" s="126"/>
      <c r="R1299" s="127"/>
      <c r="S1299" s="127"/>
      <c r="T1299" s="127"/>
      <c r="U1299" s="127"/>
    </row>
    <row r="1300" spans="1:21" ht="15" customHeight="1">
      <c r="A1300" s="125"/>
      <c r="B1300" s="125"/>
      <c r="C1300" s="125"/>
      <c r="D1300" s="81"/>
      <c r="E1300" s="81"/>
      <c r="F1300" s="97"/>
      <c r="G1300" s="81"/>
      <c r="H1300" s="81"/>
      <c r="I1300" s="81"/>
      <c r="J1300" s="81"/>
      <c r="K1300" s="81"/>
      <c r="L1300" s="155"/>
      <c r="M1300" s="155"/>
      <c r="N1300" s="109"/>
      <c r="O1300" s="126"/>
      <c r="P1300" s="126"/>
      <c r="Q1300" s="126"/>
      <c r="R1300" s="127"/>
      <c r="S1300" s="127"/>
      <c r="T1300" s="127"/>
      <c r="U1300" s="127"/>
    </row>
    <row r="1301" spans="1:21" ht="15" customHeight="1">
      <c r="A1301" s="125"/>
      <c r="B1301" s="125"/>
      <c r="C1301" s="125"/>
      <c r="D1301" s="81"/>
      <c r="E1301" s="81"/>
      <c r="F1301" s="97"/>
      <c r="G1301" s="81"/>
      <c r="H1301" s="81"/>
      <c r="I1301" s="81"/>
      <c r="J1301" s="81"/>
      <c r="K1301" s="81"/>
      <c r="L1301" s="155"/>
      <c r="M1301" s="155"/>
      <c r="N1301" s="109"/>
      <c r="O1301" s="126"/>
      <c r="P1301" s="126"/>
      <c r="Q1301" s="126"/>
      <c r="R1301" s="127"/>
      <c r="S1301" s="127"/>
      <c r="T1301" s="127"/>
      <c r="U1301" s="127"/>
    </row>
    <row r="1302" spans="1:21" ht="15" customHeight="1">
      <c r="A1302" s="125"/>
      <c r="B1302" s="125"/>
      <c r="C1302" s="125"/>
      <c r="D1302" s="81"/>
      <c r="E1302" s="81"/>
      <c r="F1302" s="97"/>
      <c r="G1302" s="81"/>
      <c r="H1302" s="81"/>
      <c r="I1302" s="81"/>
      <c r="J1302" s="81"/>
      <c r="K1302" s="81"/>
      <c r="L1302" s="155"/>
      <c r="M1302" s="155"/>
      <c r="N1302" s="109"/>
      <c r="O1302" s="126"/>
      <c r="P1302" s="126"/>
      <c r="Q1302" s="126"/>
      <c r="R1302" s="127"/>
      <c r="S1302" s="127"/>
      <c r="T1302" s="127"/>
      <c r="U1302" s="127"/>
    </row>
    <row r="1303" spans="1:21" ht="15" customHeight="1">
      <c r="A1303" s="125"/>
      <c r="B1303" s="125"/>
      <c r="C1303" s="125"/>
      <c r="D1303" s="81"/>
      <c r="E1303" s="81"/>
      <c r="F1303" s="97"/>
      <c r="G1303" s="81"/>
      <c r="H1303" s="81"/>
      <c r="I1303" s="81"/>
      <c r="J1303" s="81"/>
      <c r="K1303" s="81"/>
      <c r="L1303" s="155"/>
      <c r="M1303" s="155"/>
      <c r="N1303" s="109"/>
      <c r="O1303" s="126"/>
      <c r="P1303" s="126"/>
      <c r="Q1303" s="126"/>
      <c r="R1303" s="127"/>
      <c r="S1303" s="127"/>
      <c r="T1303" s="127"/>
      <c r="U1303" s="127"/>
    </row>
    <row r="1304" spans="1:21" ht="15" customHeight="1">
      <c r="A1304" s="125"/>
      <c r="B1304" s="125"/>
      <c r="C1304" s="125"/>
      <c r="D1304" s="81"/>
      <c r="E1304" s="81"/>
      <c r="F1304" s="97"/>
      <c r="G1304" s="81"/>
      <c r="H1304" s="81"/>
      <c r="I1304" s="81"/>
      <c r="J1304" s="81"/>
      <c r="K1304" s="81"/>
      <c r="L1304" s="155"/>
      <c r="M1304" s="155"/>
      <c r="N1304" s="109"/>
      <c r="O1304" s="126"/>
      <c r="P1304" s="126"/>
      <c r="Q1304" s="126"/>
      <c r="R1304" s="127"/>
      <c r="S1304" s="127"/>
      <c r="T1304" s="127"/>
      <c r="U1304" s="127"/>
    </row>
    <row r="1305" spans="1:21" ht="15" customHeight="1">
      <c r="A1305" s="125"/>
      <c r="B1305" s="125"/>
      <c r="C1305" s="125"/>
      <c r="D1305" s="81"/>
      <c r="E1305" s="81"/>
      <c r="F1305" s="97"/>
      <c r="G1305" s="81"/>
      <c r="H1305" s="81"/>
      <c r="I1305" s="81"/>
      <c r="J1305" s="81"/>
      <c r="K1305" s="81"/>
      <c r="L1305" s="155"/>
      <c r="M1305" s="155"/>
      <c r="N1305" s="109"/>
      <c r="O1305" s="126"/>
      <c r="P1305" s="126"/>
      <c r="Q1305" s="126"/>
      <c r="R1305" s="127"/>
      <c r="S1305" s="127"/>
      <c r="T1305" s="127"/>
      <c r="U1305" s="127"/>
    </row>
    <row r="1306" spans="1:21" ht="15" customHeight="1">
      <c r="A1306" s="125"/>
      <c r="B1306" s="125"/>
      <c r="C1306" s="125"/>
      <c r="D1306" s="81"/>
      <c r="E1306" s="81"/>
      <c r="F1306" s="97"/>
      <c r="G1306" s="81"/>
      <c r="H1306" s="81"/>
      <c r="I1306" s="81"/>
      <c r="J1306" s="81"/>
      <c r="K1306" s="81"/>
      <c r="L1306" s="155"/>
      <c r="M1306" s="155"/>
      <c r="N1306" s="109"/>
      <c r="O1306" s="126"/>
      <c r="P1306" s="126"/>
      <c r="Q1306" s="126"/>
      <c r="R1306" s="127"/>
      <c r="S1306" s="127"/>
      <c r="T1306" s="127"/>
      <c r="U1306" s="127"/>
    </row>
    <row r="1307" spans="1:21" ht="15" customHeight="1">
      <c r="A1307" s="125"/>
      <c r="B1307" s="125"/>
      <c r="C1307" s="125"/>
      <c r="D1307" s="81"/>
      <c r="E1307" s="81"/>
      <c r="F1307" s="97"/>
      <c r="G1307" s="81"/>
      <c r="H1307" s="81"/>
      <c r="I1307" s="81"/>
      <c r="J1307" s="81"/>
      <c r="K1307" s="81"/>
      <c r="L1307" s="155"/>
      <c r="M1307" s="155"/>
      <c r="N1307" s="109"/>
      <c r="O1307" s="126"/>
      <c r="P1307" s="126"/>
      <c r="Q1307" s="126"/>
      <c r="R1307" s="127"/>
      <c r="S1307" s="127"/>
      <c r="T1307" s="127"/>
      <c r="U1307" s="127"/>
    </row>
    <row r="1308" spans="1:21" ht="15" customHeight="1">
      <c r="A1308" s="125"/>
      <c r="B1308" s="125"/>
      <c r="C1308" s="125"/>
      <c r="D1308" s="81"/>
      <c r="E1308" s="81"/>
      <c r="F1308" s="97"/>
      <c r="G1308" s="81"/>
      <c r="H1308" s="81"/>
      <c r="I1308" s="81"/>
      <c r="J1308" s="81"/>
      <c r="K1308" s="81"/>
      <c r="L1308" s="155"/>
      <c r="M1308" s="155"/>
      <c r="N1308" s="109"/>
      <c r="O1308" s="126"/>
      <c r="P1308" s="126"/>
      <c r="Q1308" s="126"/>
      <c r="R1308" s="127"/>
      <c r="S1308" s="127"/>
      <c r="T1308" s="127"/>
      <c r="U1308" s="127"/>
    </row>
    <row r="1309" spans="1:21" ht="15" customHeight="1">
      <c r="A1309" s="125"/>
      <c r="B1309" s="125"/>
      <c r="C1309" s="125"/>
      <c r="D1309" s="81"/>
      <c r="E1309" s="81"/>
      <c r="F1309" s="97"/>
      <c r="G1309" s="81"/>
      <c r="H1309" s="81"/>
      <c r="I1309" s="81"/>
      <c r="J1309" s="81"/>
      <c r="K1309" s="81"/>
      <c r="L1309" s="155"/>
      <c r="M1309" s="155"/>
      <c r="N1309" s="109"/>
      <c r="O1309" s="126"/>
      <c r="P1309" s="126"/>
      <c r="Q1309" s="126"/>
      <c r="R1309" s="127"/>
      <c r="S1309" s="127"/>
      <c r="T1309" s="127"/>
      <c r="U1309" s="127"/>
    </row>
    <row r="1310" spans="1:21" ht="15" customHeight="1">
      <c r="A1310" s="125"/>
      <c r="B1310" s="125"/>
      <c r="C1310" s="125"/>
      <c r="D1310" s="81"/>
      <c r="E1310" s="81"/>
      <c r="F1310" s="97"/>
      <c r="G1310" s="81"/>
      <c r="H1310" s="81"/>
      <c r="I1310" s="81"/>
      <c r="J1310" s="81"/>
      <c r="K1310" s="81"/>
      <c r="L1310" s="155"/>
      <c r="M1310" s="155"/>
      <c r="N1310" s="109"/>
      <c r="O1310" s="126"/>
      <c r="P1310" s="126"/>
      <c r="Q1310" s="126"/>
      <c r="R1310" s="127"/>
      <c r="S1310" s="127"/>
      <c r="T1310" s="127"/>
      <c r="U1310" s="127"/>
    </row>
    <row r="1311" spans="1:21" ht="15" customHeight="1">
      <c r="A1311" s="125"/>
      <c r="B1311" s="125"/>
      <c r="C1311" s="125"/>
      <c r="D1311" s="81"/>
      <c r="E1311" s="81"/>
      <c r="F1311" s="97"/>
      <c r="G1311" s="81"/>
      <c r="H1311" s="81"/>
      <c r="I1311" s="81"/>
      <c r="J1311" s="81"/>
      <c r="K1311" s="81"/>
      <c r="L1311" s="155"/>
      <c r="M1311" s="155"/>
      <c r="N1311" s="109"/>
      <c r="O1311" s="126"/>
      <c r="P1311" s="126"/>
      <c r="Q1311" s="126"/>
      <c r="R1311" s="127"/>
      <c r="S1311" s="127"/>
      <c r="T1311" s="127"/>
      <c r="U1311" s="127"/>
    </row>
    <row r="1312" spans="1:21" ht="15" customHeight="1">
      <c r="A1312" s="125"/>
      <c r="B1312" s="125"/>
      <c r="C1312" s="125"/>
      <c r="D1312" s="81"/>
      <c r="E1312" s="81"/>
      <c r="F1312" s="97"/>
      <c r="G1312" s="81"/>
      <c r="H1312" s="81"/>
      <c r="I1312" s="81"/>
      <c r="J1312" s="81"/>
      <c r="K1312" s="81"/>
      <c r="L1312" s="155"/>
      <c r="M1312" s="155"/>
      <c r="N1312" s="109"/>
      <c r="O1312" s="126"/>
      <c r="P1312" s="126"/>
      <c r="Q1312" s="126"/>
      <c r="R1312" s="127"/>
      <c r="S1312" s="127"/>
      <c r="T1312" s="127"/>
      <c r="U1312" s="127"/>
    </row>
    <row r="1313" spans="1:21" ht="15" customHeight="1">
      <c r="A1313" s="125"/>
      <c r="B1313" s="125"/>
      <c r="C1313" s="125"/>
      <c r="D1313" s="81"/>
      <c r="E1313" s="81"/>
      <c r="F1313" s="97"/>
      <c r="G1313" s="81"/>
      <c r="H1313" s="81"/>
      <c r="I1313" s="81"/>
      <c r="J1313" s="81"/>
      <c r="K1313" s="81"/>
      <c r="L1313" s="155"/>
      <c r="M1313" s="155"/>
      <c r="N1313" s="109"/>
      <c r="O1313" s="126"/>
      <c r="P1313" s="126"/>
      <c r="Q1313" s="126"/>
      <c r="R1313" s="127"/>
      <c r="S1313" s="127"/>
      <c r="T1313" s="127"/>
      <c r="U1313" s="127"/>
    </row>
    <row r="1314" spans="1:21" ht="15" customHeight="1">
      <c r="A1314" s="125"/>
      <c r="B1314" s="125"/>
      <c r="C1314" s="125"/>
      <c r="D1314" s="81"/>
      <c r="E1314" s="81"/>
      <c r="F1314" s="97"/>
      <c r="G1314" s="81"/>
      <c r="H1314" s="81"/>
      <c r="I1314" s="81"/>
      <c r="J1314" s="81"/>
      <c r="K1314" s="81"/>
      <c r="L1314" s="155"/>
      <c r="M1314" s="155"/>
      <c r="N1314" s="109"/>
      <c r="O1314" s="126"/>
      <c r="P1314" s="126"/>
      <c r="Q1314" s="126"/>
      <c r="R1314" s="127"/>
      <c r="S1314" s="127"/>
      <c r="T1314" s="127"/>
      <c r="U1314" s="127"/>
    </row>
    <row r="1315" spans="1:21" ht="15" customHeight="1">
      <c r="A1315" s="125"/>
      <c r="B1315" s="125"/>
      <c r="C1315" s="125"/>
      <c r="D1315" s="81"/>
      <c r="E1315" s="81"/>
      <c r="F1315" s="97"/>
      <c r="G1315" s="81"/>
      <c r="H1315" s="81"/>
      <c r="I1315" s="81"/>
      <c r="J1315" s="81"/>
      <c r="K1315" s="81"/>
      <c r="L1315" s="155"/>
      <c r="M1315" s="155"/>
      <c r="N1315" s="109"/>
      <c r="O1315" s="126"/>
      <c r="P1315" s="126"/>
      <c r="Q1315" s="126"/>
      <c r="R1315" s="127"/>
      <c r="S1315" s="127"/>
      <c r="T1315" s="127"/>
      <c r="U1315" s="127"/>
    </row>
    <row r="1316" spans="1:21" ht="15" customHeight="1">
      <c r="A1316" s="125"/>
      <c r="B1316" s="125"/>
      <c r="C1316" s="125"/>
      <c r="D1316" s="81"/>
      <c r="E1316" s="81"/>
      <c r="F1316" s="97"/>
      <c r="G1316" s="81"/>
      <c r="H1316" s="81"/>
      <c r="I1316" s="81"/>
      <c r="J1316" s="81"/>
      <c r="K1316" s="81"/>
      <c r="L1316" s="155"/>
      <c r="M1316" s="155"/>
      <c r="N1316" s="109"/>
      <c r="O1316" s="126"/>
      <c r="P1316" s="126"/>
      <c r="Q1316" s="126"/>
      <c r="R1316" s="127"/>
      <c r="S1316" s="127"/>
      <c r="T1316" s="127"/>
      <c r="U1316" s="127"/>
    </row>
    <row r="1317" spans="1:21" ht="15" customHeight="1">
      <c r="A1317" s="125"/>
      <c r="B1317" s="125"/>
      <c r="C1317" s="125"/>
      <c r="D1317" s="81"/>
      <c r="E1317" s="81"/>
      <c r="F1317" s="97"/>
      <c r="G1317" s="81"/>
      <c r="H1317" s="81"/>
      <c r="I1317" s="81"/>
      <c r="J1317" s="81"/>
      <c r="K1317" s="81"/>
      <c r="L1317" s="155"/>
      <c r="M1317" s="155"/>
      <c r="N1317" s="109"/>
      <c r="O1317" s="126"/>
      <c r="P1317" s="126"/>
      <c r="Q1317" s="126"/>
      <c r="R1317" s="127"/>
      <c r="S1317" s="127"/>
      <c r="T1317" s="127"/>
      <c r="U1317" s="127"/>
    </row>
    <row r="1318" spans="1:21" ht="15" customHeight="1">
      <c r="A1318" s="125"/>
      <c r="B1318" s="125"/>
      <c r="C1318" s="125"/>
      <c r="D1318" s="81"/>
      <c r="E1318" s="81"/>
      <c r="F1318" s="97"/>
      <c r="G1318" s="81"/>
      <c r="H1318" s="81"/>
      <c r="I1318" s="81"/>
      <c r="J1318" s="81"/>
      <c r="K1318" s="81"/>
      <c r="L1318" s="155"/>
      <c r="M1318" s="155"/>
      <c r="N1318" s="109"/>
      <c r="O1318" s="126"/>
      <c r="P1318" s="126"/>
      <c r="Q1318" s="126"/>
      <c r="R1318" s="127"/>
      <c r="S1318" s="127"/>
      <c r="T1318" s="127"/>
      <c r="U1318" s="127"/>
    </row>
    <row r="1319" spans="1:21" ht="15" customHeight="1">
      <c r="A1319" s="125"/>
      <c r="B1319" s="125"/>
      <c r="C1319" s="125"/>
      <c r="D1319" s="81"/>
      <c r="E1319" s="81"/>
      <c r="F1319" s="97"/>
      <c r="G1319" s="81"/>
      <c r="H1319" s="81"/>
      <c r="I1319" s="81"/>
      <c r="J1319" s="81"/>
      <c r="K1319" s="81"/>
      <c r="L1319" s="155"/>
      <c r="M1319" s="155"/>
      <c r="N1319" s="109"/>
      <c r="O1319" s="126"/>
      <c r="P1319" s="126"/>
      <c r="Q1319" s="126"/>
      <c r="R1319" s="127"/>
      <c r="S1319" s="127"/>
      <c r="T1319" s="127"/>
      <c r="U1319" s="127"/>
    </row>
    <row r="1320" spans="1:21" ht="15" customHeight="1">
      <c r="A1320" s="125"/>
      <c r="B1320" s="125"/>
      <c r="C1320" s="125"/>
      <c r="D1320" s="81"/>
      <c r="E1320" s="81"/>
      <c r="F1320" s="97"/>
      <c r="G1320" s="81"/>
      <c r="H1320" s="81"/>
      <c r="I1320" s="81"/>
      <c r="J1320" s="81"/>
      <c r="K1320" s="81"/>
      <c r="L1320" s="155"/>
      <c r="M1320" s="155"/>
      <c r="N1320" s="109"/>
      <c r="O1320" s="126"/>
      <c r="P1320" s="126"/>
      <c r="Q1320" s="126"/>
      <c r="R1320" s="127"/>
      <c r="S1320" s="127"/>
      <c r="T1320" s="127"/>
      <c r="U1320" s="127"/>
    </row>
    <row r="1321" spans="1:21" ht="15" customHeight="1">
      <c r="A1321" s="125"/>
      <c r="B1321" s="125"/>
      <c r="C1321" s="125"/>
      <c r="D1321" s="81"/>
      <c r="E1321" s="81"/>
      <c r="F1321" s="97"/>
      <c r="G1321" s="81"/>
      <c r="H1321" s="81"/>
      <c r="I1321" s="81"/>
      <c r="J1321" s="81"/>
      <c r="K1321" s="81"/>
      <c r="L1321" s="155"/>
      <c r="M1321" s="155"/>
      <c r="N1321" s="109"/>
      <c r="O1321" s="126"/>
      <c r="P1321" s="126"/>
      <c r="Q1321" s="126"/>
      <c r="R1321" s="127"/>
      <c r="S1321" s="127"/>
      <c r="T1321" s="127"/>
      <c r="U1321" s="127"/>
    </row>
    <row r="1322" spans="1:21" ht="15" customHeight="1">
      <c r="A1322" s="125"/>
      <c r="B1322" s="125"/>
      <c r="C1322" s="125"/>
      <c r="D1322" s="81"/>
      <c r="E1322" s="81"/>
      <c r="F1322" s="97"/>
      <c r="G1322" s="81"/>
      <c r="H1322" s="81"/>
      <c r="I1322" s="81"/>
      <c r="J1322" s="81"/>
      <c r="K1322" s="81"/>
      <c r="L1322" s="155"/>
      <c r="M1322" s="155"/>
      <c r="N1322" s="109"/>
      <c r="O1322" s="126"/>
      <c r="P1322" s="126"/>
      <c r="Q1322" s="126"/>
      <c r="R1322" s="127"/>
      <c r="S1322" s="127"/>
      <c r="T1322" s="127"/>
      <c r="U1322" s="127"/>
    </row>
    <row r="1323" spans="1:21" ht="15" customHeight="1">
      <c r="A1323" s="125"/>
      <c r="B1323" s="125"/>
      <c r="C1323" s="125"/>
      <c r="D1323" s="81"/>
      <c r="E1323" s="81"/>
      <c r="F1323" s="97"/>
      <c r="G1323" s="81"/>
      <c r="H1323" s="81"/>
      <c r="I1323" s="81"/>
      <c r="J1323" s="81"/>
      <c r="K1323" s="81"/>
      <c r="L1323" s="155"/>
      <c r="M1323" s="155"/>
      <c r="N1323" s="109"/>
      <c r="O1323" s="126"/>
      <c r="P1323" s="126"/>
      <c r="Q1323" s="126"/>
      <c r="R1323" s="127"/>
      <c r="S1323" s="127"/>
      <c r="T1323" s="127"/>
      <c r="U1323" s="127"/>
    </row>
    <row r="1324" spans="1:21" ht="15" customHeight="1">
      <c r="A1324" s="125"/>
      <c r="B1324" s="125"/>
      <c r="C1324" s="125"/>
      <c r="D1324" s="81"/>
      <c r="E1324" s="81"/>
      <c r="F1324" s="97"/>
      <c r="G1324" s="81"/>
      <c r="H1324" s="81"/>
      <c r="I1324" s="81"/>
      <c r="J1324" s="81"/>
      <c r="K1324" s="81"/>
      <c r="L1324" s="155"/>
      <c r="M1324" s="155"/>
      <c r="N1324" s="109"/>
      <c r="O1324" s="126"/>
      <c r="P1324" s="126"/>
      <c r="Q1324" s="126"/>
      <c r="R1324" s="127"/>
      <c r="S1324" s="127"/>
      <c r="T1324" s="127"/>
      <c r="U1324" s="127"/>
    </row>
    <row r="1325" spans="1:21" ht="15" customHeight="1">
      <c r="A1325" s="125"/>
      <c r="B1325" s="125"/>
      <c r="C1325" s="125"/>
      <c r="D1325" s="81"/>
      <c r="E1325" s="81"/>
      <c r="F1325" s="97"/>
      <c r="G1325" s="81"/>
      <c r="H1325" s="81"/>
      <c r="I1325" s="81"/>
      <c r="J1325" s="81"/>
      <c r="K1325" s="81"/>
      <c r="L1325" s="155"/>
      <c r="M1325" s="155"/>
      <c r="N1325" s="109"/>
      <c r="O1325" s="126"/>
      <c r="P1325" s="126"/>
      <c r="Q1325" s="126"/>
      <c r="R1325" s="127"/>
      <c r="S1325" s="127"/>
      <c r="T1325" s="127"/>
      <c r="U1325" s="127"/>
    </row>
    <row r="1326" spans="1:21" ht="15" customHeight="1">
      <c r="A1326" s="125"/>
      <c r="B1326" s="125"/>
      <c r="C1326" s="125"/>
      <c r="D1326" s="81"/>
      <c r="E1326" s="81"/>
      <c r="F1326" s="97"/>
      <c r="G1326" s="81"/>
      <c r="H1326" s="81"/>
      <c r="I1326" s="81"/>
      <c r="J1326" s="81"/>
      <c r="K1326" s="81"/>
      <c r="L1326" s="155"/>
      <c r="M1326" s="155"/>
      <c r="N1326" s="109"/>
      <c r="O1326" s="126"/>
      <c r="P1326" s="126"/>
      <c r="Q1326" s="126"/>
      <c r="R1326" s="127"/>
      <c r="S1326" s="127"/>
      <c r="T1326" s="127"/>
      <c r="U1326" s="127"/>
    </row>
    <row r="1327" spans="1:21" ht="15" customHeight="1">
      <c r="A1327" s="125"/>
      <c r="B1327" s="125"/>
      <c r="C1327" s="125"/>
      <c r="D1327" s="81"/>
      <c r="E1327" s="81"/>
      <c r="F1327" s="97"/>
      <c r="G1327" s="81"/>
      <c r="H1327" s="81"/>
      <c r="I1327" s="81"/>
      <c r="J1327" s="81"/>
      <c r="K1327" s="81"/>
      <c r="L1327" s="155"/>
      <c r="M1327" s="155"/>
      <c r="N1327" s="109"/>
      <c r="O1327" s="126"/>
      <c r="P1327" s="126"/>
      <c r="Q1327" s="126"/>
      <c r="R1327" s="127"/>
      <c r="S1327" s="127"/>
      <c r="T1327" s="127"/>
      <c r="U1327" s="127"/>
    </row>
    <row r="1328" spans="1:21" ht="15" customHeight="1">
      <c r="A1328" s="125"/>
      <c r="B1328" s="125"/>
      <c r="C1328" s="125"/>
      <c r="D1328" s="81"/>
      <c r="E1328" s="81"/>
      <c r="F1328" s="97"/>
      <c r="G1328" s="81"/>
      <c r="H1328" s="81"/>
      <c r="I1328" s="81"/>
      <c r="J1328" s="81"/>
      <c r="K1328" s="81"/>
      <c r="L1328" s="155"/>
      <c r="M1328" s="155"/>
      <c r="N1328" s="109"/>
      <c r="O1328" s="126"/>
      <c r="P1328" s="126"/>
      <c r="Q1328" s="126"/>
      <c r="R1328" s="127"/>
      <c r="S1328" s="127"/>
      <c r="T1328" s="127"/>
      <c r="U1328" s="127"/>
    </row>
    <row r="1329" spans="1:21" ht="15" customHeight="1">
      <c r="A1329" s="125"/>
      <c r="B1329" s="125"/>
      <c r="C1329" s="125"/>
      <c r="D1329" s="81"/>
      <c r="E1329" s="81"/>
      <c r="F1329" s="97"/>
      <c r="G1329" s="81"/>
      <c r="H1329" s="81"/>
      <c r="I1329" s="81"/>
      <c r="J1329" s="81"/>
      <c r="K1329" s="81"/>
      <c r="L1329" s="155"/>
      <c r="M1329" s="155"/>
      <c r="N1329" s="109"/>
      <c r="O1329" s="126"/>
      <c r="P1329" s="126"/>
      <c r="Q1329" s="126"/>
      <c r="R1329" s="127"/>
      <c r="S1329" s="127"/>
      <c r="T1329" s="127"/>
      <c r="U1329" s="127"/>
    </row>
    <row r="1330" spans="1:21" ht="15" customHeight="1">
      <c r="A1330" s="125"/>
      <c r="B1330" s="125"/>
      <c r="C1330" s="125"/>
      <c r="D1330" s="81"/>
      <c r="E1330" s="81"/>
      <c r="F1330" s="97"/>
      <c r="G1330" s="81"/>
      <c r="H1330" s="81"/>
      <c r="I1330" s="81"/>
      <c r="J1330" s="81"/>
      <c r="K1330" s="81"/>
      <c r="L1330" s="155"/>
      <c r="M1330" s="155"/>
      <c r="N1330" s="109"/>
      <c r="O1330" s="126"/>
      <c r="P1330" s="126"/>
      <c r="Q1330" s="126"/>
      <c r="R1330" s="127"/>
      <c r="S1330" s="127"/>
      <c r="T1330" s="127"/>
      <c r="U1330" s="127"/>
    </row>
    <row r="1331" spans="1:21" ht="15" customHeight="1">
      <c r="A1331" s="125"/>
      <c r="B1331" s="125"/>
      <c r="C1331" s="125"/>
      <c r="D1331" s="81"/>
      <c r="E1331" s="81"/>
      <c r="F1331" s="97"/>
      <c r="G1331" s="81"/>
      <c r="H1331" s="81"/>
      <c r="I1331" s="81"/>
      <c r="J1331" s="81"/>
      <c r="K1331" s="81"/>
      <c r="L1331" s="155"/>
      <c r="M1331" s="155"/>
      <c r="N1331" s="109"/>
      <c r="O1331" s="126"/>
      <c r="P1331" s="126"/>
      <c r="Q1331" s="126"/>
      <c r="R1331" s="127"/>
      <c r="S1331" s="127"/>
      <c r="T1331" s="127"/>
      <c r="U1331" s="127"/>
    </row>
    <row r="1332" spans="1:21" ht="15" customHeight="1">
      <c r="A1332" s="125"/>
      <c r="B1332" s="125"/>
      <c r="C1332" s="125"/>
      <c r="D1332" s="81"/>
      <c r="E1332" s="81"/>
      <c r="F1332" s="97"/>
      <c r="G1332" s="81"/>
      <c r="H1332" s="81"/>
      <c r="I1332" s="81"/>
      <c r="J1332" s="81"/>
      <c r="K1332" s="81"/>
      <c r="L1332" s="155"/>
      <c r="M1332" s="155"/>
      <c r="N1332" s="109"/>
      <c r="O1332" s="126"/>
      <c r="P1332" s="126"/>
      <c r="Q1332" s="126"/>
      <c r="R1332" s="127"/>
      <c r="S1332" s="127"/>
      <c r="T1332" s="127"/>
      <c r="U1332" s="127"/>
    </row>
    <row r="1333" spans="1:21" ht="15" customHeight="1">
      <c r="A1333" s="125"/>
      <c r="B1333" s="125"/>
      <c r="C1333" s="125"/>
      <c r="D1333" s="81"/>
      <c r="E1333" s="81"/>
      <c r="F1333" s="97"/>
      <c r="G1333" s="81"/>
      <c r="H1333" s="81"/>
      <c r="I1333" s="81"/>
      <c r="J1333" s="81"/>
      <c r="K1333" s="81"/>
      <c r="L1333" s="155"/>
      <c r="M1333" s="155"/>
      <c r="N1333" s="109"/>
      <c r="O1333" s="126"/>
      <c r="P1333" s="126"/>
      <c r="Q1333" s="126"/>
      <c r="R1333" s="127"/>
      <c r="S1333" s="127"/>
      <c r="T1333" s="127"/>
      <c r="U1333" s="127"/>
    </row>
    <row r="1334" spans="1:21" ht="15" customHeight="1">
      <c r="A1334" s="125"/>
      <c r="B1334" s="125"/>
      <c r="C1334" s="125"/>
      <c r="D1334" s="81"/>
      <c r="E1334" s="81"/>
      <c r="F1334" s="97"/>
      <c r="G1334" s="81"/>
      <c r="H1334" s="81"/>
      <c r="I1334" s="81"/>
      <c r="J1334" s="81"/>
      <c r="K1334" s="81"/>
      <c r="L1334" s="155"/>
      <c r="M1334" s="155"/>
      <c r="N1334" s="109"/>
      <c r="O1334" s="126"/>
      <c r="P1334" s="126"/>
      <c r="Q1334" s="126"/>
      <c r="R1334" s="127"/>
      <c r="S1334" s="127"/>
      <c r="T1334" s="127"/>
      <c r="U1334" s="127"/>
    </row>
    <row r="1335" spans="1:21" ht="15" customHeight="1">
      <c r="A1335" s="125"/>
      <c r="B1335" s="125"/>
      <c r="C1335" s="125"/>
      <c r="D1335" s="81"/>
      <c r="E1335" s="81"/>
      <c r="F1335" s="97"/>
      <c r="G1335" s="81"/>
      <c r="H1335" s="81"/>
      <c r="I1335" s="81"/>
      <c r="J1335" s="81"/>
      <c r="K1335" s="81"/>
      <c r="L1335" s="155"/>
      <c r="M1335" s="155"/>
      <c r="N1335" s="109"/>
      <c r="O1335" s="126"/>
      <c r="P1335" s="126"/>
      <c r="Q1335" s="126"/>
      <c r="R1335" s="127"/>
      <c r="S1335" s="127"/>
      <c r="T1335" s="127"/>
      <c r="U1335" s="127"/>
    </row>
    <row r="1336" spans="1:21" ht="15" customHeight="1">
      <c r="A1336" s="125"/>
      <c r="B1336" s="125"/>
      <c r="C1336" s="125"/>
      <c r="D1336" s="81"/>
      <c r="E1336" s="81"/>
      <c r="F1336" s="97"/>
      <c r="G1336" s="81"/>
      <c r="H1336" s="81"/>
      <c r="I1336" s="81"/>
      <c r="J1336" s="81"/>
      <c r="K1336" s="81"/>
      <c r="L1336" s="155"/>
      <c r="M1336" s="155"/>
      <c r="N1336" s="109"/>
      <c r="O1336" s="126"/>
      <c r="P1336" s="126"/>
      <c r="Q1336" s="126"/>
      <c r="R1336" s="127"/>
      <c r="S1336" s="127"/>
      <c r="T1336" s="127"/>
      <c r="U1336" s="127"/>
    </row>
    <row r="1337" spans="1:21" ht="15" customHeight="1">
      <c r="A1337" s="125"/>
      <c r="B1337" s="125"/>
      <c r="C1337" s="125"/>
      <c r="D1337" s="81"/>
      <c r="E1337" s="81"/>
      <c r="F1337" s="97"/>
      <c r="G1337" s="81"/>
      <c r="H1337" s="81"/>
      <c r="I1337" s="81"/>
      <c r="J1337" s="81"/>
      <c r="K1337" s="81"/>
      <c r="L1337" s="155"/>
      <c r="M1337" s="155"/>
      <c r="N1337" s="109"/>
      <c r="O1337" s="126"/>
      <c r="P1337" s="126"/>
      <c r="Q1337" s="126"/>
      <c r="R1337" s="127"/>
      <c r="S1337" s="127"/>
      <c r="T1337" s="127"/>
      <c r="U1337" s="127"/>
    </row>
    <row r="1338" spans="1:21" ht="15" customHeight="1">
      <c r="A1338" s="125"/>
      <c r="B1338" s="125"/>
      <c r="C1338" s="125"/>
      <c r="D1338" s="81"/>
      <c r="E1338" s="81"/>
      <c r="F1338" s="97"/>
      <c r="G1338" s="81"/>
      <c r="H1338" s="81"/>
      <c r="I1338" s="81"/>
      <c r="J1338" s="81"/>
      <c r="K1338" s="81"/>
      <c r="L1338" s="155"/>
      <c r="M1338" s="155"/>
      <c r="N1338" s="109"/>
      <c r="O1338" s="126"/>
      <c r="P1338" s="126"/>
      <c r="Q1338" s="126"/>
      <c r="R1338" s="127"/>
      <c r="S1338" s="127"/>
      <c r="T1338" s="127"/>
      <c r="U1338" s="127"/>
    </row>
    <row r="1339" spans="1:21" ht="15" customHeight="1">
      <c r="A1339" s="125"/>
      <c r="B1339" s="125"/>
      <c r="C1339" s="125"/>
      <c r="D1339" s="81"/>
      <c r="E1339" s="81"/>
      <c r="F1339" s="97"/>
      <c r="G1339" s="81"/>
      <c r="H1339" s="81"/>
      <c r="I1339" s="81"/>
      <c r="J1339" s="81"/>
      <c r="K1339" s="81"/>
      <c r="L1339" s="155"/>
      <c r="M1339" s="155"/>
      <c r="N1339" s="109"/>
      <c r="O1339" s="126"/>
      <c r="P1339" s="126"/>
      <c r="Q1339" s="126"/>
      <c r="R1339" s="127"/>
      <c r="S1339" s="127"/>
      <c r="T1339" s="127"/>
      <c r="U1339" s="127"/>
    </row>
    <row r="1340" spans="1:21" ht="15" customHeight="1">
      <c r="A1340" s="125"/>
      <c r="B1340" s="125"/>
      <c r="C1340" s="125"/>
      <c r="D1340" s="81"/>
      <c r="E1340" s="81"/>
      <c r="F1340" s="97"/>
      <c r="G1340" s="81"/>
      <c r="H1340" s="81"/>
      <c r="I1340" s="81"/>
      <c r="J1340" s="81"/>
      <c r="K1340" s="81"/>
      <c r="L1340" s="155"/>
      <c r="M1340" s="155"/>
      <c r="N1340" s="109"/>
      <c r="O1340" s="126"/>
      <c r="P1340" s="126"/>
      <c r="Q1340" s="126"/>
      <c r="R1340" s="127"/>
      <c r="S1340" s="127"/>
      <c r="T1340" s="127"/>
      <c r="U1340" s="127"/>
    </row>
    <row r="1341" spans="1:21" ht="15" customHeight="1">
      <c r="A1341" s="125"/>
      <c r="B1341" s="125"/>
      <c r="C1341" s="125"/>
      <c r="D1341" s="81"/>
      <c r="E1341" s="81"/>
      <c r="F1341" s="97"/>
      <c r="G1341" s="81"/>
      <c r="H1341" s="81"/>
      <c r="I1341" s="81"/>
      <c r="J1341" s="81"/>
      <c r="K1341" s="81"/>
      <c r="L1341" s="155"/>
      <c r="M1341" s="155"/>
      <c r="N1341" s="109"/>
      <c r="O1341" s="126"/>
      <c r="P1341" s="126"/>
      <c r="Q1341" s="126"/>
      <c r="R1341" s="127"/>
      <c r="S1341" s="127"/>
      <c r="T1341" s="127"/>
      <c r="U1341" s="127"/>
    </row>
    <row r="1342" spans="1:21" ht="15" customHeight="1">
      <c r="A1342" s="125"/>
      <c r="B1342" s="125"/>
      <c r="C1342" s="125"/>
      <c r="D1342" s="81"/>
      <c r="E1342" s="81"/>
      <c r="F1342" s="97"/>
      <c r="G1342" s="81"/>
      <c r="H1342" s="81"/>
      <c r="I1342" s="81"/>
      <c r="J1342" s="81"/>
      <c r="K1342" s="81"/>
      <c r="L1342" s="155"/>
      <c r="M1342" s="155"/>
      <c r="N1342" s="109"/>
      <c r="O1342" s="126"/>
      <c r="P1342" s="126"/>
      <c r="Q1342" s="126"/>
      <c r="R1342" s="127"/>
      <c r="S1342" s="127"/>
      <c r="T1342" s="127"/>
      <c r="U1342" s="127"/>
    </row>
    <row r="1343" spans="1:21" ht="15" customHeight="1">
      <c r="A1343" s="125"/>
      <c r="B1343" s="125"/>
      <c r="C1343" s="125"/>
      <c r="D1343" s="81"/>
      <c r="E1343" s="81"/>
      <c r="F1343" s="97"/>
      <c r="G1343" s="81"/>
      <c r="H1343" s="81"/>
      <c r="I1343" s="81"/>
      <c r="J1343" s="81"/>
      <c r="K1343" s="81"/>
      <c r="L1343" s="155"/>
      <c r="M1343" s="155"/>
      <c r="N1343" s="109"/>
      <c r="O1343" s="126"/>
      <c r="P1343" s="126"/>
      <c r="Q1343" s="126"/>
      <c r="R1343" s="127"/>
      <c r="S1343" s="127"/>
      <c r="T1343" s="127"/>
      <c r="U1343" s="127"/>
    </row>
    <row r="1344" spans="1:21" ht="15" customHeight="1">
      <c r="A1344" s="125"/>
      <c r="B1344" s="125"/>
      <c r="C1344" s="125"/>
      <c r="D1344" s="81"/>
      <c r="E1344" s="81"/>
      <c r="F1344" s="97"/>
      <c r="G1344" s="81"/>
      <c r="H1344" s="81"/>
      <c r="I1344" s="81"/>
      <c r="J1344" s="81"/>
      <c r="K1344" s="81"/>
      <c r="L1344" s="155"/>
      <c r="M1344" s="155"/>
      <c r="N1344" s="109"/>
      <c r="O1344" s="126"/>
      <c r="P1344" s="126"/>
      <c r="Q1344" s="126"/>
      <c r="R1344" s="127"/>
      <c r="S1344" s="127"/>
      <c r="T1344" s="127"/>
      <c r="U1344" s="127"/>
    </row>
    <row r="1345" spans="1:21" ht="15" customHeight="1">
      <c r="A1345" s="125"/>
      <c r="B1345" s="125"/>
      <c r="C1345" s="125"/>
      <c r="D1345" s="81"/>
      <c r="E1345" s="81"/>
      <c r="F1345" s="97"/>
      <c r="G1345" s="81"/>
      <c r="H1345" s="81"/>
      <c r="I1345" s="81"/>
      <c r="J1345" s="81"/>
      <c r="K1345" s="81"/>
      <c r="L1345" s="155"/>
      <c r="M1345" s="155"/>
      <c r="N1345" s="109"/>
      <c r="O1345" s="126"/>
      <c r="P1345" s="126"/>
      <c r="Q1345" s="126"/>
      <c r="R1345" s="127"/>
      <c r="S1345" s="127"/>
      <c r="T1345" s="127"/>
      <c r="U1345" s="127"/>
    </row>
    <row r="1346" spans="1:21" ht="15" customHeight="1">
      <c r="A1346" s="125"/>
      <c r="B1346" s="125"/>
      <c r="C1346" s="125"/>
      <c r="D1346" s="81"/>
      <c r="E1346" s="81"/>
      <c r="F1346" s="97"/>
      <c r="G1346" s="81"/>
      <c r="H1346" s="81"/>
      <c r="I1346" s="81"/>
      <c r="J1346" s="81"/>
      <c r="K1346" s="81"/>
      <c r="L1346" s="155"/>
      <c r="M1346" s="155"/>
      <c r="N1346" s="109"/>
      <c r="O1346" s="126"/>
      <c r="P1346" s="126"/>
      <c r="Q1346" s="126"/>
      <c r="R1346" s="127"/>
      <c r="S1346" s="127"/>
      <c r="T1346" s="127"/>
      <c r="U1346" s="127"/>
    </row>
    <row r="1347" spans="1:21" ht="15" customHeight="1">
      <c r="A1347" s="125"/>
      <c r="B1347" s="125"/>
      <c r="C1347" s="125"/>
      <c r="D1347" s="81"/>
      <c r="E1347" s="81"/>
      <c r="F1347" s="97"/>
      <c r="G1347" s="81"/>
      <c r="H1347" s="81"/>
      <c r="I1347" s="81"/>
      <c r="J1347" s="81"/>
      <c r="K1347" s="81"/>
      <c r="L1347" s="155"/>
      <c r="M1347" s="155"/>
      <c r="N1347" s="109"/>
      <c r="O1347" s="126"/>
      <c r="P1347" s="126"/>
      <c r="Q1347" s="126"/>
      <c r="R1347" s="127"/>
      <c r="S1347" s="127"/>
      <c r="T1347" s="127"/>
      <c r="U1347" s="127"/>
    </row>
    <row r="1348" spans="1:21" ht="15" customHeight="1">
      <c r="A1348" s="125"/>
      <c r="B1348" s="125"/>
      <c r="C1348" s="125"/>
      <c r="D1348" s="81"/>
      <c r="E1348" s="81"/>
      <c r="F1348" s="97"/>
      <c r="G1348" s="81"/>
      <c r="H1348" s="81"/>
      <c r="I1348" s="81"/>
      <c r="J1348" s="81"/>
      <c r="K1348" s="81"/>
      <c r="L1348" s="155"/>
      <c r="M1348" s="155"/>
      <c r="N1348" s="109"/>
      <c r="O1348" s="126"/>
      <c r="P1348" s="126"/>
      <c r="Q1348" s="126"/>
      <c r="R1348" s="127"/>
      <c r="S1348" s="127"/>
      <c r="T1348" s="127"/>
      <c r="U1348" s="127"/>
    </row>
    <row r="1349" spans="1:21" ht="15" customHeight="1">
      <c r="A1349" s="125"/>
      <c r="B1349" s="125"/>
      <c r="C1349" s="125"/>
      <c r="D1349" s="81"/>
      <c r="E1349" s="81"/>
      <c r="F1349" s="97"/>
      <c r="G1349" s="81"/>
      <c r="H1349" s="81"/>
      <c r="I1349" s="81"/>
      <c r="J1349" s="81"/>
      <c r="K1349" s="81"/>
      <c r="L1349" s="155"/>
      <c r="M1349" s="155"/>
      <c r="N1349" s="109"/>
      <c r="O1349" s="126"/>
      <c r="P1349" s="126"/>
      <c r="Q1349" s="126"/>
      <c r="R1349" s="127"/>
      <c r="S1349" s="127"/>
      <c r="T1349" s="127"/>
      <c r="U1349" s="127"/>
    </row>
    <row r="1350" spans="1:21" ht="15" customHeight="1">
      <c r="A1350" s="125"/>
      <c r="B1350" s="125"/>
      <c r="C1350" s="125"/>
      <c r="D1350" s="81"/>
      <c r="E1350" s="81"/>
      <c r="F1350" s="97"/>
      <c r="G1350" s="81"/>
      <c r="H1350" s="81"/>
      <c r="I1350" s="81"/>
      <c r="J1350" s="81"/>
      <c r="K1350" s="81"/>
      <c r="L1350" s="155"/>
      <c r="M1350" s="155"/>
      <c r="N1350" s="109"/>
      <c r="O1350" s="126"/>
      <c r="P1350" s="126"/>
      <c r="Q1350" s="126"/>
      <c r="R1350" s="127"/>
      <c r="S1350" s="127"/>
      <c r="T1350" s="127"/>
      <c r="U1350" s="127"/>
    </row>
    <row r="1351" spans="1:21" ht="15" customHeight="1">
      <c r="A1351" s="125"/>
      <c r="B1351" s="125"/>
      <c r="C1351" s="125"/>
      <c r="D1351" s="81"/>
      <c r="E1351" s="81"/>
      <c r="F1351" s="97"/>
      <c r="G1351" s="81"/>
      <c r="H1351" s="81"/>
      <c r="I1351" s="81"/>
      <c r="J1351" s="81"/>
      <c r="K1351" s="81"/>
      <c r="L1351" s="155"/>
      <c r="M1351" s="155"/>
      <c r="N1351" s="109"/>
      <c r="O1351" s="126"/>
      <c r="P1351" s="126"/>
      <c r="Q1351" s="126"/>
      <c r="R1351" s="127"/>
      <c r="S1351" s="127"/>
      <c r="T1351" s="127"/>
      <c r="U1351" s="127"/>
    </row>
    <row r="1352" spans="1:21" ht="15" customHeight="1">
      <c r="A1352" s="125"/>
      <c r="B1352" s="125"/>
      <c r="C1352" s="125"/>
      <c r="D1352" s="81"/>
      <c r="E1352" s="81"/>
      <c r="F1352" s="97"/>
      <c r="G1352" s="81"/>
      <c r="H1352" s="81"/>
      <c r="I1352" s="81"/>
      <c r="J1352" s="81"/>
      <c r="K1352" s="81"/>
      <c r="L1352" s="155"/>
      <c r="M1352" s="155"/>
      <c r="N1352" s="109"/>
      <c r="O1352" s="126"/>
      <c r="P1352" s="126"/>
      <c r="Q1352" s="126"/>
      <c r="R1352" s="127"/>
      <c r="S1352" s="127"/>
      <c r="T1352" s="127"/>
      <c r="U1352" s="127"/>
    </row>
    <row r="1353" spans="1:21" ht="15" customHeight="1">
      <c r="A1353" s="125"/>
      <c r="B1353" s="125"/>
      <c r="C1353" s="125"/>
      <c r="D1353" s="81"/>
      <c r="E1353" s="81"/>
      <c r="F1353" s="97"/>
      <c r="G1353" s="81"/>
      <c r="H1353" s="81"/>
      <c r="I1353" s="81"/>
      <c r="J1353" s="81"/>
      <c r="K1353" s="81"/>
      <c r="L1353" s="155"/>
      <c r="M1353" s="155"/>
      <c r="N1353" s="109"/>
      <c r="O1353" s="126"/>
      <c r="P1353" s="126"/>
      <c r="Q1353" s="126"/>
      <c r="R1353" s="127"/>
      <c r="S1353" s="127"/>
      <c r="T1353" s="127"/>
      <c r="U1353" s="127"/>
    </row>
    <row r="1354" spans="1:21" ht="15" customHeight="1">
      <c r="A1354" s="125"/>
      <c r="B1354" s="125"/>
      <c r="C1354" s="125"/>
      <c r="D1354" s="81"/>
      <c r="E1354" s="81"/>
      <c r="F1354" s="97"/>
      <c r="G1354" s="81"/>
      <c r="H1354" s="81"/>
      <c r="I1354" s="81"/>
      <c r="J1354" s="81"/>
      <c r="K1354" s="81"/>
      <c r="L1354" s="155"/>
      <c r="M1354" s="155"/>
      <c r="N1354" s="109"/>
      <c r="O1354" s="126"/>
      <c r="P1354" s="126"/>
      <c r="Q1354" s="126"/>
      <c r="R1354" s="127"/>
      <c r="S1354" s="127"/>
      <c r="T1354" s="127"/>
      <c r="U1354" s="127"/>
    </row>
    <row r="1355" spans="1:21" ht="15" customHeight="1">
      <c r="A1355" s="125"/>
      <c r="B1355" s="125"/>
      <c r="C1355" s="125"/>
      <c r="D1355" s="81"/>
      <c r="E1355" s="81"/>
      <c r="F1355" s="97"/>
      <c r="G1355" s="81"/>
      <c r="H1355" s="81"/>
      <c r="I1355" s="81"/>
      <c r="J1355" s="81"/>
      <c r="K1355" s="81"/>
      <c r="L1355" s="155"/>
      <c r="M1355" s="155"/>
      <c r="N1355" s="109"/>
      <c r="O1355" s="126"/>
      <c r="P1355" s="126"/>
      <c r="Q1355" s="126"/>
      <c r="R1355" s="127"/>
      <c r="S1355" s="127"/>
      <c r="T1355" s="127"/>
      <c r="U1355" s="127"/>
    </row>
    <row r="1356" spans="1:21" ht="15" customHeight="1">
      <c r="A1356" s="125"/>
      <c r="B1356" s="125"/>
      <c r="C1356" s="125"/>
      <c r="D1356" s="81"/>
      <c r="E1356" s="81"/>
      <c r="F1356" s="97"/>
      <c r="G1356" s="81"/>
      <c r="H1356" s="81"/>
      <c r="I1356" s="81"/>
      <c r="J1356" s="81"/>
      <c r="K1356" s="81"/>
      <c r="L1356" s="155"/>
      <c r="M1356" s="155"/>
      <c r="N1356" s="109"/>
      <c r="O1356" s="126"/>
      <c r="P1356" s="126"/>
      <c r="Q1356" s="126"/>
      <c r="R1356" s="127"/>
      <c r="S1356" s="127"/>
      <c r="T1356" s="127"/>
      <c r="U1356" s="127"/>
    </row>
    <row r="1357" spans="1:21" ht="15" customHeight="1">
      <c r="A1357" s="125"/>
      <c r="B1357" s="125"/>
      <c r="C1357" s="125"/>
      <c r="D1357" s="81"/>
      <c r="E1357" s="81"/>
      <c r="F1357" s="97"/>
      <c r="G1357" s="81"/>
      <c r="H1357" s="81"/>
      <c r="I1357" s="81"/>
      <c r="J1357" s="81"/>
      <c r="K1357" s="81"/>
      <c r="L1357" s="155"/>
      <c r="M1357" s="155"/>
      <c r="N1357" s="109"/>
      <c r="O1357" s="126"/>
      <c r="P1357" s="126"/>
      <c r="Q1357" s="126"/>
      <c r="R1357" s="127"/>
      <c r="S1357" s="127"/>
      <c r="T1357" s="127"/>
      <c r="U1357" s="127"/>
    </row>
    <row r="1358" spans="1:21" ht="15" customHeight="1">
      <c r="A1358" s="125"/>
      <c r="B1358" s="125"/>
      <c r="C1358" s="125"/>
      <c r="D1358" s="81"/>
      <c r="E1358" s="81"/>
      <c r="F1358" s="97"/>
      <c r="G1358" s="81"/>
      <c r="H1358" s="81"/>
      <c r="I1358" s="81"/>
      <c r="J1358" s="81"/>
      <c r="K1358" s="81"/>
      <c r="L1358" s="155"/>
      <c r="M1358" s="155"/>
      <c r="N1358" s="109"/>
      <c r="O1358" s="126"/>
      <c r="P1358" s="126"/>
      <c r="Q1358" s="126"/>
      <c r="R1358" s="127"/>
      <c r="S1358" s="127"/>
      <c r="T1358" s="127"/>
      <c r="U1358" s="127"/>
    </row>
    <row r="1359" spans="1:21" ht="15" customHeight="1">
      <c r="A1359" s="125"/>
      <c r="B1359" s="125"/>
      <c r="C1359" s="125"/>
      <c r="D1359" s="81"/>
      <c r="E1359" s="81"/>
      <c r="F1359" s="97"/>
      <c r="G1359" s="81"/>
      <c r="H1359" s="81"/>
      <c r="I1359" s="81"/>
      <c r="J1359" s="81"/>
      <c r="K1359" s="81"/>
      <c r="L1359" s="155"/>
      <c r="M1359" s="155"/>
      <c r="N1359" s="109"/>
      <c r="O1359" s="126"/>
      <c r="P1359" s="126"/>
      <c r="Q1359" s="126"/>
      <c r="R1359" s="127"/>
      <c r="S1359" s="127"/>
      <c r="T1359" s="127"/>
      <c r="U1359" s="127"/>
    </row>
    <row r="1360" spans="1:21" ht="15" customHeight="1">
      <c r="A1360" s="125"/>
      <c r="B1360" s="125"/>
      <c r="C1360" s="125"/>
      <c r="D1360" s="81"/>
      <c r="E1360" s="81"/>
      <c r="F1360" s="97"/>
      <c r="G1360" s="81"/>
      <c r="H1360" s="81"/>
      <c r="I1360" s="81"/>
      <c r="J1360" s="81"/>
      <c r="K1360" s="81"/>
      <c r="L1360" s="155"/>
      <c r="M1360" s="155"/>
      <c r="N1360" s="109"/>
      <c r="O1360" s="126"/>
      <c r="P1360" s="126"/>
      <c r="Q1360" s="126"/>
      <c r="R1360" s="127"/>
      <c r="S1360" s="127"/>
      <c r="T1360" s="127"/>
      <c r="U1360" s="127"/>
    </row>
    <row r="1361" spans="1:21" ht="15" customHeight="1">
      <c r="A1361" s="125"/>
      <c r="B1361" s="125"/>
      <c r="C1361" s="125"/>
      <c r="D1361" s="81"/>
      <c r="E1361" s="81"/>
      <c r="F1361" s="97"/>
      <c r="G1361" s="81"/>
      <c r="H1361" s="81"/>
      <c r="I1361" s="81"/>
      <c r="J1361" s="81"/>
      <c r="K1361" s="81"/>
      <c r="L1361" s="155"/>
      <c r="M1361" s="155"/>
      <c r="N1361" s="109"/>
      <c r="O1361" s="126"/>
      <c r="P1361" s="126"/>
      <c r="Q1361" s="126"/>
      <c r="R1361" s="127"/>
      <c r="S1361" s="127"/>
      <c r="T1361" s="127"/>
      <c r="U1361" s="127"/>
    </row>
    <row r="1362" spans="1:21" ht="15" customHeight="1">
      <c r="A1362" s="125"/>
      <c r="B1362" s="125"/>
      <c r="C1362" s="125"/>
      <c r="D1362" s="81"/>
      <c r="E1362" s="81"/>
      <c r="F1362" s="97"/>
      <c r="G1362" s="81"/>
      <c r="H1362" s="81"/>
      <c r="I1362" s="81"/>
      <c r="J1362" s="81"/>
      <c r="K1362" s="81"/>
      <c r="L1362" s="155"/>
      <c r="M1362" s="155"/>
      <c r="N1362" s="109"/>
      <c r="O1362" s="126"/>
      <c r="P1362" s="126"/>
      <c r="Q1362" s="126"/>
      <c r="R1362" s="127"/>
      <c r="S1362" s="127"/>
      <c r="T1362" s="127"/>
      <c r="U1362" s="127"/>
    </row>
    <row r="1363" spans="1:21" ht="15" customHeight="1">
      <c r="A1363" s="125"/>
      <c r="B1363" s="125"/>
      <c r="C1363" s="125"/>
      <c r="D1363" s="81"/>
      <c r="E1363" s="81"/>
      <c r="F1363" s="97"/>
      <c r="G1363" s="81"/>
      <c r="H1363" s="81"/>
      <c r="I1363" s="81"/>
      <c r="J1363" s="81"/>
      <c r="K1363" s="81"/>
      <c r="L1363" s="155"/>
      <c r="M1363" s="155"/>
      <c r="N1363" s="109"/>
      <c r="O1363" s="126"/>
      <c r="P1363" s="126"/>
      <c r="Q1363" s="126"/>
      <c r="R1363" s="127"/>
      <c r="S1363" s="127"/>
      <c r="T1363" s="127"/>
      <c r="U1363" s="127"/>
    </row>
    <row r="1364" spans="1:21" ht="15" customHeight="1">
      <c r="A1364" s="125"/>
      <c r="B1364" s="125"/>
      <c r="C1364" s="125"/>
      <c r="D1364" s="81"/>
      <c r="E1364" s="81"/>
      <c r="F1364" s="97"/>
      <c r="G1364" s="81"/>
      <c r="H1364" s="81"/>
      <c r="I1364" s="81"/>
      <c r="J1364" s="81"/>
      <c r="K1364" s="81"/>
      <c r="L1364" s="155"/>
      <c r="M1364" s="155"/>
      <c r="N1364" s="109"/>
      <c r="O1364" s="126"/>
      <c r="P1364" s="126"/>
      <c r="Q1364" s="126"/>
      <c r="R1364" s="127"/>
      <c r="S1364" s="127"/>
      <c r="T1364" s="127"/>
      <c r="U1364" s="127"/>
    </row>
    <row r="1365" spans="1:21" ht="15" customHeight="1">
      <c r="A1365" s="125"/>
      <c r="B1365" s="125"/>
      <c r="C1365" s="125"/>
      <c r="D1365" s="81"/>
      <c r="E1365" s="81"/>
      <c r="F1365" s="97"/>
      <c r="G1365" s="81"/>
      <c r="H1365" s="81"/>
      <c r="I1365" s="81"/>
      <c r="J1365" s="81"/>
      <c r="K1365" s="81"/>
      <c r="L1365" s="155"/>
      <c r="M1365" s="155"/>
      <c r="N1365" s="109"/>
      <c r="O1365" s="126"/>
      <c r="P1365" s="126"/>
      <c r="Q1365" s="126"/>
      <c r="R1365" s="127"/>
      <c r="S1365" s="127"/>
      <c r="T1365" s="127"/>
      <c r="U1365" s="127"/>
    </row>
    <row r="1366" spans="1:21" ht="15" customHeight="1">
      <c r="A1366" s="125"/>
      <c r="B1366" s="125"/>
      <c r="C1366" s="125"/>
      <c r="D1366" s="81"/>
      <c r="E1366" s="81"/>
      <c r="F1366" s="97"/>
      <c r="G1366" s="81"/>
      <c r="H1366" s="81"/>
      <c r="I1366" s="81"/>
      <c r="J1366" s="81"/>
      <c r="K1366" s="81"/>
      <c r="L1366" s="155"/>
      <c r="M1366" s="155"/>
      <c r="N1366" s="109"/>
      <c r="O1366" s="126"/>
      <c r="P1366" s="126"/>
      <c r="Q1366" s="126"/>
      <c r="R1366" s="127"/>
      <c r="S1366" s="127"/>
      <c r="T1366" s="127"/>
      <c r="U1366" s="127"/>
    </row>
    <row r="1367" spans="1:21" ht="15" customHeight="1">
      <c r="A1367" s="125"/>
      <c r="B1367" s="125"/>
      <c r="C1367" s="125"/>
      <c r="D1367" s="81"/>
      <c r="E1367" s="81"/>
      <c r="F1367" s="97"/>
      <c r="G1367" s="81"/>
      <c r="H1367" s="81"/>
      <c r="I1367" s="81"/>
      <c r="J1367" s="81"/>
      <c r="K1367" s="81"/>
      <c r="L1367" s="155"/>
      <c r="M1367" s="155"/>
      <c r="N1367" s="109"/>
      <c r="O1367" s="126"/>
      <c r="P1367" s="126"/>
      <c r="Q1367" s="126"/>
      <c r="R1367" s="127"/>
      <c r="S1367" s="127"/>
      <c r="T1367" s="127"/>
      <c r="U1367" s="127"/>
    </row>
    <row r="1368" spans="1:21" ht="15" customHeight="1">
      <c r="A1368" s="125"/>
      <c r="B1368" s="125"/>
      <c r="C1368" s="125"/>
      <c r="D1368" s="81"/>
      <c r="E1368" s="81"/>
      <c r="F1368" s="97"/>
      <c r="G1368" s="81"/>
      <c r="H1368" s="81"/>
      <c r="I1368" s="81"/>
      <c r="J1368" s="81"/>
      <c r="K1368" s="81"/>
      <c r="L1368" s="155"/>
      <c r="M1368" s="155"/>
      <c r="N1368" s="109"/>
      <c r="O1368" s="126"/>
      <c r="P1368" s="126"/>
      <c r="Q1368" s="126"/>
      <c r="R1368" s="127"/>
      <c r="S1368" s="127"/>
      <c r="T1368" s="127"/>
      <c r="U1368" s="127"/>
    </row>
    <row r="1369" spans="1:21" ht="15" customHeight="1">
      <c r="A1369" s="125"/>
      <c r="B1369" s="125"/>
      <c r="C1369" s="125"/>
      <c r="D1369" s="81"/>
      <c r="E1369" s="81"/>
      <c r="F1369" s="97"/>
      <c r="G1369" s="81"/>
      <c r="H1369" s="81"/>
      <c r="I1369" s="81"/>
      <c r="J1369" s="81"/>
      <c r="K1369" s="81"/>
      <c r="L1369" s="155"/>
      <c r="M1369" s="155"/>
      <c r="N1369" s="109"/>
      <c r="O1369" s="126"/>
      <c r="P1369" s="126"/>
      <c r="Q1369" s="126"/>
      <c r="R1369" s="127"/>
      <c r="S1369" s="127"/>
      <c r="T1369" s="127"/>
      <c r="U1369" s="127"/>
    </row>
    <row r="1370" spans="1:21" ht="15" customHeight="1">
      <c r="A1370" s="125"/>
      <c r="B1370" s="125"/>
      <c r="C1370" s="125"/>
      <c r="D1370" s="81"/>
      <c r="E1370" s="81"/>
      <c r="F1370" s="97"/>
      <c r="G1370" s="81"/>
      <c r="H1370" s="81"/>
      <c r="I1370" s="81"/>
      <c r="J1370" s="81"/>
      <c r="K1370" s="81"/>
      <c r="L1370" s="155"/>
      <c r="M1370" s="155"/>
      <c r="N1370" s="109"/>
      <c r="O1370" s="126"/>
      <c r="P1370" s="126"/>
      <c r="Q1370" s="126"/>
      <c r="R1370" s="127"/>
      <c r="S1370" s="127"/>
      <c r="T1370" s="127"/>
      <c r="U1370" s="127"/>
    </row>
    <row r="1371" spans="1:21" ht="15" customHeight="1">
      <c r="A1371" s="125"/>
      <c r="B1371" s="125"/>
      <c r="C1371" s="125"/>
      <c r="D1371" s="81"/>
      <c r="E1371" s="81"/>
      <c r="F1371" s="97"/>
      <c r="G1371" s="81"/>
      <c r="H1371" s="81"/>
      <c r="I1371" s="81"/>
      <c r="J1371" s="81"/>
      <c r="K1371" s="81"/>
      <c r="L1371" s="155"/>
      <c r="M1371" s="155"/>
      <c r="N1371" s="109"/>
      <c r="O1371" s="126"/>
      <c r="P1371" s="126"/>
      <c r="Q1371" s="126"/>
      <c r="R1371" s="127"/>
      <c r="S1371" s="127"/>
      <c r="T1371" s="127"/>
      <c r="U1371" s="127"/>
    </row>
    <row r="1372" spans="1:21" ht="15" customHeight="1">
      <c r="A1372" s="125"/>
      <c r="B1372" s="125"/>
      <c r="C1372" s="125"/>
      <c r="D1372" s="81"/>
      <c r="E1372" s="81"/>
      <c r="F1372" s="97"/>
      <c r="G1372" s="81"/>
      <c r="H1372" s="81"/>
      <c r="I1372" s="81"/>
      <c r="J1372" s="81"/>
      <c r="K1372" s="81"/>
      <c r="L1372" s="155"/>
      <c r="M1372" s="155"/>
      <c r="N1372" s="109"/>
      <c r="O1372" s="126"/>
      <c r="P1372" s="126"/>
      <c r="Q1372" s="126"/>
      <c r="R1372" s="127"/>
      <c r="S1372" s="127"/>
      <c r="T1372" s="127"/>
      <c r="U1372" s="127"/>
    </row>
    <row r="1373" spans="1:21" ht="15" customHeight="1">
      <c r="A1373" s="125"/>
      <c r="B1373" s="125"/>
      <c r="C1373" s="125"/>
      <c r="D1373" s="81"/>
      <c r="E1373" s="81"/>
      <c r="F1373" s="97"/>
      <c r="G1373" s="81"/>
      <c r="H1373" s="81"/>
      <c r="I1373" s="81"/>
      <c r="J1373" s="81"/>
      <c r="K1373" s="81"/>
      <c r="L1373" s="155"/>
      <c r="M1373" s="155"/>
      <c r="N1373" s="109"/>
      <c r="O1373" s="126"/>
      <c r="P1373" s="126"/>
      <c r="Q1373" s="126"/>
      <c r="R1373" s="127"/>
      <c r="S1373" s="127"/>
      <c r="T1373" s="127"/>
      <c r="U1373" s="127"/>
    </row>
    <row r="1374" spans="1:21" ht="15" customHeight="1">
      <c r="A1374" s="125"/>
      <c r="B1374" s="125"/>
      <c r="C1374" s="125"/>
      <c r="D1374" s="81"/>
      <c r="E1374" s="81"/>
      <c r="F1374" s="97"/>
      <c r="G1374" s="81"/>
      <c r="H1374" s="81"/>
      <c r="I1374" s="81"/>
      <c r="J1374" s="81"/>
      <c r="K1374" s="81"/>
      <c r="L1374" s="155"/>
      <c r="M1374" s="155"/>
      <c r="N1374" s="109"/>
      <c r="O1374" s="126"/>
      <c r="P1374" s="126"/>
      <c r="Q1374" s="126"/>
      <c r="R1374" s="127"/>
      <c r="S1374" s="127"/>
      <c r="T1374" s="127"/>
      <c r="U1374" s="127"/>
    </row>
    <row r="1375" spans="1:21" ht="15" customHeight="1">
      <c r="A1375" s="125"/>
      <c r="B1375" s="125"/>
      <c r="C1375" s="125"/>
      <c r="D1375" s="81"/>
      <c r="E1375" s="81"/>
      <c r="F1375" s="97"/>
      <c r="G1375" s="81"/>
      <c r="H1375" s="81"/>
      <c r="I1375" s="81"/>
      <c r="J1375" s="81"/>
      <c r="K1375" s="81"/>
      <c r="L1375" s="155"/>
      <c r="M1375" s="155"/>
      <c r="N1375" s="109"/>
      <c r="O1375" s="126"/>
      <c r="P1375" s="126"/>
      <c r="Q1375" s="126"/>
      <c r="R1375" s="127"/>
      <c r="S1375" s="127"/>
      <c r="T1375" s="127"/>
      <c r="U1375" s="127"/>
    </row>
    <row r="1376" spans="1:21" ht="15" customHeight="1">
      <c r="A1376" s="125"/>
      <c r="B1376" s="125"/>
      <c r="C1376" s="125"/>
      <c r="D1376" s="81"/>
      <c r="E1376" s="81"/>
      <c r="F1376" s="97"/>
      <c r="G1376" s="81"/>
      <c r="H1376" s="81"/>
      <c r="I1376" s="81"/>
      <c r="J1376" s="81"/>
      <c r="K1376" s="81"/>
      <c r="L1376" s="155"/>
      <c r="M1376" s="155"/>
      <c r="N1376" s="109"/>
      <c r="O1376" s="126"/>
      <c r="P1376" s="126"/>
      <c r="Q1376" s="126"/>
      <c r="R1376" s="127"/>
      <c r="S1376" s="127"/>
      <c r="T1376" s="127"/>
      <c r="U1376" s="127"/>
    </row>
    <row r="1377" spans="1:21" ht="15" customHeight="1">
      <c r="A1377" s="125"/>
      <c r="B1377" s="125"/>
      <c r="C1377" s="125"/>
      <c r="D1377" s="81"/>
      <c r="E1377" s="81"/>
      <c r="F1377" s="97"/>
      <c r="G1377" s="81"/>
      <c r="H1377" s="81"/>
      <c r="I1377" s="81"/>
      <c r="J1377" s="81"/>
      <c r="K1377" s="81"/>
      <c r="L1377" s="155"/>
      <c r="M1377" s="155"/>
      <c r="N1377" s="109"/>
      <c r="O1377" s="126"/>
      <c r="P1377" s="126"/>
      <c r="Q1377" s="126"/>
      <c r="R1377" s="127"/>
      <c r="S1377" s="127"/>
      <c r="T1377" s="127"/>
      <c r="U1377" s="127"/>
    </row>
    <row r="1378" spans="1:21" ht="15" customHeight="1">
      <c r="A1378" s="125"/>
      <c r="B1378" s="125"/>
      <c r="C1378" s="125"/>
      <c r="D1378" s="81"/>
      <c r="E1378" s="81"/>
      <c r="F1378" s="97"/>
      <c r="G1378" s="81"/>
      <c r="H1378" s="81"/>
      <c r="I1378" s="81"/>
      <c r="J1378" s="81"/>
      <c r="K1378" s="81"/>
      <c r="L1378" s="155"/>
      <c r="M1378" s="155"/>
      <c r="N1378" s="109"/>
      <c r="O1378" s="126"/>
      <c r="P1378" s="126"/>
      <c r="Q1378" s="126"/>
      <c r="R1378" s="127"/>
      <c r="S1378" s="127"/>
      <c r="T1378" s="127"/>
      <c r="U1378" s="127"/>
    </row>
    <row r="1379" spans="1:21" ht="15" customHeight="1">
      <c r="A1379" s="125"/>
      <c r="B1379" s="125"/>
      <c r="C1379" s="125"/>
      <c r="D1379" s="81"/>
      <c r="E1379" s="81"/>
      <c r="F1379" s="97"/>
      <c r="G1379" s="81"/>
      <c r="H1379" s="81"/>
      <c r="I1379" s="81"/>
      <c r="J1379" s="81"/>
      <c r="K1379" s="81"/>
      <c r="L1379" s="155"/>
      <c r="M1379" s="155"/>
      <c r="N1379" s="109"/>
      <c r="O1379" s="126"/>
      <c r="P1379" s="126"/>
      <c r="Q1379" s="126"/>
      <c r="R1379" s="127"/>
      <c r="S1379" s="127"/>
      <c r="T1379" s="127"/>
      <c r="U1379" s="127"/>
    </row>
    <row r="1380" spans="1:21" ht="15" customHeight="1">
      <c r="A1380" s="125"/>
      <c r="B1380" s="125"/>
      <c r="C1380" s="125"/>
      <c r="D1380" s="81"/>
      <c r="E1380" s="81"/>
      <c r="F1380" s="97"/>
      <c r="G1380" s="81"/>
      <c r="H1380" s="81"/>
      <c r="I1380" s="81"/>
      <c r="J1380" s="81"/>
      <c r="K1380" s="81"/>
      <c r="L1380" s="155"/>
      <c r="M1380" s="155"/>
      <c r="N1380" s="109"/>
      <c r="O1380" s="126"/>
      <c r="P1380" s="126"/>
      <c r="Q1380" s="126"/>
      <c r="R1380" s="127"/>
      <c r="S1380" s="127"/>
      <c r="T1380" s="127"/>
      <c r="U1380" s="127"/>
    </row>
    <row r="1381" spans="1:21" ht="15" customHeight="1">
      <c r="A1381" s="125"/>
      <c r="B1381" s="125"/>
      <c r="C1381" s="125"/>
      <c r="D1381" s="81"/>
      <c r="E1381" s="81"/>
      <c r="F1381" s="97"/>
      <c r="G1381" s="81"/>
      <c r="H1381" s="81"/>
      <c r="I1381" s="81"/>
      <c r="J1381" s="81"/>
      <c r="K1381" s="81"/>
      <c r="L1381" s="155"/>
      <c r="M1381" s="155"/>
      <c r="N1381" s="109"/>
      <c r="O1381" s="126"/>
      <c r="P1381" s="126"/>
      <c r="Q1381" s="126"/>
      <c r="R1381" s="127"/>
      <c r="S1381" s="127"/>
      <c r="T1381" s="127"/>
      <c r="U1381" s="127"/>
    </row>
    <row r="1382" spans="1:21" ht="15" customHeight="1">
      <c r="A1382" s="125"/>
      <c r="B1382" s="125"/>
      <c r="C1382" s="125"/>
      <c r="D1382" s="81"/>
      <c r="E1382" s="81"/>
      <c r="F1382" s="97"/>
      <c r="G1382" s="81"/>
      <c r="H1382" s="81"/>
      <c r="I1382" s="81"/>
      <c r="J1382" s="81"/>
      <c r="K1382" s="81"/>
      <c r="L1382" s="155"/>
      <c r="M1382" s="155"/>
      <c r="N1382" s="109"/>
      <c r="O1382" s="126"/>
      <c r="P1382" s="126"/>
      <c r="Q1382" s="126"/>
      <c r="R1382" s="127"/>
      <c r="S1382" s="127"/>
      <c r="T1382" s="127"/>
      <c r="U1382" s="127"/>
    </row>
    <row r="1383" spans="1:21" ht="15" customHeight="1">
      <c r="A1383" s="125"/>
      <c r="B1383" s="125"/>
      <c r="C1383" s="125"/>
      <c r="D1383" s="81"/>
      <c r="E1383" s="81"/>
      <c r="F1383" s="97"/>
      <c r="G1383" s="81"/>
      <c r="H1383" s="81"/>
      <c r="I1383" s="81"/>
      <c r="J1383" s="81"/>
      <c r="K1383" s="81"/>
      <c r="L1383" s="155"/>
      <c r="M1383" s="155"/>
      <c r="N1383" s="109"/>
      <c r="O1383" s="126"/>
      <c r="P1383" s="126"/>
      <c r="Q1383" s="126"/>
      <c r="R1383" s="127"/>
      <c r="S1383" s="127"/>
      <c r="T1383" s="127"/>
      <c r="U1383" s="127"/>
    </row>
    <row r="1384" spans="1:21" ht="15" customHeight="1">
      <c r="A1384" s="125"/>
      <c r="B1384" s="125"/>
      <c r="C1384" s="125"/>
      <c r="D1384" s="81"/>
      <c r="E1384" s="81"/>
      <c r="F1384" s="97"/>
      <c r="G1384" s="81"/>
      <c r="H1384" s="81"/>
      <c r="I1384" s="81"/>
      <c r="J1384" s="81"/>
      <c r="K1384" s="81"/>
      <c r="L1384" s="155"/>
      <c r="M1384" s="155"/>
      <c r="N1384" s="109"/>
      <c r="O1384" s="126"/>
      <c r="P1384" s="126"/>
      <c r="Q1384" s="126"/>
      <c r="R1384" s="127"/>
      <c r="S1384" s="127"/>
      <c r="T1384" s="127"/>
      <c r="U1384" s="127"/>
    </row>
    <row r="1385" spans="1:21" ht="15" customHeight="1">
      <c r="A1385" s="125"/>
      <c r="B1385" s="125"/>
      <c r="C1385" s="125"/>
      <c r="D1385" s="81"/>
      <c r="E1385" s="81"/>
      <c r="F1385" s="97"/>
      <c r="G1385" s="81"/>
      <c r="H1385" s="81"/>
      <c r="I1385" s="81"/>
      <c r="J1385" s="81"/>
      <c r="K1385" s="81"/>
      <c r="L1385" s="155"/>
      <c r="M1385" s="155"/>
      <c r="N1385" s="109"/>
      <c r="O1385" s="126"/>
      <c r="P1385" s="126"/>
      <c r="Q1385" s="126"/>
      <c r="R1385" s="127"/>
      <c r="S1385" s="127"/>
      <c r="T1385" s="127"/>
      <c r="U1385" s="127"/>
    </row>
    <row r="1386" spans="1:21" ht="15" customHeight="1">
      <c r="A1386" s="125"/>
      <c r="B1386" s="125"/>
      <c r="C1386" s="125"/>
      <c r="D1386" s="81"/>
      <c r="E1386" s="81"/>
      <c r="F1386" s="97"/>
      <c r="G1386" s="81"/>
      <c r="H1386" s="81"/>
      <c r="I1386" s="81"/>
      <c r="J1386" s="81"/>
      <c r="K1386" s="81"/>
      <c r="L1386" s="155"/>
      <c r="M1386" s="155"/>
      <c r="N1386" s="109"/>
      <c r="O1386" s="126"/>
      <c r="P1386" s="126"/>
      <c r="Q1386" s="126"/>
      <c r="R1386" s="127"/>
      <c r="S1386" s="127"/>
      <c r="T1386" s="127"/>
      <c r="U1386" s="127"/>
    </row>
    <row r="1387" spans="1:21" ht="15" customHeight="1">
      <c r="A1387" s="125"/>
      <c r="B1387" s="125"/>
      <c r="C1387" s="125"/>
      <c r="D1387" s="81"/>
      <c r="E1387" s="81"/>
      <c r="F1387" s="97"/>
      <c r="G1387" s="81"/>
      <c r="H1387" s="81"/>
      <c r="I1387" s="81"/>
      <c r="J1387" s="81"/>
      <c r="K1387" s="81"/>
      <c r="L1387" s="155"/>
      <c r="M1387" s="155"/>
      <c r="N1387" s="109"/>
      <c r="O1387" s="126"/>
      <c r="P1387" s="126"/>
      <c r="Q1387" s="126"/>
      <c r="R1387" s="127"/>
      <c r="S1387" s="127"/>
      <c r="T1387" s="127"/>
      <c r="U1387" s="127"/>
    </row>
    <row r="1388" spans="1:21" ht="15" customHeight="1">
      <c r="A1388" s="125"/>
      <c r="B1388" s="125"/>
      <c r="C1388" s="125"/>
      <c r="D1388" s="81"/>
      <c r="E1388" s="81"/>
      <c r="F1388" s="97"/>
      <c r="G1388" s="81"/>
      <c r="H1388" s="81"/>
      <c r="I1388" s="81"/>
      <c r="J1388" s="81"/>
      <c r="K1388" s="81"/>
      <c r="L1388" s="155"/>
      <c r="M1388" s="155"/>
      <c r="N1388" s="109"/>
      <c r="O1388" s="126"/>
      <c r="P1388" s="126"/>
      <c r="Q1388" s="126"/>
      <c r="R1388" s="127"/>
      <c r="S1388" s="127"/>
      <c r="T1388" s="127"/>
      <c r="U1388" s="127"/>
    </row>
    <row r="1389" spans="1:21" ht="15" customHeight="1">
      <c r="A1389" s="125"/>
      <c r="B1389" s="125"/>
      <c r="C1389" s="125"/>
      <c r="D1389" s="81"/>
      <c r="E1389" s="81"/>
      <c r="F1389" s="97"/>
      <c r="G1389" s="81"/>
      <c r="H1389" s="81"/>
      <c r="I1389" s="81"/>
      <c r="J1389" s="81"/>
      <c r="K1389" s="81"/>
      <c r="L1389" s="155"/>
      <c r="M1389" s="155"/>
      <c r="N1389" s="109"/>
      <c r="O1389" s="126"/>
      <c r="P1389" s="126"/>
      <c r="Q1389" s="126"/>
      <c r="R1389" s="127"/>
      <c r="S1389" s="127"/>
      <c r="T1389" s="127"/>
      <c r="U1389" s="127"/>
    </row>
    <row r="1390" spans="1:21" ht="15" customHeight="1">
      <c r="A1390" s="125"/>
      <c r="B1390" s="125"/>
      <c r="C1390" s="125"/>
      <c r="D1390" s="81"/>
      <c r="E1390" s="81"/>
      <c r="F1390" s="97"/>
      <c r="G1390" s="81"/>
      <c r="H1390" s="81"/>
      <c r="I1390" s="81"/>
      <c r="J1390" s="81"/>
      <c r="K1390" s="81"/>
      <c r="L1390" s="155"/>
      <c r="M1390" s="155"/>
      <c r="N1390" s="109"/>
      <c r="O1390" s="126"/>
      <c r="P1390" s="126"/>
      <c r="Q1390" s="126"/>
      <c r="R1390" s="127"/>
      <c r="S1390" s="127"/>
      <c r="T1390" s="127"/>
      <c r="U1390" s="127"/>
    </row>
    <row r="1391" spans="1:21" ht="15" customHeight="1">
      <c r="A1391" s="125"/>
      <c r="B1391" s="125"/>
      <c r="C1391" s="125"/>
      <c r="D1391" s="81"/>
      <c r="E1391" s="81"/>
      <c r="F1391" s="97"/>
      <c r="G1391" s="81"/>
      <c r="H1391" s="81"/>
      <c r="I1391" s="81"/>
      <c r="J1391" s="81"/>
      <c r="K1391" s="81"/>
      <c r="L1391" s="155"/>
      <c r="M1391" s="155"/>
      <c r="N1391" s="109"/>
      <c r="O1391" s="126"/>
      <c r="P1391" s="126"/>
      <c r="Q1391" s="126"/>
      <c r="R1391" s="127"/>
      <c r="S1391" s="127"/>
      <c r="T1391" s="127"/>
      <c r="U1391" s="127"/>
    </row>
    <row r="1392" spans="1:21" ht="15" customHeight="1">
      <c r="A1392" s="125"/>
      <c r="B1392" s="125"/>
      <c r="C1392" s="125"/>
      <c r="D1392" s="81"/>
      <c r="E1392" s="81"/>
      <c r="F1392" s="97"/>
      <c r="G1392" s="81"/>
      <c r="H1392" s="81"/>
      <c r="I1392" s="81"/>
      <c r="J1392" s="81"/>
      <c r="K1392" s="81"/>
      <c r="L1392" s="155"/>
      <c r="M1392" s="155"/>
      <c r="N1392" s="109"/>
      <c r="O1392" s="126"/>
      <c r="P1392" s="126"/>
      <c r="Q1392" s="126"/>
      <c r="R1392" s="127"/>
      <c r="S1392" s="127"/>
      <c r="T1392" s="127"/>
      <c r="U1392" s="127"/>
    </row>
    <row r="1393" spans="1:21" ht="15" customHeight="1">
      <c r="A1393" s="125"/>
      <c r="B1393" s="125"/>
      <c r="C1393" s="125"/>
      <c r="D1393" s="81"/>
      <c r="E1393" s="81"/>
      <c r="F1393" s="97"/>
      <c r="G1393" s="81"/>
      <c r="H1393" s="81"/>
      <c r="I1393" s="81"/>
      <c r="J1393" s="81"/>
      <c r="K1393" s="81"/>
      <c r="L1393" s="155"/>
      <c r="M1393" s="155"/>
      <c r="N1393" s="109"/>
      <c r="O1393" s="126"/>
      <c r="P1393" s="126"/>
      <c r="Q1393" s="126"/>
      <c r="R1393" s="127"/>
      <c r="S1393" s="127"/>
      <c r="T1393" s="127"/>
      <c r="U1393" s="127"/>
    </row>
    <row r="1394" spans="1:21" ht="15" customHeight="1">
      <c r="A1394" s="125"/>
      <c r="B1394" s="125"/>
      <c r="C1394" s="125"/>
      <c r="D1394" s="81"/>
      <c r="E1394" s="81"/>
      <c r="F1394" s="97"/>
      <c r="G1394" s="81"/>
      <c r="H1394" s="81"/>
      <c r="I1394" s="81"/>
      <c r="J1394" s="81"/>
      <c r="K1394" s="81"/>
      <c r="L1394" s="155"/>
      <c r="M1394" s="155"/>
      <c r="N1394" s="109"/>
      <c r="O1394" s="126"/>
      <c r="P1394" s="126"/>
      <c r="Q1394" s="126"/>
      <c r="R1394" s="127"/>
      <c r="S1394" s="127"/>
      <c r="T1394" s="127"/>
      <c r="U1394" s="127"/>
    </row>
    <row r="1395" spans="1:21" ht="15" customHeight="1">
      <c r="A1395" s="125"/>
      <c r="B1395" s="125"/>
      <c r="C1395" s="125"/>
      <c r="D1395" s="81"/>
      <c r="E1395" s="81"/>
      <c r="F1395" s="97"/>
      <c r="G1395" s="81"/>
      <c r="H1395" s="81"/>
      <c r="I1395" s="81"/>
      <c r="J1395" s="81"/>
      <c r="K1395" s="81"/>
      <c r="L1395" s="155"/>
      <c r="M1395" s="155"/>
      <c r="N1395" s="109"/>
      <c r="O1395" s="126"/>
      <c r="P1395" s="126"/>
      <c r="Q1395" s="126"/>
      <c r="R1395" s="127"/>
      <c r="S1395" s="127"/>
      <c r="T1395" s="127"/>
      <c r="U1395" s="127"/>
    </row>
    <row r="1396" spans="1:21" ht="15" customHeight="1">
      <c r="A1396" s="125"/>
      <c r="B1396" s="125"/>
      <c r="C1396" s="125"/>
      <c r="D1396" s="81"/>
      <c r="E1396" s="81"/>
      <c r="F1396" s="97"/>
      <c r="G1396" s="81"/>
      <c r="H1396" s="81"/>
      <c r="I1396" s="81"/>
      <c r="J1396" s="81"/>
      <c r="K1396" s="81"/>
      <c r="L1396" s="155"/>
      <c r="M1396" s="155"/>
      <c r="N1396" s="109"/>
      <c r="O1396" s="126"/>
      <c r="P1396" s="126"/>
      <c r="Q1396" s="126"/>
      <c r="R1396" s="127"/>
      <c r="S1396" s="127"/>
      <c r="T1396" s="127"/>
      <c r="U1396" s="127"/>
    </row>
    <row r="1397" spans="1:21" ht="15" customHeight="1">
      <c r="A1397" s="125"/>
      <c r="B1397" s="125"/>
      <c r="C1397" s="125"/>
      <c r="D1397" s="81"/>
      <c r="E1397" s="81"/>
      <c r="F1397" s="97"/>
      <c r="G1397" s="81"/>
      <c r="H1397" s="81"/>
      <c r="I1397" s="81"/>
      <c r="J1397" s="81"/>
      <c r="K1397" s="81"/>
      <c r="L1397" s="155"/>
      <c r="M1397" s="155"/>
      <c r="N1397" s="109"/>
      <c r="O1397" s="126"/>
      <c r="P1397" s="126"/>
      <c r="Q1397" s="126"/>
      <c r="R1397" s="127"/>
      <c r="S1397" s="127"/>
      <c r="T1397" s="127"/>
      <c r="U1397" s="127"/>
    </row>
    <row r="1398" spans="1:21" ht="15" customHeight="1">
      <c r="A1398" s="125"/>
      <c r="B1398" s="125"/>
      <c r="C1398" s="125"/>
      <c r="D1398" s="81"/>
      <c r="E1398" s="81"/>
      <c r="F1398" s="97"/>
      <c r="G1398" s="81"/>
      <c r="H1398" s="81"/>
      <c r="I1398" s="81"/>
      <c r="J1398" s="81"/>
      <c r="K1398" s="81"/>
      <c r="L1398" s="155"/>
      <c r="M1398" s="155"/>
      <c r="N1398" s="109"/>
      <c r="O1398" s="126"/>
      <c r="P1398" s="126"/>
      <c r="Q1398" s="126"/>
      <c r="R1398" s="127"/>
      <c r="S1398" s="127"/>
      <c r="T1398" s="127"/>
      <c r="U1398" s="127"/>
    </row>
    <row r="1399" spans="1:21" ht="15" customHeight="1">
      <c r="A1399" s="125"/>
      <c r="B1399" s="125"/>
      <c r="C1399" s="125"/>
      <c r="D1399" s="81"/>
      <c r="E1399" s="81"/>
      <c r="F1399" s="97"/>
      <c r="G1399" s="81"/>
      <c r="H1399" s="81"/>
      <c r="I1399" s="81"/>
      <c r="J1399" s="81"/>
      <c r="K1399" s="81"/>
      <c r="L1399" s="155"/>
      <c r="M1399" s="155"/>
      <c r="N1399" s="109"/>
      <c r="O1399" s="126"/>
      <c r="P1399" s="126"/>
      <c r="Q1399" s="126"/>
      <c r="R1399" s="127"/>
      <c r="S1399" s="127"/>
      <c r="T1399" s="127"/>
      <c r="U1399" s="127"/>
    </row>
    <row r="1400" spans="1:21" ht="15" customHeight="1">
      <c r="A1400" s="125"/>
      <c r="B1400" s="125"/>
      <c r="C1400" s="125"/>
      <c r="D1400" s="81"/>
      <c r="E1400" s="81"/>
      <c r="F1400" s="97"/>
      <c r="G1400" s="81"/>
      <c r="H1400" s="81"/>
      <c r="I1400" s="81"/>
      <c r="J1400" s="81"/>
      <c r="K1400" s="81"/>
      <c r="L1400" s="155"/>
      <c r="M1400" s="155"/>
      <c r="N1400" s="109"/>
      <c r="O1400" s="126"/>
      <c r="P1400" s="126"/>
      <c r="Q1400" s="126"/>
      <c r="R1400" s="127"/>
      <c r="S1400" s="127"/>
      <c r="T1400" s="127"/>
      <c r="U1400" s="127"/>
    </row>
    <row r="1401" spans="1:21" ht="15" customHeight="1">
      <c r="A1401" s="125"/>
      <c r="B1401" s="125"/>
      <c r="C1401" s="125"/>
      <c r="D1401" s="81"/>
      <c r="E1401" s="81"/>
      <c r="F1401" s="97"/>
      <c r="G1401" s="81"/>
      <c r="H1401" s="81"/>
      <c r="I1401" s="81"/>
      <c r="J1401" s="81"/>
      <c r="K1401" s="81"/>
      <c r="L1401" s="155"/>
      <c r="M1401" s="155"/>
      <c r="N1401" s="109"/>
      <c r="O1401" s="126"/>
      <c r="P1401" s="126"/>
      <c r="Q1401" s="126"/>
      <c r="R1401" s="127"/>
      <c r="S1401" s="127"/>
      <c r="T1401" s="127"/>
      <c r="U1401" s="127"/>
    </row>
    <row r="1402" spans="1:21" ht="15" customHeight="1">
      <c r="A1402" s="125"/>
      <c r="B1402" s="125"/>
      <c r="C1402" s="125"/>
      <c r="D1402" s="81"/>
      <c r="E1402" s="81"/>
      <c r="F1402" s="97"/>
      <c r="G1402" s="81"/>
      <c r="H1402" s="81"/>
      <c r="I1402" s="81"/>
      <c r="J1402" s="81"/>
      <c r="K1402" s="81"/>
      <c r="L1402" s="155"/>
      <c r="M1402" s="155"/>
      <c r="N1402" s="109"/>
      <c r="O1402" s="126"/>
      <c r="P1402" s="126"/>
      <c r="Q1402" s="126"/>
      <c r="R1402" s="127"/>
      <c r="S1402" s="127"/>
      <c r="T1402" s="127"/>
      <c r="U1402" s="127"/>
    </row>
    <row r="1403" spans="1:21" ht="15" customHeight="1">
      <c r="A1403" s="125"/>
      <c r="B1403" s="125"/>
      <c r="C1403" s="125"/>
      <c r="D1403" s="81"/>
      <c r="E1403" s="81"/>
      <c r="F1403" s="97"/>
      <c r="G1403" s="81"/>
      <c r="H1403" s="81"/>
      <c r="I1403" s="81"/>
      <c r="J1403" s="81"/>
      <c r="K1403" s="81"/>
      <c r="L1403" s="155"/>
      <c r="M1403" s="155"/>
      <c r="N1403" s="109"/>
      <c r="O1403" s="126"/>
      <c r="P1403" s="126"/>
      <c r="Q1403" s="126"/>
      <c r="R1403" s="127"/>
      <c r="S1403" s="127"/>
      <c r="T1403" s="127"/>
      <c r="U1403" s="127"/>
    </row>
    <row r="1404" spans="1:21" ht="15" customHeight="1">
      <c r="A1404" s="125"/>
      <c r="B1404" s="125"/>
      <c r="C1404" s="125"/>
      <c r="D1404" s="81"/>
      <c r="E1404" s="81"/>
      <c r="F1404" s="97"/>
      <c r="G1404" s="81"/>
      <c r="H1404" s="81"/>
      <c r="I1404" s="81"/>
      <c r="J1404" s="81"/>
      <c r="K1404" s="81"/>
      <c r="L1404" s="155"/>
      <c r="M1404" s="155"/>
      <c r="N1404" s="109"/>
      <c r="O1404" s="126"/>
      <c r="P1404" s="126"/>
      <c r="Q1404" s="126"/>
      <c r="R1404" s="127"/>
      <c r="S1404" s="127"/>
      <c r="T1404" s="127"/>
      <c r="U1404" s="127"/>
    </row>
    <row r="1405" spans="1:21" ht="15" customHeight="1">
      <c r="A1405" s="125"/>
      <c r="B1405" s="125"/>
      <c r="C1405" s="125"/>
      <c r="D1405" s="81"/>
      <c r="E1405" s="81"/>
      <c r="F1405" s="97"/>
      <c r="G1405" s="81"/>
      <c r="H1405" s="81"/>
      <c r="I1405" s="81"/>
      <c r="J1405" s="81"/>
      <c r="K1405" s="81"/>
      <c r="L1405" s="155"/>
      <c r="M1405" s="155"/>
      <c r="N1405" s="109"/>
      <c r="O1405" s="126"/>
      <c r="P1405" s="126"/>
      <c r="Q1405" s="126"/>
      <c r="R1405" s="127"/>
      <c r="S1405" s="127"/>
      <c r="T1405" s="127"/>
      <c r="U1405" s="127"/>
    </row>
    <row r="1406" spans="1:21" ht="15" customHeight="1">
      <c r="A1406" s="125"/>
      <c r="B1406" s="125"/>
      <c r="C1406" s="125"/>
      <c r="D1406" s="81"/>
      <c r="E1406" s="81"/>
      <c r="F1406" s="97"/>
      <c r="G1406" s="81"/>
      <c r="H1406" s="81"/>
      <c r="I1406" s="81"/>
      <c r="J1406" s="81"/>
      <c r="K1406" s="81"/>
      <c r="L1406" s="155"/>
      <c r="M1406" s="155"/>
      <c r="N1406" s="109"/>
      <c r="O1406" s="126"/>
      <c r="P1406" s="126"/>
      <c r="Q1406" s="126"/>
      <c r="R1406" s="127"/>
      <c r="S1406" s="127"/>
      <c r="T1406" s="127"/>
      <c r="U1406" s="127"/>
    </row>
    <row r="1407" spans="1:21" ht="15" customHeight="1">
      <c r="A1407" s="125"/>
      <c r="B1407" s="125"/>
      <c r="C1407" s="125"/>
      <c r="D1407" s="81"/>
      <c r="E1407" s="81"/>
      <c r="F1407" s="97"/>
      <c r="G1407" s="81"/>
      <c r="H1407" s="81"/>
      <c r="I1407" s="81"/>
      <c r="J1407" s="81"/>
      <c r="K1407" s="81"/>
      <c r="L1407" s="155"/>
      <c r="M1407" s="155"/>
      <c r="N1407" s="109"/>
      <c r="O1407" s="126"/>
      <c r="P1407" s="126"/>
      <c r="Q1407" s="126"/>
      <c r="R1407" s="127"/>
      <c r="S1407" s="127"/>
      <c r="T1407" s="127"/>
      <c r="U1407" s="127"/>
    </row>
    <row r="1408" spans="1:21" ht="15" customHeight="1">
      <c r="A1408" s="125"/>
      <c r="B1408" s="125"/>
      <c r="C1408" s="125"/>
      <c r="D1408" s="81"/>
      <c r="E1408" s="81"/>
      <c r="F1408" s="97"/>
      <c r="G1408" s="81"/>
      <c r="H1408" s="81"/>
      <c r="I1408" s="81"/>
      <c r="J1408" s="81"/>
      <c r="K1408" s="81"/>
      <c r="L1408" s="155"/>
      <c r="M1408" s="155"/>
      <c r="N1408" s="109"/>
      <c r="O1408" s="126"/>
      <c r="P1408" s="126"/>
      <c r="Q1408" s="126"/>
      <c r="R1408" s="127"/>
      <c r="S1408" s="127"/>
      <c r="T1408" s="127"/>
      <c r="U1408" s="127"/>
    </row>
    <row r="1409" spans="1:21" ht="15" customHeight="1">
      <c r="A1409" s="125"/>
      <c r="B1409" s="125"/>
      <c r="C1409" s="125"/>
      <c r="D1409" s="81"/>
      <c r="E1409" s="81"/>
      <c r="F1409" s="97"/>
      <c r="G1409" s="81"/>
      <c r="H1409" s="81"/>
      <c r="I1409" s="81"/>
      <c r="J1409" s="81"/>
      <c r="K1409" s="81"/>
      <c r="L1409" s="155"/>
      <c r="M1409" s="155"/>
      <c r="N1409" s="109"/>
      <c r="O1409" s="126"/>
      <c r="P1409" s="126"/>
      <c r="Q1409" s="126"/>
      <c r="R1409" s="127"/>
      <c r="S1409" s="127"/>
      <c r="T1409" s="127"/>
      <c r="U1409" s="127"/>
    </row>
    <row r="1410" spans="1:21" ht="15" customHeight="1">
      <c r="A1410" s="125"/>
      <c r="B1410" s="125"/>
      <c r="C1410" s="125"/>
      <c r="D1410" s="81"/>
      <c r="E1410" s="81"/>
      <c r="F1410" s="97"/>
      <c r="G1410" s="81"/>
      <c r="H1410" s="81"/>
      <c r="I1410" s="81"/>
      <c r="J1410" s="81"/>
      <c r="K1410" s="81"/>
      <c r="L1410" s="155"/>
      <c r="M1410" s="155"/>
      <c r="N1410" s="109"/>
      <c r="O1410" s="126"/>
      <c r="P1410" s="126"/>
      <c r="Q1410" s="126"/>
      <c r="R1410" s="127"/>
      <c r="S1410" s="127"/>
      <c r="T1410" s="127"/>
      <c r="U1410" s="127"/>
    </row>
    <row r="1411" spans="1:21" ht="15" customHeight="1">
      <c r="A1411" s="125"/>
      <c r="B1411" s="125"/>
      <c r="C1411" s="125"/>
      <c r="D1411" s="81"/>
      <c r="E1411" s="81"/>
      <c r="F1411" s="97"/>
      <c r="G1411" s="81"/>
      <c r="H1411" s="81"/>
      <c r="I1411" s="81"/>
      <c r="J1411" s="81"/>
      <c r="K1411" s="81"/>
      <c r="L1411" s="155"/>
      <c r="M1411" s="155"/>
      <c r="N1411" s="109"/>
      <c r="O1411" s="126"/>
      <c r="P1411" s="126"/>
      <c r="Q1411" s="126"/>
      <c r="R1411" s="127"/>
      <c r="S1411" s="127"/>
      <c r="T1411" s="127"/>
      <c r="U1411" s="127"/>
    </row>
    <row r="1412" spans="1:21" ht="15" customHeight="1">
      <c r="A1412" s="125"/>
      <c r="B1412" s="125"/>
      <c r="C1412" s="125"/>
      <c r="D1412" s="81"/>
      <c r="E1412" s="81"/>
      <c r="F1412" s="97"/>
      <c r="G1412" s="81"/>
      <c r="H1412" s="81"/>
      <c r="I1412" s="81"/>
      <c r="J1412" s="81"/>
      <c r="K1412" s="81"/>
      <c r="L1412" s="155"/>
      <c r="M1412" s="155"/>
      <c r="N1412" s="109"/>
      <c r="O1412" s="126"/>
      <c r="P1412" s="126"/>
      <c r="Q1412" s="126"/>
      <c r="R1412" s="127"/>
      <c r="S1412" s="127"/>
      <c r="T1412" s="127"/>
      <c r="U1412" s="127"/>
    </row>
    <row r="1413" spans="1:21" ht="15" customHeight="1">
      <c r="A1413" s="125"/>
      <c r="B1413" s="125"/>
      <c r="C1413" s="125"/>
      <c r="D1413" s="81"/>
      <c r="E1413" s="81"/>
      <c r="F1413" s="97"/>
      <c r="G1413" s="81"/>
      <c r="H1413" s="81"/>
      <c r="I1413" s="81"/>
      <c r="J1413" s="81"/>
      <c r="K1413" s="81"/>
      <c r="L1413" s="155"/>
      <c r="M1413" s="155"/>
      <c r="N1413" s="109"/>
      <c r="O1413" s="126"/>
      <c r="P1413" s="126"/>
      <c r="Q1413" s="126"/>
      <c r="R1413" s="127"/>
      <c r="S1413" s="127"/>
      <c r="T1413" s="127"/>
      <c r="U1413" s="127"/>
    </row>
    <row r="1414" spans="1:21" ht="15" customHeight="1">
      <c r="A1414" s="125"/>
      <c r="B1414" s="125"/>
      <c r="C1414" s="125"/>
      <c r="D1414" s="81"/>
      <c r="E1414" s="81"/>
      <c r="F1414" s="97"/>
      <c r="G1414" s="81"/>
      <c r="H1414" s="81"/>
      <c r="I1414" s="81"/>
      <c r="J1414" s="81"/>
      <c r="K1414" s="81"/>
      <c r="L1414" s="155"/>
      <c r="M1414" s="155"/>
      <c r="N1414" s="109"/>
      <c r="O1414" s="126"/>
      <c r="P1414" s="126"/>
      <c r="Q1414" s="126"/>
      <c r="R1414" s="127"/>
      <c r="S1414" s="127"/>
      <c r="T1414" s="127"/>
      <c r="U1414" s="127"/>
    </row>
    <row r="1415" spans="1:21" ht="15" customHeight="1">
      <c r="A1415" s="125"/>
      <c r="B1415" s="125"/>
      <c r="C1415" s="125"/>
      <c r="D1415" s="81"/>
      <c r="E1415" s="81"/>
      <c r="F1415" s="97"/>
      <c r="G1415" s="81"/>
      <c r="H1415" s="81"/>
      <c r="I1415" s="81"/>
      <c r="J1415" s="81"/>
      <c r="K1415" s="81"/>
      <c r="L1415" s="155"/>
      <c r="M1415" s="155"/>
      <c r="N1415" s="109"/>
      <c r="O1415" s="126"/>
      <c r="P1415" s="126"/>
      <c r="Q1415" s="126"/>
      <c r="R1415" s="127"/>
      <c r="S1415" s="127"/>
      <c r="T1415" s="127"/>
      <c r="U1415" s="127"/>
    </row>
    <row r="1416" spans="1:21" ht="15" customHeight="1">
      <c r="A1416" s="125"/>
      <c r="B1416" s="125"/>
      <c r="C1416" s="125"/>
      <c r="D1416" s="81"/>
      <c r="E1416" s="81"/>
      <c r="F1416" s="97"/>
      <c r="G1416" s="81"/>
      <c r="H1416" s="81"/>
      <c r="I1416" s="81"/>
      <c r="J1416" s="81"/>
      <c r="K1416" s="81"/>
      <c r="L1416" s="155"/>
      <c r="M1416" s="155"/>
      <c r="N1416" s="109"/>
      <c r="O1416" s="126"/>
      <c r="P1416" s="126"/>
      <c r="Q1416" s="126"/>
      <c r="R1416" s="127"/>
      <c r="S1416" s="127"/>
      <c r="T1416" s="127"/>
      <c r="U1416" s="127"/>
    </row>
    <row r="1417" spans="1:21" ht="15" customHeight="1">
      <c r="A1417" s="125"/>
      <c r="B1417" s="125"/>
      <c r="C1417" s="125"/>
      <c r="D1417" s="81"/>
      <c r="E1417" s="81"/>
      <c r="F1417" s="97"/>
      <c r="G1417" s="81"/>
      <c r="H1417" s="81"/>
      <c r="I1417" s="81"/>
      <c r="J1417" s="81"/>
      <c r="K1417" s="81"/>
      <c r="L1417" s="155"/>
      <c r="M1417" s="155"/>
      <c r="N1417" s="109"/>
      <c r="O1417" s="126"/>
      <c r="P1417" s="126"/>
      <c r="Q1417" s="126"/>
      <c r="R1417" s="127"/>
      <c r="S1417" s="127"/>
      <c r="T1417" s="127"/>
      <c r="U1417" s="127"/>
    </row>
    <row r="1418" spans="1:21" ht="15" customHeight="1">
      <c r="A1418" s="125"/>
      <c r="B1418" s="125"/>
      <c r="C1418" s="125"/>
      <c r="D1418" s="81"/>
      <c r="E1418" s="81"/>
      <c r="F1418" s="97"/>
      <c r="G1418" s="81"/>
      <c r="H1418" s="81"/>
      <c r="I1418" s="81"/>
      <c r="J1418" s="81"/>
      <c r="K1418" s="81"/>
      <c r="L1418" s="155"/>
      <c r="M1418" s="155"/>
      <c r="N1418" s="109"/>
      <c r="O1418" s="126"/>
      <c r="P1418" s="126"/>
      <c r="Q1418" s="126"/>
      <c r="R1418" s="127"/>
      <c r="S1418" s="127"/>
      <c r="T1418" s="127"/>
      <c r="U1418" s="127"/>
    </row>
    <row r="1419" spans="1:21" ht="15" customHeight="1">
      <c r="A1419" s="125"/>
      <c r="B1419" s="125"/>
      <c r="C1419" s="125"/>
      <c r="D1419" s="81"/>
      <c r="E1419" s="81"/>
      <c r="F1419" s="97"/>
      <c r="G1419" s="81"/>
      <c r="H1419" s="81"/>
      <c r="I1419" s="81"/>
      <c r="J1419" s="81"/>
      <c r="K1419" s="81"/>
      <c r="L1419" s="155"/>
      <c r="M1419" s="155"/>
      <c r="N1419" s="109"/>
      <c r="O1419" s="126"/>
      <c r="P1419" s="126"/>
      <c r="Q1419" s="126"/>
      <c r="R1419" s="127"/>
      <c r="S1419" s="127"/>
      <c r="T1419" s="127"/>
      <c r="U1419" s="127"/>
    </row>
    <row r="1420" spans="1:21" ht="15" customHeight="1">
      <c r="A1420" s="125"/>
      <c r="B1420" s="125"/>
      <c r="C1420" s="125"/>
      <c r="D1420" s="81"/>
      <c r="E1420" s="81"/>
      <c r="F1420" s="97"/>
      <c r="G1420" s="81"/>
      <c r="H1420" s="81"/>
      <c r="I1420" s="81"/>
      <c r="J1420" s="81"/>
      <c r="K1420" s="81"/>
      <c r="L1420" s="155"/>
      <c r="M1420" s="155"/>
      <c r="N1420" s="109"/>
      <c r="O1420" s="126"/>
      <c r="P1420" s="126"/>
      <c r="Q1420" s="126"/>
      <c r="R1420" s="127"/>
      <c r="S1420" s="127"/>
      <c r="T1420" s="127"/>
      <c r="U1420" s="127"/>
    </row>
    <row r="1421" spans="1:21" ht="15" customHeight="1">
      <c r="A1421" s="125"/>
      <c r="B1421" s="125"/>
      <c r="C1421" s="125"/>
      <c r="D1421" s="81"/>
      <c r="E1421" s="81"/>
      <c r="F1421" s="97"/>
      <c r="G1421" s="81"/>
      <c r="H1421" s="81"/>
      <c r="I1421" s="81"/>
      <c r="J1421" s="81"/>
      <c r="K1421" s="81"/>
      <c r="L1421" s="155"/>
      <c r="M1421" s="155"/>
      <c r="N1421" s="109"/>
      <c r="O1421" s="126"/>
      <c r="P1421" s="126"/>
      <c r="Q1421" s="126"/>
      <c r="R1421" s="127"/>
      <c r="S1421" s="127"/>
      <c r="T1421" s="127"/>
      <c r="U1421" s="127"/>
    </row>
    <row r="1422" spans="1:21" ht="15" customHeight="1">
      <c r="A1422" s="125"/>
      <c r="B1422" s="125"/>
      <c r="C1422" s="125"/>
      <c r="D1422" s="81"/>
      <c r="E1422" s="81"/>
      <c r="F1422" s="97"/>
      <c r="G1422" s="81"/>
      <c r="H1422" s="81"/>
      <c r="I1422" s="81"/>
      <c r="J1422" s="81"/>
      <c r="K1422" s="81"/>
      <c r="L1422" s="155"/>
      <c r="M1422" s="155"/>
      <c r="N1422" s="109"/>
      <c r="O1422" s="126"/>
      <c r="P1422" s="126"/>
      <c r="Q1422" s="126"/>
      <c r="R1422" s="127"/>
      <c r="S1422" s="127"/>
      <c r="T1422" s="127"/>
      <c r="U1422" s="127"/>
    </row>
    <row r="1423" spans="1:21" ht="15" customHeight="1">
      <c r="A1423" s="125"/>
      <c r="B1423" s="125"/>
      <c r="C1423" s="125"/>
      <c r="D1423" s="81"/>
      <c r="E1423" s="81"/>
      <c r="F1423" s="97"/>
      <c r="G1423" s="81"/>
      <c r="H1423" s="81"/>
      <c r="I1423" s="81"/>
      <c r="J1423" s="81"/>
      <c r="K1423" s="81"/>
      <c r="L1423" s="155"/>
      <c r="M1423" s="155"/>
      <c r="N1423" s="109"/>
      <c r="O1423" s="126"/>
      <c r="P1423" s="126"/>
      <c r="Q1423" s="126"/>
      <c r="R1423" s="127"/>
      <c r="S1423" s="127"/>
      <c r="T1423" s="127"/>
      <c r="U1423" s="127"/>
    </row>
    <row r="1424" spans="1:21" ht="15" customHeight="1">
      <c r="A1424" s="125"/>
      <c r="B1424" s="125"/>
      <c r="C1424" s="125"/>
      <c r="D1424" s="81"/>
      <c r="E1424" s="81"/>
      <c r="F1424" s="97"/>
      <c r="G1424" s="81"/>
      <c r="H1424" s="81"/>
      <c r="I1424" s="81"/>
      <c r="J1424" s="81"/>
      <c r="K1424" s="81"/>
      <c r="L1424" s="155"/>
      <c r="M1424" s="155"/>
      <c r="N1424" s="109"/>
      <c r="O1424" s="126"/>
      <c r="P1424" s="126"/>
      <c r="Q1424" s="126"/>
      <c r="R1424" s="127"/>
      <c r="S1424" s="127"/>
      <c r="T1424" s="127"/>
      <c r="U1424" s="127"/>
    </row>
    <row r="1425" spans="1:21" ht="15" customHeight="1">
      <c r="A1425" s="125"/>
      <c r="B1425" s="125"/>
      <c r="C1425" s="125"/>
      <c r="D1425" s="81"/>
      <c r="E1425" s="81"/>
      <c r="F1425" s="97"/>
      <c r="G1425" s="81"/>
      <c r="H1425" s="81"/>
      <c r="I1425" s="81"/>
      <c r="J1425" s="81"/>
      <c r="K1425" s="81"/>
      <c r="L1425" s="155"/>
      <c r="M1425" s="155"/>
      <c r="N1425" s="109"/>
      <c r="O1425" s="126"/>
      <c r="P1425" s="126"/>
      <c r="Q1425" s="126"/>
      <c r="R1425" s="127"/>
      <c r="S1425" s="127"/>
      <c r="T1425" s="127"/>
      <c r="U1425" s="127"/>
    </row>
    <row r="1426" spans="1:21" ht="15" customHeight="1">
      <c r="A1426" s="125"/>
      <c r="B1426" s="125"/>
      <c r="C1426" s="125"/>
      <c r="D1426" s="81"/>
      <c r="E1426" s="81"/>
      <c r="F1426" s="97"/>
      <c r="G1426" s="81"/>
      <c r="H1426" s="81"/>
      <c r="I1426" s="81"/>
      <c r="J1426" s="81"/>
      <c r="K1426" s="81"/>
      <c r="L1426" s="155"/>
      <c r="M1426" s="155"/>
      <c r="N1426" s="109"/>
      <c r="O1426" s="126"/>
      <c r="P1426" s="126"/>
      <c r="Q1426" s="126"/>
      <c r="R1426" s="127"/>
      <c r="S1426" s="127"/>
      <c r="T1426" s="127"/>
      <c r="U1426" s="127"/>
    </row>
    <row r="1427" spans="1:21" ht="15" customHeight="1">
      <c r="A1427" s="125"/>
      <c r="B1427" s="125"/>
      <c r="C1427" s="125"/>
      <c r="D1427" s="81"/>
      <c r="E1427" s="81"/>
      <c r="F1427" s="97"/>
      <c r="G1427" s="81"/>
      <c r="H1427" s="81"/>
      <c r="I1427" s="81"/>
      <c r="J1427" s="81"/>
      <c r="K1427" s="81"/>
      <c r="L1427" s="155"/>
      <c r="M1427" s="155"/>
      <c r="N1427" s="109"/>
      <c r="O1427" s="126"/>
      <c r="P1427" s="126"/>
      <c r="Q1427" s="126"/>
      <c r="R1427" s="127"/>
      <c r="S1427" s="127"/>
      <c r="T1427" s="127"/>
      <c r="U1427" s="127"/>
    </row>
    <row r="1428" spans="1:21" ht="15" customHeight="1">
      <c r="A1428" s="125"/>
      <c r="B1428" s="125"/>
      <c r="C1428" s="125"/>
      <c r="D1428" s="81"/>
      <c r="E1428" s="81"/>
      <c r="F1428" s="97"/>
      <c r="G1428" s="81"/>
      <c r="H1428" s="81"/>
      <c r="I1428" s="81"/>
      <c r="J1428" s="81"/>
      <c r="K1428" s="81"/>
      <c r="L1428" s="155"/>
      <c r="M1428" s="155"/>
      <c r="N1428" s="109"/>
      <c r="O1428" s="126"/>
      <c r="P1428" s="126"/>
      <c r="Q1428" s="126"/>
      <c r="R1428" s="127"/>
      <c r="S1428" s="127"/>
      <c r="T1428" s="127"/>
      <c r="U1428" s="127"/>
    </row>
    <row r="1429" spans="1:21" ht="15" customHeight="1">
      <c r="A1429" s="125"/>
      <c r="B1429" s="125"/>
      <c r="C1429" s="125"/>
      <c r="D1429" s="81"/>
      <c r="E1429" s="81"/>
      <c r="F1429" s="97"/>
      <c r="G1429" s="81"/>
      <c r="H1429" s="81"/>
      <c r="I1429" s="81"/>
      <c r="J1429" s="81"/>
      <c r="K1429" s="81"/>
      <c r="L1429" s="155"/>
      <c r="M1429" s="155"/>
      <c r="N1429" s="109"/>
      <c r="O1429" s="126"/>
      <c r="P1429" s="126"/>
      <c r="Q1429" s="126"/>
      <c r="R1429" s="127"/>
      <c r="S1429" s="127"/>
      <c r="T1429" s="127"/>
      <c r="U1429" s="127"/>
    </row>
    <row r="1430" spans="1:21" ht="15" customHeight="1">
      <c r="A1430" s="125"/>
      <c r="B1430" s="125"/>
      <c r="C1430" s="125"/>
      <c r="D1430" s="81"/>
      <c r="E1430" s="81"/>
      <c r="F1430" s="97"/>
      <c r="G1430" s="81"/>
      <c r="H1430" s="81"/>
      <c r="I1430" s="81"/>
      <c r="J1430" s="81"/>
      <c r="K1430" s="81"/>
      <c r="L1430" s="155"/>
      <c r="M1430" s="155"/>
      <c r="N1430" s="109"/>
      <c r="O1430" s="126"/>
      <c r="P1430" s="126"/>
      <c r="Q1430" s="126"/>
      <c r="R1430" s="127"/>
      <c r="S1430" s="127"/>
      <c r="T1430" s="127"/>
      <c r="U1430" s="127"/>
    </row>
    <row r="1431" spans="1:21" ht="15" customHeight="1">
      <c r="A1431" s="125"/>
      <c r="B1431" s="125"/>
      <c r="C1431" s="125"/>
      <c r="D1431" s="81"/>
      <c r="E1431" s="81"/>
      <c r="F1431" s="97"/>
      <c r="G1431" s="81"/>
      <c r="H1431" s="81"/>
      <c r="I1431" s="81"/>
      <c r="J1431" s="81"/>
      <c r="K1431" s="81"/>
      <c r="L1431" s="155"/>
      <c r="M1431" s="155"/>
      <c r="N1431" s="109"/>
      <c r="O1431" s="126"/>
      <c r="P1431" s="126"/>
      <c r="Q1431" s="126"/>
      <c r="R1431" s="127"/>
      <c r="S1431" s="127"/>
      <c r="T1431" s="127"/>
      <c r="U1431" s="127"/>
    </row>
    <row r="1432" spans="1:21" ht="15" customHeight="1">
      <c r="A1432" s="125"/>
      <c r="B1432" s="125"/>
      <c r="C1432" s="125"/>
      <c r="D1432" s="81"/>
      <c r="E1432" s="81"/>
      <c r="F1432" s="97"/>
      <c r="G1432" s="81"/>
      <c r="H1432" s="81"/>
      <c r="I1432" s="81"/>
      <c r="J1432" s="81"/>
      <c r="K1432" s="81"/>
      <c r="L1432" s="155"/>
      <c r="M1432" s="155"/>
      <c r="N1432" s="109"/>
      <c r="O1432" s="126"/>
      <c r="P1432" s="126"/>
      <c r="Q1432" s="126"/>
      <c r="R1432" s="127"/>
      <c r="S1432" s="127"/>
      <c r="T1432" s="127"/>
      <c r="U1432" s="127"/>
    </row>
    <row r="1433" spans="1:21" ht="15" customHeight="1">
      <c r="A1433" s="125"/>
      <c r="B1433" s="125"/>
      <c r="C1433" s="125"/>
      <c r="D1433" s="81"/>
      <c r="E1433" s="81"/>
      <c r="F1433" s="97"/>
      <c r="G1433" s="81"/>
      <c r="H1433" s="81"/>
      <c r="I1433" s="81"/>
      <c r="J1433" s="81"/>
      <c r="K1433" s="81"/>
      <c r="L1433" s="155"/>
      <c r="M1433" s="155"/>
      <c r="N1433" s="109"/>
      <c r="O1433" s="126"/>
      <c r="P1433" s="126"/>
      <c r="Q1433" s="126"/>
      <c r="R1433" s="127"/>
      <c r="S1433" s="127"/>
      <c r="T1433" s="127"/>
      <c r="U1433" s="127"/>
    </row>
    <row r="1434" spans="1:21" ht="15" customHeight="1">
      <c r="A1434" s="125"/>
      <c r="B1434" s="125"/>
      <c r="C1434" s="125"/>
      <c r="D1434" s="81"/>
      <c r="E1434" s="81"/>
      <c r="F1434" s="97"/>
      <c r="G1434" s="81"/>
      <c r="H1434" s="81"/>
      <c r="I1434" s="81"/>
      <c r="J1434" s="81"/>
      <c r="K1434" s="81"/>
      <c r="L1434" s="155"/>
      <c r="M1434" s="155"/>
      <c r="N1434" s="109"/>
      <c r="O1434" s="126"/>
      <c r="P1434" s="126"/>
      <c r="Q1434" s="126"/>
      <c r="R1434" s="127"/>
      <c r="S1434" s="127"/>
      <c r="T1434" s="127"/>
      <c r="U1434" s="127"/>
    </row>
    <row r="1435" spans="1:21" ht="15" customHeight="1">
      <c r="A1435" s="125"/>
      <c r="B1435" s="125"/>
      <c r="C1435" s="125"/>
      <c r="D1435" s="81"/>
      <c r="E1435" s="81"/>
      <c r="F1435" s="97"/>
      <c r="G1435" s="81"/>
      <c r="H1435" s="81"/>
      <c r="I1435" s="81"/>
      <c r="J1435" s="81"/>
      <c r="K1435" s="81"/>
      <c r="L1435" s="155"/>
      <c r="M1435" s="155"/>
      <c r="N1435" s="109"/>
      <c r="O1435" s="126"/>
      <c r="P1435" s="126"/>
      <c r="Q1435" s="126"/>
      <c r="R1435" s="127"/>
      <c r="S1435" s="127"/>
      <c r="T1435" s="127"/>
      <c r="U1435" s="127"/>
    </row>
    <row r="1436" spans="1:21" ht="15" customHeight="1">
      <c r="A1436" s="125"/>
      <c r="B1436" s="125"/>
      <c r="C1436" s="125"/>
      <c r="D1436" s="81"/>
      <c r="E1436" s="81"/>
      <c r="F1436" s="97"/>
      <c r="G1436" s="81"/>
      <c r="H1436" s="81"/>
      <c r="I1436" s="81"/>
      <c r="J1436" s="81"/>
      <c r="K1436" s="81"/>
      <c r="L1436" s="155"/>
      <c r="M1436" s="155"/>
      <c r="N1436" s="109"/>
      <c r="O1436" s="126"/>
      <c r="P1436" s="126"/>
      <c r="Q1436" s="126"/>
      <c r="R1436" s="127"/>
      <c r="S1436" s="127"/>
      <c r="T1436" s="127"/>
      <c r="U1436" s="127"/>
    </row>
    <row r="1437" spans="1:21" ht="15" customHeight="1">
      <c r="A1437" s="125"/>
      <c r="B1437" s="125"/>
      <c r="C1437" s="125"/>
      <c r="D1437" s="81"/>
      <c r="E1437" s="81"/>
      <c r="F1437" s="97"/>
      <c r="G1437" s="81"/>
      <c r="H1437" s="81"/>
      <c r="I1437" s="81"/>
      <c r="J1437" s="81"/>
      <c r="K1437" s="81"/>
      <c r="L1437" s="155"/>
      <c r="M1437" s="155"/>
      <c r="N1437" s="109"/>
      <c r="O1437" s="126"/>
      <c r="P1437" s="126"/>
      <c r="Q1437" s="126"/>
      <c r="R1437" s="127"/>
      <c r="S1437" s="127"/>
      <c r="T1437" s="127"/>
      <c r="U1437" s="127"/>
    </row>
    <row r="1438" spans="1:21" ht="15" customHeight="1">
      <c r="A1438" s="125"/>
      <c r="B1438" s="125"/>
      <c r="C1438" s="125"/>
      <c r="D1438" s="81"/>
      <c r="E1438" s="81"/>
      <c r="F1438" s="97"/>
      <c r="G1438" s="81"/>
      <c r="H1438" s="81"/>
      <c r="I1438" s="81"/>
      <c r="J1438" s="81"/>
      <c r="K1438" s="81"/>
      <c r="L1438" s="155"/>
      <c r="M1438" s="155"/>
      <c r="N1438" s="109"/>
      <c r="O1438" s="126"/>
      <c r="P1438" s="126"/>
      <c r="Q1438" s="126"/>
      <c r="R1438" s="127"/>
      <c r="S1438" s="127"/>
      <c r="T1438" s="127"/>
      <c r="U1438" s="127"/>
    </row>
    <row r="1439" spans="1:21" ht="15" customHeight="1">
      <c r="A1439" s="125"/>
      <c r="B1439" s="125"/>
      <c r="C1439" s="125"/>
      <c r="D1439" s="81"/>
      <c r="E1439" s="81"/>
      <c r="F1439" s="97"/>
      <c r="G1439" s="81"/>
      <c r="H1439" s="81"/>
      <c r="I1439" s="81"/>
      <c r="J1439" s="81"/>
      <c r="K1439" s="81"/>
      <c r="L1439" s="155"/>
      <c r="M1439" s="155"/>
      <c r="N1439" s="109"/>
      <c r="O1439" s="126"/>
      <c r="P1439" s="126"/>
      <c r="Q1439" s="126"/>
      <c r="R1439" s="127"/>
      <c r="S1439" s="127"/>
      <c r="T1439" s="127"/>
      <c r="U1439" s="127"/>
    </row>
    <row r="1440" spans="1:21" ht="15" customHeight="1">
      <c r="A1440" s="125"/>
      <c r="B1440" s="125"/>
      <c r="C1440" s="125"/>
      <c r="D1440" s="81"/>
      <c r="E1440" s="81"/>
      <c r="F1440" s="97"/>
      <c r="G1440" s="81"/>
      <c r="H1440" s="81"/>
      <c r="I1440" s="81"/>
      <c r="J1440" s="81"/>
      <c r="K1440" s="81"/>
      <c r="L1440" s="155"/>
      <c r="M1440" s="155"/>
      <c r="N1440" s="109"/>
      <c r="O1440" s="126"/>
      <c r="P1440" s="126"/>
      <c r="Q1440" s="126"/>
      <c r="R1440" s="127"/>
      <c r="S1440" s="127"/>
      <c r="T1440" s="127"/>
      <c r="U1440" s="127"/>
    </row>
    <row r="1441" spans="1:21" ht="15" customHeight="1">
      <c r="A1441" s="125"/>
      <c r="B1441" s="125"/>
      <c r="C1441" s="125"/>
      <c r="D1441" s="81"/>
      <c r="E1441" s="81"/>
      <c r="F1441" s="97"/>
      <c r="G1441" s="81"/>
      <c r="H1441" s="81"/>
      <c r="I1441" s="81"/>
      <c r="J1441" s="81"/>
      <c r="K1441" s="81"/>
      <c r="L1441" s="155"/>
      <c r="M1441" s="155"/>
      <c r="N1441" s="109"/>
      <c r="O1441" s="126"/>
      <c r="P1441" s="126"/>
      <c r="Q1441" s="126"/>
      <c r="R1441" s="127"/>
      <c r="S1441" s="127"/>
      <c r="T1441" s="127"/>
      <c r="U1441" s="127"/>
    </row>
    <row r="1442" spans="1:21" ht="15" customHeight="1">
      <c r="A1442" s="125"/>
      <c r="B1442" s="125"/>
      <c r="C1442" s="125"/>
      <c r="D1442" s="81"/>
      <c r="E1442" s="81"/>
      <c r="F1442" s="97"/>
      <c r="G1442" s="81"/>
      <c r="H1442" s="81"/>
      <c r="I1442" s="81"/>
      <c r="J1442" s="81"/>
      <c r="K1442" s="81"/>
      <c r="L1442" s="155"/>
      <c r="M1442" s="155"/>
      <c r="N1442" s="109"/>
      <c r="O1442" s="126"/>
      <c r="P1442" s="126"/>
      <c r="Q1442" s="126"/>
      <c r="R1442" s="127"/>
      <c r="S1442" s="127"/>
      <c r="T1442" s="127"/>
      <c r="U1442" s="127"/>
    </row>
    <row r="1443" spans="1:21" ht="15" customHeight="1">
      <c r="A1443" s="125"/>
      <c r="B1443" s="125"/>
      <c r="C1443" s="125"/>
      <c r="D1443" s="81"/>
      <c r="E1443" s="81"/>
      <c r="F1443" s="97"/>
      <c r="G1443" s="81"/>
      <c r="H1443" s="81"/>
      <c r="I1443" s="81"/>
      <c r="J1443" s="81"/>
      <c r="K1443" s="81"/>
      <c r="L1443" s="155"/>
      <c r="M1443" s="155"/>
      <c r="N1443" s="109"/>
      <c r="O1443" s="126"/>
      <c r="P1443" s="126"/>
      <c r="Q1443" s="126"/>
      <c r="R1443" s="127"/>
      <c r="S1443" s="127"/>
      <c r="T1443" s="127"/>
      <c r="U1443" s="127"/>
    </row>
    <row r="1444" spans="1:21" ht="15" customHeight="1">
      <c r="A1444" s="125"/>
      <c r="B1444" s="125"/>
      <c r="C1444" s="125"/>
      <c r="D1444" s="81"/>
      <c r="E1444" s="81"/>
      <c r="F1444" s="97"/>
      <c r="G1444" s="81"/>
      <c r="H1444" s="81"/>
      <c r="I1444" s="81"/>
      <c r="J1444" s="81"/>
      <c r="K1444" s="81"/>
      <c r="L1444" s="155"/>
      <c r="M1444" s="155"/>
      <c r="N1444" s="109"/>
      <c r="O1444" s="126"/>
      <c r="P1444" s="126"/>
      <c r="Q1444" s="126"/>
      <c r="R1444" s="127"/>
      <c r="S1444" s="127"/>
      <c r="T1444" s="127"/>
      <c r="U1444" s="127"/>
    </row>
    <row r="1445" spans="1:21" ht="15" customHeight="1">
      <c r="A1445" s="125"/>
      <c r="B1445" s="125"/>
      <c r="C1445" s="125"/>
      <c r="D1445" s="81"/>
      <c r="E1445" s="81"/>
      <c r="F1445" s="97"/>
      <c r="G1445" s="81"/>
      <c r="H1445" s="81"/>
      <c r="I1445" s="81"/>
      <c r="J1445" s="81"/>
      <c r="K1445" s="81"/>
      <c r="L1445" s="155"/>
      <c r="M1445" s="155"/>
      <c r="N1445" s="109"/>
      <c r="O1445" s="126"/>
      <c r="P1445" s="126"/>
      <c r="Q1445" s="126"/>
      <c r="R1445" s="127"/>
      <c r="S1445" s="127"/>
      <c r="T1445" s="127"/>
      <c r="U1445" s="127"/>
    </row>
    <row r="1446" spans="1:21" ht="15" customHeight="1">
      <c r="A1446" s="125"/>
      <c r="B1446" s="125"/>
      <c r="C1446" s="125"/>
      <c r="D1446" s="81"/>
      <c r="E1446" s="81"/>
      <c r="F1446" s="97"/>
      <c r="G1446" s="81"/>
      <c r="H1446" s="81"/>
      <c r="I1446" s="81"/>
      <c r="J1446" s="81"/>
      <c r="K1446" s="81"/>
      <c r="L1446" s="155"/>
      <c r="M1446" s="155"/>
      <c r="N1446" s="109"/>
      <c r="O1446" s="126"/>
      <c r="P1446" s="126"/>
      <c r="Q1446" s="126"/>
      <c r="R1446" s="127"/>
      <c r="S1446" s="127"/>
      <c r="T1446" s="127"/>
      <c r="U1446" s="127"/>
    </row>
    <row r="1447" spans="1:21" ht="15" customHeight="1">
      <c r="A1447" s="125"/>
      <c r="B1447" s="125"/>
      <c r="C1447" s="125"/>
      <c r="D1447" s="81"/>
      <c r="E1447" s="81"/>
      <c r="F1447" s="97"/>
      <c r="G1447" s="81"/>
      <c r="H1447" s="81"/>
      <c r="I1447" s="81"/>
      <c r="J1447" s="81"/>
      <c r="K1447" s="81"/>
      <c r="L1447" s="155"/>
      <c r="M1447" s="155"/>
      <c r="N1447" s="109"/>
      <c r="O1447" s="126"/>
      <c r="P1447" s="126"/>
      <c r="Q1447" s="126"/>
      <c r="R1447" s="127"/>
      <c r="S1447" s="127"/>
      <c r="T1447" s="127"/>
      <c r="U1447" s="127"/>
    </row>
    <row r="1448" spans="1:21" ht="15" customHeight="1">
      <c r="A1448" s="125"/>
      <c r="B1448" s="125"/>
      <c r="C1448" s="125"/>
      <c r="D1448" s="81"/>
      <c r="E1448" s="81"/>
      <c r="F1448" s="97"/>
      <c r="G1448" s="81"/>
      <c r="H1448" s="81"/>
      <c r="I1448" s="81"/>
      <c r="J1448" s="81"/>
      <c r="K1448" s="81"/>
      <c r="L1448" s="155"/>
      <c r="M1448" s="155"/>
      <c r="N1448" s="109"/>
      <c r="O1448" s="126"/>
      <c r="P1448" s="126"/>
      <c r="Q1448" s="126"/>
      <c r="R1448" s="127"/>
      <c r="S1448" s="127"/>
      <c r="T1448" s="127"/>
      <c r="U1448" s="127"/>
    </row>
    <row r="1449" spans="1:21" ht="15" customHeight="1">
      <c r="A1449" s="125"/>
      <c r="B1449" s="125"/>
      <c r="C1449" s="125"/>
      <c r="D1449" s="81"/>
      <c r="E1449" s="81"/>
      <c r="F1449" s="97"/>
      <c r="G1449" s="81"/>
      <c r="H1449" s="81"/>
      <c r="I1449" s="81"/>
      <c r="J1449" s="81"/>
      <c r="K1449" s="81"/>
      <c r="L1449" s="155"/>
      <c r="M1449" s="155"/>
      <c r="N1449" s="109"/>
      <c r="O1449" s="126"/>
      <c r="P1449" s="126"/>
      <c r="Q1449" s="126"/>
      <c r="R1449" s="127"/>
      <c r="S1449" s="127"/>
      <c r="T1449" s="127"/>
      <c r="U1449" s="127"/>
    </row>
    <row r="1450" spans="1:21" ht="15" customHeight="1">
      <c r="A1450" s="125"/>
      <c r="B1450" s="125"/>
      <c r="C1450" s="125"/>
      <c r="D1450" s="81"/>
      <c r="E1450" s="81"/>
      <c r="F1450" s="97"/>
      <c r="G1450" s="81"/>
      <c r="H1450" s="81"/>
      <c r="I1450" s="81"/>
      <c r="J1450" s="81"/>
      <c r="K1450" s="81"/>
      <c r="L1450" s="155"/>
      <c r="M1450" s="155"/>
      <c r="N1450" s="109"/>
      <c r="O1450" s="126"/>
      <c r="P1450" s="126"/>
      <c r="Q1450" s="126"/>
      <c r="R1450" s="127"/>
      <c r="S1450" s="127"/>
      <c r="T1450" s="127"/>
      <c r="U1450" s="127"/>
    </row>
    <row r="1451" spans="1:21" ht="15" customHeight="1">
      <c r="A1451" s="125"/>
      <c r="B1451" s="125"/>
      <c r="C1451" s="125"/>
      <c r="D1451" s="81"/>
      <c r="E1451" s="81"/>
      <c r="F1451" s="97"/>
      <c r="G1451" s="81"/>
      <c r="H1451" s="81"/>
      <c r="I1451" s="81"/>
      <c r="J1451" s="81"/>
      <c r="K1451" s="81"/>
      <c r="L1451" s="155"/>
      <c r="M1451" s="155"/>
      <c r="N1451" s="109"/>
      <c r="O1451" s="126"/>
      <c r="P1451" s="126"/>
      <c r="Q1451" s="126"/>
      <c r="R1451" s="127"/>
      <c r="S1451" s="127"/>
      <c r="T1451" s="127"/>
      <c r="U1451" s="127"/>
    </row>
    <row r="1452" spans="1:21" ht="15" customHeight="1">
      <c r="A1452" s="125"/>
      <c r="B1452" s="125"/>
      <c r="C1452" s="125"/>
      <c r="D1452" s="81"/>
      <c r="E1452" s="81"/>
      <c r="F1452" s="97"/>
      <c r="G1452" s="81"/>
      <c r="H1452" s="81"/>
      <c r="I1452" s="81"/>
      <c r="J1452" s="81"/>
      <c r="K1452" s="81"/>
      <c r="L1452" s="155"/>
      <c r="M1452" s="155"/>
      <c r="N1452" s="109"/>
      <c r="O1452" s="126"/>
      <c r="P1452" s="126"/>
      <c r="Q1452" s="126"/>
      <c r="R1452" s="127"/>
      <c r="S1452" s="127"/>
      <c r="T1452" s="127"/>
      <c r="U1452" s="127"/>
    </row>
    <row r="1453" spans="1:21" ht="15" customHeight="1">
      <c r="A1453" s="125"/>
      <c r="B1453" s="125"/>
      <c r="C1453" s="125"/>
      <c r="D1453" s="81"/>
      <c r="E1453" s="81"/>
      <c r="F1453" s="97"/>
      <c r="G1453" s="81"/>
      <c r="H1453" s="81"/>
      <c r="I1453" s="81"/>
      <c r="J1453" s="81"/>
      <c r="K1453" s="81"/>
      <c r="L1453" s="155"/>
      <c r="M1453" s="155"/>
      <c r="N1453" s="109"/>
      <c r="O1453" s="126"/>
      <c r="P1453" s="126"/>
      <c r="Q1453" s="126"/>
      <c r="R1453" s="127"/>
      <c r="S1453" s="127"/>
      <c r="T1453" s="127"/>
      <c r="U1453" s="127"/>
    </row>
    <row r="1454" spans="1:21" ht="15" customHeight="1">
      <c r="A1454" s="125"/>
      <c r="B1454" s="125"/>
      <c r="C1454" s="125"/>
      <c r="D1454" s="81"/>
      <c r="E1454" s="81"/>
      <c r="F1454" s="97"/>
      <c r="G1454" s="81"/>
      <c r="H1454" s="81"/>
      <c r="I1454" s="81"/>
      <c r="J1454" s="81"/>
      <c r="K1454" s="81"/>
      <c r="L1454" s="155"/>
      <c r="M1454" s="155"/>
      <c r="N1454" s="109"/>
      <c r="O1454" s="126"/>
      <c r="P1454" s="126"/>
      <c r="Q1454" s="126"/>
      <c r="R1454" s="127"/>
      <c r="S1454" s="127"/>
      <c r="T1454" s="127"/>
      <c r="U1454" s="127"/>
    </row>
    <row r="1455" spans="1:21" ht="15" customHeight="1">
      <c r="A1455" s="125"/>
      <c r="B1455" s="125"/>
      <c r="C1455" s="125"/>
      <c r="D1455" s="81"/>
      <c r="E1455" s="81"/>
      <c r="F1455" s="97"/>
      <c r="G1455" s="81"/>
      <c r="H1455" s="81"/>
      <c r="I1455" s="81"/>
      <c r="J1455" s="81"/>
      <c r="K1455" s="81"/>
      <c r="L1455" s="155"/>
      <c r="M1455" s="155"/>
      <c r="N1455" s="109"/>
      <c r="O1455" s="126"/>
      <c r="P1455" s="126"/>
      <c r="Q1455" s="126"/>
      <c r="R1455" s="127"/>
      <c r="S1455" s="127"/>
      <c r="T1455" s="127"/>
      <c r="U1455" s="127"/>
    </row>
    <row r="1456" spans="1:21" ht="15" customHeight="1">
      <c r="A1456" s="125"/>
      <c r="B1456" s="125"/>
      <c r="C1456" s="125"/>
      <c r="D1456" s="81"/>
      <c r="E1456" s="81"/>
      <c r="F1456" s="97"/>
      <c r="G1456" s="81"/>
      <c r="H1456" s="81"/>
      <c r="I1456" s="81"/>
      <c r="J1456" s="81"/>
      <c r="K1456" s="81"/>
      <c r="L1456" s="155"/>
      <c r="M1456" s="155"/>
      <c r="N1456" s="109"/>
      <c r="O1456" s="126"/>
      <c r="P1456" s="126"/>
      <c r="Q1456" s="126"/>
      <c r="R1456" s="127"/>
      <c r="S1456" s="127"/>
      <c r="T1456" s="127"/>
      <c r="U1456" s="127"/>
    </row>
    <row r="1457" spans="1:21" ht="15" customHeight="1">
      <c r="A1457" s="125"/>
      <c r="B1457" s="125"/>
      <c r="C1457" s="125"/>
      <c r="D1457" s="81"/>
      <c r="E1457" s="81"/>
      <c r="F1457" s="97"/>
      <c r="G1457" s="81"/>
      <c r="H1457" s="81"/>
      <c r="I1457" s="81"/>
      <c r="J1457" s="81"/>
      <c r="K1457" s="81"/>
      <c r="L1457" s="155"/>
      <c r="M1457" s="155"/>
      <c r="N1457" s="109"/>
      <c r="O1457" s="126"/>
      <c r="P1457" s="126"/>
      <c r="Q1457" s="126"/>
      <c r="R1457" s="127"/>
      <c r="S1457" s="127"/>
      <c r="T1457" s="127"/>
      <c r="U1457" s="127"/>
    </row>
    <row r="1458" spans="1:21" ht="15" customHeight="1">
      <c r="A1458" s="125"/>
      <c r="B1458" s="125"/>
      <c r="C1458" s="125"/>
      <c r="D1458" s="81"/>
      <c r="E1458" s="81"/>
      <c r="F1458" s="97"/>
      <c r="G1458" s="81"/>
      <c r="H1458" s="81"/>
      <c r="I1458" s="81"/>
      <c r="J1458" s="81"/>
      <c r="K1458" s="81"/>
      <c r="L1458" s="155"/>
      <c r="M1458" s="155"/>
      <c r="N1458" s="109"/>
      <c r="O1458" s="126"/>
      <c r="P1458" s="126"/>
      <c r="Q1458" s="126"/>
      <c r="R1458" s="127"/>
      <c r="S1458" s="127"/>
      <c r="T1458" s="127"/>
      <c r="U1458" s="127"/>
    </row>
    <row r="1459" spans="1:21" ht="15" customHeight="1">
      <c r="A1459" s="125"/>
      <c r="B1459" s="125"/>
      <c r="C1459" s="125"/>
      <c r="D1459" s="81"/>
      <c r="E1459" s="81"/>
      <c r="F1459" s="97"/>
      <c r="G1459" s="81"/>
      <c r="H1459" s="81"/>
      <c r="I1459" s="81"/>
      <c r="J1459" s="81"/>
      <c r="K1459" s="81"/>
      <c r="L1459" s="155"/>
      <c r="M1459" s="155"/>
      <c r="N1459" s="109"/>
      <c r="O1459" s="126"/>
      <c r="P1459" s="126"/>
      <c r="Q1459" s="126"/>
      <c r="R1459" s="127"/>
      <c r="S1459" s="127"/>
      <c r="T1459" s="127"/>
      <c r="U1459" s="127"/>
    </row>
    <row r="1460" spans="1:21" ht="15" customHeight="1">
      <c r="A1460" s="125"/>
      <c r="B1460" s="125"/>
      <c r="C1460" s="125"/>
      <c r="D1460" s="81"/>
      <c r="E1460" s="81"/>
      <c r="F1460" s="97"/>
      <c r="G1460" s="81"/>
      <c r="H1460" s="81"/>
      <c r="I1460" s="81"/>
      <c r="J1460" s="81"/>
      <c r="K1460" s="81"/>
      <c r="L1460" s="155"/>
      <c r="M1460" s="155"/>
      <c r="N1460" s="109"/>
      <c r="O1460" s="126"/>
      <c r="P1460" s="126"/>
      <c r="Q1460" s="126"/>
      <c r="R1460" s="127"/>
      <c r="S1460" s="127"/>
      <c r="T1460" s="127"/>
      <c r="U1460" s="127"/>
    </row>
    <row r="1461" spans="1:21" ht="15" customHeight="1">
      <c r="A1461" s="125"/>
      <c r="B1461" s="125"/>
      <c r="C1461" s="125"/>
      <c r="D1461" s="81"/>
      <c r="E1461" s="81"/>
      <c r="F1461" s="97"/>
      <c r="G1461" s="81"/>
      <c r="H1461" s="81"/>
      <c r="I1461" s="81"/>
      <c r="J1461" s="81"/>
      <c r="K1461" s="81"/>
      <c r="L1461" s="155"/>
      <c r="M1461" s="155"/>
      <c r="N1461" s="109"/>
      <c r="O1461" s="126"/>
      <c r="P1461" s="126"/>
      <c r="Q1461" s="126"/>
      <c r="R1461" s="127"/>
      <c r="S1461" s="127"/>
      <c r="T1461" s="127"/>
      <c r="U1461" s="127"/>
    </row>
    <row r="1462" spans="1:21" ht="15" customHeight="1">
      <c r="A1462" s="125"/>
      <c r="B1462" s="125"/>
      <c r="C1462" s="125"/>
      <c r="D1462" s="81"/>
      <c r="E1462" s="81"/>
      <c r="F1462" s="97"/>
      <c r="G1462" s="81"/>
      <c r="H1462" s="81"/>
      <c r="I1462" s="81"/>
      <c r="J1462" s="81"/>
      <c r="K1462" s="81"/>
      <c r="L1462" s="155"/>
      <c r="M1462" s="155"/>
      <c r="N1462" s="109"/>
      <c r="O1462" s="126"/>
      <c r="P1462" s="126"/>
      <c r="Q1462" s="126"/>
      <c r="R1462" s="127"/>
      <c r="S1462" s="127"/>
      <c r="T1462" s="127"/>
      <c r="U1462" s="127"/>
    </row>
    <row r="1463" spans="1:21" ht="15" customHeight="1">
      <c r="A1463" s="125"/>
      <c r="B1463" s="125"/>
      <c r="C1463" s="125"/>
      <c r="D1463" s="81"/>
      <c r="E1463" s="81"/>
      <c r="F1463" s="97"/>
      <c r="G1463" s="81"/>
      <c r="H1463" s="81"/>
      <c r="I1463" s="81"/>
      <c r="J1463" s="81"/>
      <c r="K1463" s="81"/>
      <c r="L1463" s="155"/>
      <c r="M1463" s="155"/>
      <c r="N1463" s="109"/>
      <c r="O1463" s="126"/>
      <c r="P1463" s="126"/>
      <c r="Q1463" s="126"/>
      <c r="R1463" s="127"/>
      <c r="S1463" s="127"/>
      <c r="T1463" s="127"/>
      <c r="U1463" s="127"/>
    </row>
    <row r="1464" spans="1:21" ht="15" customHeight="1">
      <c r="A1464" s="125"/>
      <c r="B1464" s="125"/>
      <c r="C1464" s="125"/>
      <c r="D1464" s="81"/>
      <c r="E1464" s="81"/>
      <c r="F1464" s="97"/>
      <c r="G1464" s="81"/>
      <c r="H1464" s="81"/>
      <c r="I1464" s="81"/>
      <c r="J1464" s="81"/>
      <c r="K1464" s="81"/>
      <c r="L1464" s="155"/>
      <c r="M1464" s="155"/>
      <c r="N1464" s="109"/>
      <c r="O1464" s="126"/>
      <c r="P1464" s="126"/>
      <c r="Q1464" s="126"/>
      <c r="R1464" s="127"/>
      <c r="S1464" s="127"/>
      <c r="T1464" s="127"/>
      <c r="U1464" s="127"/>
    </row>
    <row r="1465" spans="1:21" ht="15" customHeight="1">
      <c r="A1465" s="125"/>
      <c r="B1465" s="125"/>
      <c r="C1465" s="125"/>
      <c r="D1465" s="81"/>
      <c r="E1465" s="81"/>
      <c r="F1465" s="97"/>
      <c r="G1465" s="81"/>
      <c r="H1465" s="81"/>
      <c r="I1465" s="81"/>
      <c r="J1465" s="81"/>
      <c r="K1465" s="81"/>
      <c r="L1465" s="155"/>
      <c r="M1465" s="155"/>
      <c r="N1465" s="109"/>
      <c r="O1465" s="126"/>
      <c r="P1465" s="126"/>
      <c r="Q1465" s="126"/>
      <c r="R1465" s="127"/>
      <c r="S1465" s="127"/>
      <c r="T1465" s="127"/>
      <c r="U1465" s="127"/>
    </row>
    <row r="1466" spans="1:21" ht="15" customHeight="1">
      <c r="A1466" s="125"/>
      <c r="B1466" s="125"/>
      <c r="C1466" s="125"/>
      <c r="D1466" s="81"/>
      <c r="E1466" s="81"/>
      <c r="F1466" s="97"/>
      <c r="G1466" s="81"/>
      <c r="H1466" s="81"/>
      <c r="I1466" s="81"/>
      <c r="J1466" s="81"/>
      <c r="K1466" s="81"/>
      <c r="L1466" s="155"/>
      <c r="M1466" s="155"/>
      <c r="N1466" s="109"/>
      <c r="O1466" s="126"/>
      <c r="P1466" s="126"/>
      <c r="Q1466" s="126"/>
      <c r="R1466" s="127"/>
      <c r="S1466" s="127"/>
      <c r="T1466" s="127"/>
      <c r="U1466" s="127"/>
    </row>
    <row r="1467" spans="1:21" ht="15" customHeight="1">
      <c r="A1467" s="125"/>
      <c r="B1467" s="125"/>
      <c r="C1467" s="125"/>
      <c r="D1467" s="81"/>
      <c r="E1467" s="81"/>
      <c r="F1467" s="97"/>
      <c r="G1467" s="81"/>
      <c r="H1467" s="81"/>
      <c r="I1467" s="81"/>
      <c r="J1467" s="81"/>
      <c r="K1467" s="81"/>
      <c r="L1467" s="155"/>
      <c r="M1467" s="155"/>
      <c r="N1467" s="109"/>
      <c r="O1467" s="126"/>
      <c r="P1467" s="126"/>
      <c r="Q1467" s="126"/>
      <c r="R1467" s="127"/>
      <c r="S1467" s="127"/>
      <c r="T1467" s="127"/>
      <c r="U1467" s="127"/>
    </row>
    <row r="1468" spans="1:21" ht="15" customHeight="1">
      <c r="A1468" s="125"/>
      <c r="B1468" s="125"/>
      <c r="C1468" s="125"/>
      <c r="D1468" s="81"/>
      <c r="E1468" s="81"/>
      <c r="F1468" s="97"/>
      <c r="G1468" s="81"/>
      <c r="H1468" s="81"/>
      <c r="I1468" s="81"/>
      <c r="J1468" s="81"/>
      <c r="K1468" s="81"/>
      <c r="L1468" s="155"/>
      <c r="M1468" s="155"/>
      <c r="N1468" s="109"/>
      <c r="O1468" s="126"/>
      <c r="P1468" s="126"/>
      <c r="Q1468" s="126"/>
      <c r="R1468" s="127"/>
      <c r="S1468" s="127"/>
      <c r="T1468" s="127"/>
      <c r="U1468" s="127"/>
    </row>
    <row r="1469" spans="1:21" ht="15" customHeight="1">
      <c r="A1469" s="125"/>
      <c r="B1469" s="125"/>
      <c r="C1469" s="125"/>
      <c r="D1469" s="81"/>
      <c r="E1469" s="81"/>
      <c r="F1469" s="97"/>
      <c r="G1469" s="81"/>
      <c r="H1469" s="81"/>
      <c r="I1469" s="81"/>
      <c r="J1469" s="81"/>
      <c r="K1469" s="81"/>
      <c r="L1469" s="155"/>
      <c r="M1469" s="155"/>
      <c r="N1469" s="109"/>
      <c r="O1469" s="126"/>
      <c r="P1469" s="126"/>
      <c r="Q1469" s="126"/>
      <c r="R1469" s="127"/>
      <c r="S1469" s="127"/>
      <c r="T1469" s="127"/>
      <c r="U1469" s="127"/>
    </row>
    <row r="1470" spans="1:21" ht="15" customHeight="1">
      <c r="A1470" s="125"/>
      <c r="B1470" s="125"/>
      <c r="C1470" s="125"/>
      <c r="D1470" s="81"/>
      <c r="E1470" s="81"/>
      <c r="F1470" s="97"/>
      <c r="G1470" s="81"/>
      <c r="H1470" s="81"/>
      <c r="I1470" s="81"/>
      <c r="J1470" s="81"/>
      <c r="K1470" s="81"/>
      <c r="L1470" s="155"/>
      <c r="M1470" s="155"/>
      <c r="N1470" s="109"/>
      <c r="O1470" s="126"/>
      <c r="P1470" s="126"/>
      <c r="Q1470" s="126"/>
      <c r="R1470" s="127"/>
      <c r="S1470" s="127"/>
      <c r="T1470" s="127"/>
      <c r="U1470" s="127"/>
    </row>
    <row r="1471" spans="1:21" ht="15" customHeight="1">
      <c r="A1471" s="125"/>
      <c r="B1471" s="125"/>
      <c r="C1471" s="125"/>
      <c r="D1471" s="81"/>
      <c r="E1471" s="81"/>
      <c r="F1471" s="97"/>
      <c r="G1471" s="81"/>
      <c r="H1471" s="81"/>
      <c r="I1471" s="81"/>
      <c r="J1471" s="81"/>
      <c r="K1471" s="81"/>
      <c r="L1471" s="155"/>
      <c r="M1471" s="155"/>
      <c r="N1471" s="109"/>
      <c r="O1471" s="126"/>
      <c r="P1471" s="126"/>
      <c r="Q1471" s="126"/>
      <c r="R1471" s="127"/>
      <c r="S1471" s="127"/>
      <c r="T1471" s="127"/>
      <c r="U1471" s="127"/>
    </row>
    <row r="1472" spans="1:21" ht="15" customHeight="1">
      <c r="A1472" s="125"/>
      <c r="B1472" s="125"/>
      <c r="C1472" s="125"/>
      <c r="D1472" s="81"/>
      <c r="E1472" s="81"/>
      <c r="F1472" s="97"/>
      <c r="G1472" s="81"/>
      <c r="H1472" s="81"/>
      <c r="I1472" s="81"/>
      <c r="J1472" s="81"/>
      <c r="K1472" s="81"/>
      <c r="L1472" s="155"/>
      <c r="M1472" s="155"/>
      <c r="N1472" s="109"/>
      <c r="O1472" s="126"/>
      <c r="P1472" s="126"/>
      <c r="Q1472" s="126"/>
      <c r="R1472" s="127"/>
      <c r="S1472" s="127"/>
      <c r="T1472" s="127"/>
      <c r="U1472" s="127"/>
    </row>
    <row r="1473" spans="1:21" ht="15" customHeight="1">
      <c r="A1473" s="125"/>
      <c r="B1473" s="125"/>
      <c r="C1473" s="125"/>
      <c r="D1473" s="81"/>
      <c r="E1473" s="81"/>
      <c r="F1473" s="97"/>
      <c r="G1473" s="81"/>
      <c r="H1473" s="81"/>
      <c r="I1473" s="81"/>
      <c r="J1473" s="81"/>
      <c r="K1473" s="81"/>
      <c r="L1473" s="155"/>
      <c r="M1473" s="155"/>
      <c r="N1473" s="109"/>
      <c r="O1473" s="126"/>
      <c r="P1473" s="126"/>
      <c r="Q1473" s="126"/>
      <c r="R1473" s="127"/>
      <c r="S1473" s="127"/>
      <c r="T1473" s="127"/>
      <c r="U1473" s="127"/>
    </row>
    <row r="1474" spans="1:21" ht="15" customHeight="1">
      <c r="A1474" s="125"/>
      <c r="B1474" s="125"/>
      <c r="C1474" s="125"/>
      <c r="D1474" s="81"/>
      <c r="E1474" s="81"/>
      <c r="F1474" s="97"/>
      <c r="G1474" s="81"/>
      <c r="H1474" s="81"/>
      <c r="I1474" s="81"/>
      <c r="J1474" s="81"/>
      <c r="K1474" s="81"/>
      <c r="L1474" s="155"/>
      <c r="M1474" s="155"/>
      <c r="N1474" s="109"/>
      <c r="O1474" s="126"/>
      <c r="P1474" s="126"/>
      <c r="Q1474" s="126"/>
      <c r="R1474" s="127"/>
      <c r="S1474" s="127"/>
      <c r="T1474" s="127"/>
      <c r="U1474" s="127"/>
    </row>
    <row r="1475" spans="1:21" ht="15" customHeight="1">
      <c r="A1475" s="125"/>
      <c r="B1475" s="125"/>
      <c r="C1475" s="125"/>
      <c r="D1475" s="81"/>
      <c r="E1475" s="81"/>
      <c r="F1475" s="97"/>
      <c r="G1475" s="81"/>
      <c r="H1475" s="81"/>
      <c r="I1475" s="81"/>
      <c r="J1475" s="81"/>
      <c r="K1475" s="81"/>
      <c r="L1475" s="155"/>
      <c r="M1475" s="155"/>
      <c r="N1475" s="109"/>
      <c r="O1475" s="126"/>
      <c r="P1475" s="126"/>
      <c r="Q1475" s="126"/>
      <c r="R1475" s="127"/>
      <c r="S1475" s="127"/>
      <c r="T1475" s="127"/>
      <c r="U1475" s="127"/>
    </row>
    <row r="1476" spans="1:21" ht="15" customHeight="1">
      <c r="A1476" s="125"/>
      <c r="B1476" s="125"/>
      <c r="C1476" s="125"/>
      <c r="D1476" s="81"/>
      <c r="E1476" s="81"/>
      <c r="F1476" s="97"/>
      <c r="G1476" s="81"/>
      <c r="H1476" s="81"/>
      <c r="I1476" s="81"/>
      <c r="J1476" s="81"/>
      <c r="K1476" s="81"/>
      <c r="L1476" s="155"/>
      <c r="M1476" s="155"/>
      <c r="N1476" s="109"/>
      <c r="O1476" s="126"/>
      <c r="P1476" s="126"/>
      <c r="Q1476" s="126"/>
      <c r="R1476" s="127"/>
      <c r="S1476" s="127"/>
      <c r="T1476" s="127"/>
      <c r="U1476" s="127"/>
    </row>
    <row r="1477" spans="1:21" ht="15" customHeight="1">
      <c r="A1477" s="125"/>
      <c r="B1477" s="125"/>
      <c r="C1477" s="125"/>
      <c r="D1477" s="81"/>
      <c r="E1477" s="81"/>
      <c r="F1477" s="97"/>
      <c r="G1477" s="81"/>
      <c r="H1477" s="81"/>
      <c r="I1477" s="81"/>
      <c r="J1477" s="81"/>
      <c r="K1477" s="81"/>
      <c r="L1477" s="155"/>
      <c r="M1477" s="155"/>
      <c r="N1477" s="109"/>
      <c r="O1477" s="126"/>
      <c r="P1477" s="126"/>
      <c r="Q1477" s="126"/>
      <c r="R1477" s="127"/>
      <c r="S1477" s="127"/>
      <c r="T1477" s="127"/>
      <c r="U1477" s="127"/>
    </row>
    <row r="1478" spans="1:21" ht="15" customHeight="1">
      <c r="A1478" s="125"/>
      <c r="B1478" s="125"/>
      <c r="C1478" s="125"/>
      <c r="D1478" s="81"/>
      <c r="E1478" s="81"/>
      <c r="F1478" s="97"/>
      <c r="G1478" s="81"/>
      <c r="H1478" s="81"/>
      <c r="I1478" s="81"/>
      <c r="J1478" s="81"/>
      <c r="K1478" s="81"/>
      <c r="L1478" s="155"/>
      <c r="M1478" s="155"/>
      <c r="N1478" s="109"/>
      <c r="O1478" s="126"/>
      <c r="P1478" s="126"/>
      <c r="Q1478" s="126"/>
      <c r="R1478" s="127"/>
      <c r="S1478" s="127"/>
      <c r="T1478" s="127"/>
      <c r="U1478" s="127"/>
    </row>
    <row r="1479" spans="1:21" ht="15" customHeight="1">
      <c r="A1479" s="125"/>
      <c r="B1479" s="125"/>
      <c r="C1479" s="125"/>
      <c r="D1479" s="81"/>
      <c r="E1479" s="81"/>
      <c r="F1479" s="97"/>
      <c r="G1479" s="81"/>
      <c r="H1479" s="81"/>
      <c r="I1479" s="81"/>
      <c r="J1479" s="81"/>
      <c r="K1479" s="81"/>
      <c r="L1479" s="155"/>
      <c r="M1479" s="155"/>
      <c r="N1479" s="109"/>
      <c r="O1479" s="126"/>
      <c r="P1479" s="126"/>
      <c r="Q1479" s="126"/>
      <c r="R1479" s="127"/>
      <c r="S1479" s="127"/>
      <c r="T1479" s="127"/>
      <c r="U1479" s="127"/>
    </row>
    <row r="1480" spans="1:21" ht="15" customHeight="1">
      <c r="A1480" s="125"/>
      <c r="B1480" s="125"/>
      <c r="C1480" s="125"/>
      <c r="D1480" s="81"/>
      <c r="E1480" s="81"/>
      <c r="F1480" s="97"/>
      <c r="G1480" s="81"/>
      <c r="H1480" s="81"/>
      <c r="I1480" s="81"/>
      <c r="J1480" s="81"/>
      <c r="K1480" s="81"/>
      <c r="L1480" s="155"/>
      <c r="M1480" s="155"/>
      <c r="N1480" s="109"/>
      <c r="O1480" s="126"/>
      <c r="P1480" s="126"/>
      <c r="Q1480" s="126"/>
      <c r="R1480" s="127"/>
      <c r="S1480" s="127"/>
      <c r="T1480" s="127"/>
      <c r="U1480" s="127"/>
    </row>
    <row r="1481" spans="1:21" ht="15" customHeight="1">
      <c r="A1481" s="125"/>
      <c r="B1481" s="125"/>
      <c r="C1481" s="125"/>
      <c r="D1481" s="81"/>
      <c r="E1481" s="81"/>
      <c r="F1481" s="97"/>
      <c r="G1481" s="81"/>
      <c r="H1481" s="81"/>
      <c r="I1481" s="81"/>
      <c r="J1481" s="81"/>
      <c r="K1481" s="81"/>
      <c r="L1481" s="155"/>
      <c r="M1481" s="155"/>
      <c r="N1481" s="109"/>
      <c r="O1481" s="126"/>
      <c r="P1481" s="126"/>
      <c r="Q1481" s="126"/>
      <c r="R1481" s="127"/>
      <c r="S1481" s="127"/>
      <c r="T1481" s="127"/>
      <c r="U1481" s="127"/>
    </row>
    <row r="1482" spans="1:21" ht="15" customHeight="1">
      <c r="A1482" s="125"/>
      <c r="B1482" s="125"/>
      <c r="C1482" s="125"/>
      <c r="D1482" s="81"/>
      <c r="E1482" s="81"/>
      <c r="F1482" s="97"/>
      <c r="G1482" s="81"/>
      <c r="H1482" s="81"/>
      <c r="I1482" s="81"/>
      <c r="J1482" s="81"/>
      <c r="K1482" s="81"/>
      <c r="L1482" s="155"/>
      <c r="M1482" s="155"/>
      <c r="N1482" s="109"/>
      <c r="O1482" s="126"/>
      <c r="P1482" s="126"/>
      <c r="Q1482" s="126"/>
      <c r="R1482" s="127"/>
      <c r="S1482" s="127"/>
      <c r="T1482" s="127"/>
      <c r="U1482" s="127"/>
    </row>
    <row r="1483" spans="1:21" ht="15" customHeight="1">
      <c r="A1483" s="125"/>
      <c r="B1483" s="125"/>
      <c r="C1483" s="125"/>
      <c r="D1483" s="81"/>
      <c r="E1483" s="81"/>
      <c r="F1483" s="97"/>
      <c r="G1483" s="81"/>
      <c r="H1483" s="81"/>
      <c r="I1483" s="81"/>
      <c r="J1483" s="81"/>
      <c r="K1483" s="81"/>
      <c r="L1483" s="155"/>
      <c r="M1483" s="155"/>
      <c r="N1483" s="109"/>
      <c r="O1483" s="126"/>
      <c r="P1483" s="126"/>
      <c r="Q1483" s="126"/>
      <c r="R1483" s="127"/>
      <c r="S1483" s="127"/>
      <c r="T1483" s="127"/>
      <c r="U1483" s="127"/>
    </row>
    <row r="1484" spans="1:21" ht="15" customHeight="1">
      <c r="A1484" s="125"/>
      <c r="B1484" s="125"/>
      <c r="C1484" s="125"/>
      <c r="D1484" s="81"/>
      <c r="E1484" s="81"/>
      <c r="F1484" s="97"/>
      <c r="G1484" s="81"/>
      <c r="H1484" s="81"/>
      <c r="I1484" s="81"/>
      <c r="J1484" s="81"/>
      <c r="K1484" s="81"/>
      <c r="L1484" s="155"/>
      <c r="M1484" s="155"/>
      <c r="N1484" s="109"/>
      <c r="O1484" s="126"/>
      <c r="P1484" s="126"/>
      <c r="Q1484" s="126"/>
      <c r="R1484" s="127"/>
      <c r="S1484" s="127"/>
      <c r="T1484" s="127"/>
      <c r="U1484" s="127"/>
    </row>
    <row r="1485" spans="1:21" ht="15" customHeight="1">
      <c r="A1485" s="125"/>
      <c r="B1485" s="125"/>
      <c r="C1485" s="125"/>
      <c r="D1485" s="81"/>
      <c r="E1485" s="81"/>
      <c r="F1485" s="97"/>
      <c r="G1485" s="81"/>
      <c r="H1485" s="81"/>
      <c r="I1485" s="81"/>
      <c r="J1485" s="81"/>
      <c r="K1485" s="81"/>
      <c r="L1485" s="155"/>
      <c r="M1485" s="155"/>
      <c r="N1485" s="109"/>
      <c r="O1485" s="126"/>
      <c r="P1485" s="126"/>
      <c r="Q1485" s="126"/>
      <c r="R1485" s="127"/>
      <c r="S1485" s="127"/>
      <c r="T1485" s="127"/>
      <c r="U1485" s="127"/>
    </row>
    <row r="1486" spans="1:21" ht="15" customHeight="1">
      <c r="A1486" s="125"/>
      <c r="B1486" s="125"/>
      <c r="C1486" s="125"/>
      <c r="D1486" s="81"/>
      <c r="E1486" s="81"/>
      <c r="F1486" s="97"/>
      <c r="G1486" s="81"/>
      <c r="H1486" s="81"/>
      <c r="I1486" s="81"/>
      <c r="J1486" s="81"/>
      <c r="K1486" s="81"/>
      <c r="L1486" s="155"/>
      <c r="M1486" s="155"/>
      <c r="N1486" s="109"/>
      <c r="O1486" s="126"/>
      <c r="P1486" s="126"/>
      <c r="Q1486" s="126"/>
      <c r="R1486" s="127"/>
      <c r="S1486" s="127"/>
      <c r="T1486" s="127"/>
      <c r="U1486" s="127"/>
    </row>
    <row r="1487" spans="1:21" ht="15" customHeight="1">
      <c r="A1487" s="125"/>
      <c r="B1487" s="125"/>
      <c r="C1487" s="125"/>
      <c r="D1487" s="81"/>
      <c r="E1487" s="81"/>
      <c r="F1487" s="97"/>
      <c r="G1487" s="81"/>
      <c r="H1487" s="81"/>
      <c r="I1487" s="81"/>
      <c r="J1487" s="81"/>
      <c r="K1487" s="81"/>
      <c r="L1487" s="155"/>
      <c r="M1487" s="155"/>
      <c r="N1487" s="109"/>
      <c r="O1487" s="126"/>
      <c r="P1487" s="126"/>
      <c r="Q1487" s="126"/>
      <c r="R1487" s="127"/>
      <c r="S1487" s="127"/>
      <c r="T1487" s="127"/>
      <c r="U1487" s="127"/>
    </row>
    <row r="1488" spans="1:21" ht="15" customHeight="1">
      <c r="A1488" s="125"/>
      <c r="B1488" s="125"/>
      <c r="C1488" s="125"/>
      <c r="D1488" s="81"/>
      <c r="E1488" s="81"/>
      <c r="F1488" s="97"/>
      <c r="G1488" s="81"/>
      <c r="H1488" s="81"/>
      <c r="I1488" s="81"/>
      <c r="J1488" s="81"/>
      <c r="K1488" s="81"/>
      <c r="L1488" s="155"/>
      <c r="M1488" s="155"/>
      <c r="N1488" s="109"/>
      <c r="O1488" s="126"/>
      <c r="P1488" s="126"/>
      <c r="Q1488" s="126"/>
      <c r="R1488" s="127"/>
      <c r="S1488" s="127"/>
      <c r="T1488" s="127"/>
      <c r="U1488" s="127"/>
    </row>
    <row r="1489" spans="1:21" ht="15" customHeight="1">
      <c r="A1489" s="125"/>
      <c r="B1489" s="125"/>
      <c r="C1489" s="125"/>
      <c r="D1489" s="81"/>
      <c r="E1489" s="81"/>
      <c r="F1489" s="97"/>
      <c r="G1489" s="81"/>
      <c r="H1489" s="81"/>
      <c r="I1489" s="81"/>
      <c r="J1489" s="81"/>
      <c r="K1489" s="81"/>
      <c r="L1489" s="155"/>
      <c r="M1489" s="155"/>
      <c r="N1489" s="109"/>
      <c r="O1489" s="126"/>
      <c r="P1489" s="126"/>
      <c r="Q1489" s="126"/>
      <c r="R1489" s="127"/>
      <c r="S1489" s="127"/>
      <c r="T1489" s="127"/>
      <c r="U1489" s="127"/>
    </row>
    <row r="1490" spans="1:21" ht="15" customHeight="1">
      <c r="A1490" s="125"/>
      <c r="B1490" s="125"/>
      <c r="C1490" s="125"/>
      <c r="D1490" s="81"/>
      <c r="E1490" s="81"/>
      <c r="F1490" s="97"/>
      <c r="G1490" s="81"/>
      <c r="H1490" s="81"/>
      <c r="I1490" s="81"/>
      <c r="J1490" s="81"/>
      <c r="K1490" s="81"/>
      <c r="L1490" s="155"/>
      <c r="M1490" s="155"/>
      <c r="N1490" s="109"/>
      <c r="O1490" s="126"/>
      <c r="P1490" s="126"/>
      <c r="Q1490" s="126"/>
      <c r="R1490" s="127"/>
      <c r="S1490" s="127"/>
      <c r="T1490" s="127"/>
      <c r="U1490" s="127"/>
    </row>
    <row r="1491" spans="1:21" ht="15" customHeight="1">
      <c r="A1491" s="125"/>
      <c r="B1491" s="125"/>
      <c r="C1491" s="125"/>
      <c r="D1491" s="81"/>
      <c r="E1491" s="81"/>
      <c r="F1491" s="97"/>
      <c r="G1491" s="81"/>
      <c r="H1491" s="81"/>
      <c r="I1491" s="81"/>
      <c r="J1491" s="81"/>
      <c r="K1491" s="81"/>
      <c r="L1491" s="155"/>
      <c r="M1491" s="155"/>
      <c r="N1491" s="109"/>
      <c r="O1491" s="126"/>
      <c r="P1491" s="126"/>
      <c r="Q1491" s="126"/>
      <c r="R1491" s="127"/>
      <c r="S1491" s="127"/>
      <c r="T1491" s="127"/>
      <c r="U1491" s="127"/>
    </row>
    <row r="1492" spans="1:21" ht="15" customHeight="1">
      <c r="A1492" s="125"/>
      <c r="B1492" s="125"/>
      <c r="C1492" s="125"/>
      <c r="D1492" s="81"/>
      <c r="E1492" s="81"/>
      <c r="F1492" s="97"/>
      <c r="G1492" s="81"/>
      <c r="H1492" s="81"/>
      <c r="I1492" s="81"/>
      <c r="J1492" s="81"/>
      <c r="K1492" s="81"/>
      <c r="L1492" s="155"/>
      <c r="M1492" s="155"/>
      <c r="N1492" s="109"/>
      <c r="O1492" s="126"/>
      <c r="P1492" s="126"/>
      <c r="Q1492" s="126"/>
      <c r="R1492" s="127"/>
      <c r="S1492" s="127"/>
      <c r="T1492" s="127"/>
      <c r="U1492" s="127"/>
    </row>
    <row r="1493" spans="1:21" ht="15" customHeight="1">
      <c r="A1493" s="125"/>
      <c r="B1493" s="125"/>
      <c r="C1493" s="125"/>
      <c r="D1493" s="81"/>
      <c r="E1493" s="81"/>
      <c r="F1493" s="97"/>
      <c r="G1493" s="81"/>
      <c r="H1493" s="81"/>
      <c r="I1493" s="81"/>
      <c r="J1493" s="81"/>
      <c r="K1493" s="81"/>
      <c r="L1493" s="155"/>
      <c r="M1493" s="155"/>
      <c r="N1493" s="109"/>
      <c r="O1493" s="126"/>
      <c r="P1493" s="126"/>
      <c r="Q1493" s="126"/>
      <c r="R1493" s="127"/>
      <c r="S1493" s="127"/>
      <c r="T1493" s="127"/>
      <c r="U1493" s="127"/>
    </row>
    <row r="1494" spans="1:21" ht="15" customHeight="1">
      <c r="A1494" s="125"/>
      <c r="B1494" s="125"/>
      <c r="C1494" s="125"/>
      <c r="D1494" s="81"/>
      <c r="E1494" s="81"/>
      <c r="F1494" s="97"/>
      <c r="G1494" s="81"/>
      <c r="H1494" s="81"/>
      <c r="I1494" s="81"/>
      <c r="J1494" s="81"/>
      <c r="K1494" s="81"/>
      <c r="L1494" s="155"/>
      <c r="M1494" s="155"/>
      <c r="N1494" s="109"/>
      <c r="O1494" s="126"/>
      <c r="P1494" s="126"/>
      <c r="Q1494" s="126"/>
      <c r="R1494" s="127"/>
      <c r="S1494" s="127"/>
      <c r="T1494" s="127"/>
      <c r="U1494" s="127"/>
    </row>
    <row r="1495" spans="1:21" ht="15" customHeight="1">
      <c r="A1495" s="125"/>
      <c r="B1495" s="125"/>
      <c r="C1495" s="125"/>
      <c r="D1495" s="81"/>
      <c r="E1495" s="81"/>
      <c r="F1495" s="97"/>
      <c r="G1495" s="81"/>
      <c r="H1495" s="81"/>
      <c r="I1495" s="81"/>
      <c r="J1495" s="81"/>
      <c r="K1495" s="81"/>
      <c r="L1495" s="155"/>
      <c r="M1495" s="155"/>
      <c r="N1495" s="109"/>
      <c r="O1495" s="126"/>
      <c r="P1495" s="126"/>
      <c r="Q1495" s="126"/>
      <c r="R1495" s="127"/>
      <c r="S1495" s="127"/>
      <c r="T1495" s="127"/>
      <c r="U1495" s="127"/>
    </row>
    <row r="1496" spans="1:21" ht="15" customHeight="1">
      <c r="A1496" s="125"/>
      <c r="B1496" s="125"/>
      <c r="C1496" s="125"/>
      <c r="D1496" s="81"/>
      <c r="E1496" s="81"/>
      <c r="F1496" s="97"/>
      <c r="G1496" s="81"/>
      <c r="H1496" s="81"/>
      <c r="I1496" s="81"/>
      <c r="J1496" s="81"/>
      <c r="K1496" s="81"/>
      <c r="L1496" s="155"/>
      <c r="M1496" s="155"/>
      <c r="N1496" s="109"/>
      <c r="O1496" s="126"/>
      <c r="P1496" s="126"/>
      <c r="Q1496" s="126"/>
      <c r="R1496" s="127"/>
      <c r="S1496" s="127"/>
      <c r="T1496" s="127"/>
      <c r="U1496" s="127"/>
    </row>
    <row r="1497" spans="1:21" ht="15" customHeight="1">
      <c r="A1497" s="125"/>
      <c r="B1497" s="125"/>
      <c r="C1497" s="125"/>
      <c r="D1497" s="81"/>
      <c r="E1497" s="81"/>
      <c r="F1497" s="97"/>
      <c r="G1497" s="81"/>
      <c r="H1497" s="81"/>
      <c r="I1497" s="81"/>
      <c r="J1497" s="81"/>
      <c r="K1497" s="81"/>
      <c r="L1497" s="155"/>
      <c r="M1497" s="155"/>
      <c r="N1497" s="109"/>
      <c r="O1497" s="126"/>
      <c r="P1497" s="126"/>
      <c r="Q1497" s="126"/>
      <c r="R1497" s="127"/>
      <c r="S1497" s="127"/>
      <c r="T1497" s="127"/>
      <c r="U1497" s="127"/>
    </row>
    <row r="1498" spans="1:21" ht="15" customHeight="1">
      <c r="A1498" s="125"/>
      <c r="B1498" s="125"/>
      <c r="C1498" s="125"/>
      <c r="D1498" s="81"/>
      <c r="E1498" s="81"/>
      <c r="F1498" s="97"/>
      <c r="G1498" s="81"/>
      <c r="H1498" s="81"/>
      <c r="I1498" s="81"/>
      <c r="J1498" s="81"/>
      <c r="K1498" s="81"/>
      <c r="L1498" s="155"/>
      <c r="M1498" s="155"/>
      <c r="N1498" s="109"/>
      <c r="O1498" s="126"/>
      <c r="P1498" s="126"/>
      <c r="Q1498" s="126"/>
      <c r="R1498" s="127"/>
      <c r="S1498" s="127"/>
      <c r="T1498" s="127"/>
      <c r="U1498" s="127"/>
    </row>
    <row r="1499" spans="1:21" ht="15" customHeight="1">
      <c r="A1499" s="125"/>
      <c r="B1499" s="125"/>
      <c r="C1499" s="125"/>
      <c r="D1499" s="81"/>
      <c r="E1499" s="81"/>
      <c r="F1499" s="97"/>
      <c r="G1499" s="81"/>
      <c r="H1499" s="81"/>
      <c r="I1499" s="81"/>
      <c r="J1499" s="81"/>
      <c r="K1499" s="81"/>
      <c r="L1499" s="155"/>
      <c r="M1499" s="155"/>
      <c r="N1499" s="109"/>
      <c r="O1499" s="126"/>
      <c r="P1499" s="126"/>
      <c r="Q1499" s="126"/>
      <c r="R1499" s="127"/>
      <c r="S1499" s="127"/>
      <c r="T1499" s="127"/>
      <c r="U1499" s="127"/>
    </row>
    <row r="1500" spans="1:21" ht="15" customHeight="1">
      <c r="A1500" s="125"/>
      <c r="B1500" s="125"/>
      <c r="C1500" s="125"/>
      <c r="D1500" s="81"/>
      <c r="E1500" s="81"/>
      <c r="F1500" s="97"/>
      <c r="G1500" s="81"/>
      <c r="H1500" s="81"/>
      <c r="I1500" s="81"/>
      <c r="J1500" s="81"/>
      <c r="K1500" s="81"/>
      <c r="L1500" s="155"/>
      <c r="M1500" s="155"/>
      <c r="N1500" s="109"/>
      <c r="O1500" s="126"/>
      <c r="P1500" s="126"/>
      <c r="Q1500" s="126"/>
      <c r="R1500" s="127"/>
      <c r="S1500" s="127"/>
      <c r="T1500" s="127"/>
      <c r="U1500" s="127"/>
    </row>
    <row r="1501" spans="1:21" ht="15" customHeight="1">
      <c r="A1501" s="125"/>
      <c r="B1501" s="125"/>
      <c r="C1501" s="125"/>
      <c r="D1501" s="81"/>
      <c r="E1501" s="81"/>
      <c r="F1501" s="97"/>
      <c r="G1501" s="81"/>
      <c r="H1501" s="81"/>
      <c r="I1501" s="81"/>
      <c r="J1501" s="81"/>
      <c r="K1501" s="81"/>
      <c r="L1501" s="155"/>
      <c r="M1501" s="155"/>
      <c r="N1501" s="109"/>
      <c r="O1501" s="126"/>
      <c r="P1501" s="126"/>
      <c r="Q1501" s="126"/>
      <c r="R1501" s="127"/>
      <c r="S1501" s="127"/>
      <c r="T1501" s="127"/>
      <c r="U1501" s="127"/>
    </row>
    <row r="1502" spans="1:21" ht="15" customHeight="1">
      <c r="A1502" s="125"/>
      <c r="B1502" s="125"/>
      <c r="C1502" s="125"/>
      <c r="D1502" s="81"/>
      <c r="E1502" s="81"/>
      <c r="F1502" s="97"/>
      <c r="G1502" s="81"/>
      <c r="H1502" s="81"/>
      <c r="I1502" s="81"/>
      <c r="J1502" s="81"/>
      <c r="K1502" s="81"/>
      <c r="L1502" s="155"/>
      <c r="M1502" s="155"/>
      <c r="N1502" s="109"/>
      <c r="O1502" s="126"/>
      <c r="P1502" s="126"/>
      <c r="Q1502" s="126"/>
      <c r="R1502" s="127"/>
      <c r="S1502" s="127"/>
      <c r="T1502" s="127"/>
      <c r="U1502" s="127"/>
    </row>
    <row r="1503" spans="1:21" ht="15" customHeight="1">
      <c r="A1503" s="125"/>
      <c r="B1503" s="125"/>
      <c r="C1503" s="125"/>
      <c r="D1503" s="81"/>
      <c r="E1503" s="81"/>
      <c r="F1503" s="97"/>
      <c r="G1503" s="81"/>
      <c r="H1503" s="81"/>
      <c r="I1503" s="81"/>
      <c r="J1503" s="81"/>
      <c r="K1503" s="81"/>
      <c r="L1503" s="155"/>
      <c r="M1503" s="155"/>
      <c r="N1503" s="109"/>
      <c r="O1503" s="126"/>
      <c r="P1503" s="126"/>
      <c r="Q1503" s="126"/>
      <c r="R1503" s="127"/>
      <c r="S1503" s="127"/>
      <c r="T1503" s="127"/>
      <c r="U1503" s="127"/>
    </row>
    <row r="1504" spans="1:21" ht="15" customHeight="1">
      <c r="A1504" s="125"/>
      <c r="B1504" s="125"/>
      <c r="C1504" s="125"/>
      <c r="D1504" s="81"/>
      <c r="E1504" s="81"/>
      <c r="F1504" s="97"/>
      <c r="G1504" s="81"/>
      <c r="H1504" s="81"/>
      <c r="I1504" s="81"/>
      <c r="J1504" s="81"/>
      <c r="K1504" s="81"/>
      <c r="L1504" s="155"/>
      <c r="M1504" s="155"/>
      <c r="N1504" s="109"/>
      <c r="O1504" s="126"/>
      <c r="P1504" s="126"/>
      <c r="Q1504" s="126"/>
      <c r="R1504" s="127"/>
      <c r="S1504" s="127"/>
      <c r="T1504" s="127"/>
      <c r="U1504" s="127"/>
    </row>
    <row r="1505" spans="1:21" ht="15" customHeight="1">
      <c r="A1505" s="125"/>
      <c r="B1505" s="125"/>
      <c r="C1505" s="125"/>
      <c r="D1505" s="81"/>
      <c r="E1505" s="81"/>
      <c r="F1505" s="97"/>
      <c r="G1505" s="81"/>
      <c r="H1505" s="81"/>
      <c r="I1505" s="81"/>
      <c r="J1505" s="81"/>
      <c r="K1505" s="81"/>
      <c r="L1505" s="155"/>
      <c r="M1505" s="155"/>
      <c r="N1505" s="109"/>
      <c r="O1505" s="126"/>
      <c r="P1505" s="126"/>
      <c r="Q1505" s="126"/>
      <c r="R1505" s="127"/>
      <c r="S1505" s="127"/>
      <c r="T1505" s="127"/>
      <c r="U1505" s="127"/>
    </row>
    <row r="1506" spans="1:21" ht="15" customHeight="1">
      <c r="A1506" s="125"/>
      <c r="B1506" s="125"/>
      <c r="C1506" s="125"/>
      <c r="D1506" s="81"/>
      <c r="E1506" s="81"/>
      <c r="F1506" s="97"/>
      <c r="G1506" s="81"/>
      <c r="H1506" s="81"/>
      <c r="I1506" s="81"/>
      <c r="J1506" s="81"/>
      <c r="K1506" s="81"/>
      <c r="L1506" s="155"/>
      <c r="M1506" s="155"/>
      <c r="N1506" s="109"/>
      <c r="O1506" s="126"/>
      <c r="P1506" s="126"/>
      <c r="Q1506" s="126"/>
      <c r="R1506" s="127"/>
      <c r="S1506" s="127"/>
      <c r="T1506" s="127"/>
      <c r="U1506" s="127"/>
    </row>
    <row r="1507" spans="1:21" ht="15" customHeight="1">
      <c r="A1507" s="125"/>
      <c r="B1507" s="125"/>
      <c r="C1507" s="125"/>
      <c r="D1507" s="81"/>
      <c r="E1507" s="81"/>
      <c r="F1507" s="97"/>
      <c r="G1507" s="81"/>
      <c r="H1507" s="81"/>
      <c r="I1507" s="81"/>
      <c r="J1507" s="81"/>
      <c r="K1507" s="81"/>
      <c r="L1507" s="155"/>
      <c r="M1507" s="155"/>
      <c r="N1507" s="109"/>
      <c r="O1507" s="126"/>
      <c r="P1507" s="126"/>
      <c r="Q1507" s="126"/>
      <c r="R1507" s="127"/>
      <c r="S1507" s="127"/>
      <c r="T1507" s="127"/>
      <c r="U1507" s="127"/>
    </row>
    <row r="1508" spans="1:21" ht="15" customHeight="1">
      <c r="A1508" s="125"/>
      <c r="B1508" s="125"/>
      <c r="C1508" s="125"/>
      <c r="D1508" s="81"/>
      <c r="E1508" s="81"/>
      <c r="F1508" s="97"/>
      <c r="G1508" s="81"/>
      <c r="H1508" s="81"/>
      <c r="I1508" s="81"/>
      <c r="J1508" s="81"/>
      <c r="K1508" s="81"/>
      <c r="L1508" s="155"/>
      <c r="M1508" s="155"/>
      <c r="N1508" s="109"/>
      <c r="O1508" s="126"/>
      <c r="P1508" s="126"/>
      <c r="Q1508" s="126"/>
      <c r="R1508" s="127"/>
      <c r="S1508" s="127"/>
      <c r="T1508" s="127"/>
      <c r="U1508" s="127"/>
    </row>
    <row r="1509" spans="1:21" ht="15" customHeight="1">
      <c r="A1509" s="125"/>
      <c r="B1509" s="125"/>
      <c r="C1509" s="125"/>
      <c r="D1509" s="81"/>
      <c r="E1509" s="81"/>
      <c r="F1509" s="97"/>
      <c r="G1509" s="81"/>
      <c r="H1509" s="81"/>
      <c r="I1509" s="81"/>
      <c r="J1509" s="81"/>
      <c r="K1509" s="81"/>
      <c r="L1509" s="155"/>
      <c r="M1509" s="155"/>
      <c r="N1509" s="109"/>
      <c r="O1509" s="126"/>
      <c r="P1509" s="126"/>
      <c r="Q1509" s="126"/>
      <c r="R1509" s="127"/>
      <c r="S1509" s="127"/>
      <c r="T1509" s="127"/>
      <c r="U1509" s="127"/>
    </row>
    <row r="1510" spans="1:21" ht="15" customHeight="1">
      <c r="A1510" s="125"/>
      <c r="B1510" s="125"/>
      <c r="C1510" s="125"/>
      <c r="D1510" s="81"/>
      <c r="E1510" s="81"/>
      <c r="F1510" s="97"/>
      <c r="G1510" s="81"/>
      <c r="H1510" s="81"/>
      <c r="I1510" s="81"/>
      <c r="J1510" s="81"/>
      <c r="K1510" s="81"/>
      <c r="L1510" s="155"/>
      <c r="M1510" s="155"/>
      <c r="N1510" s="109"/>
      <c r="O1510" s="126"/>
      <c r="P1510" s="126"/>
      <c r="Q1510" s="126"/>
      <c r="R1510" s="127"/>
      <c r="S1510" s="127"/>
      <c r="T1510" s="127"/>
      <c r="U1510" s="127"/>
    </row>
    <row r="1511" spans="1:21" ht="15" customHeight="1">
      <c r="A1511" s="125"/>
      <c r="B1511" s="125"/>
      <c r="C1511" s="125"/>
      <c r="D1511" s="81"/>
      <c r="E1511" s="81"/>
      <c r="F1511" s="97"/>
      <c r="G1511" s="81"/>
      <c r="H1511" s="81"/>
      <c r="I1511" s="81"/>
      <c r="J1511" s="81"/>
      <c r="K1511" s="81"/>
      <c r="L1511" s="155"/>
      <c r="M1511" s="155"/>
      <c r="N1511" s="109"/>
      <c r="O1511" s="126"/>
      <c r="P1511" s="126"/>
      <c r="Q1511" s="126"/>
      <c r="R1511" s="127"/>
      <c r="S1511" s="127"/>
      <c r="T1511" s="127"/>
      <c r="U1511" s="127"/>
    </row>
    <row r="1512" spans="1:21" ht="15" customHeight="1">
      <c r="A1512" s="125"/>
      <c r="B1512" s="125"/>
      <c r="C1512" s="125"/>
      <c r="D1512" s="81"/>
      <c r="E1512" s="81"/>
      <c r="F1512" s="97"/>
      <c r="G1512" s="81"/>
      <c r="H1512" s="81"/>
      <c r="I1512" s="81"/>
      <c r="J1512" s="81"/>
      <c r="K1512" s="81"/>
      <c r="L1512" s="155"/>
      <c r="M1512" s="155"/>
      <c r="N1512" s="109"/>
      <c r="O1512" s="126"/>
      <c r="P1512" s="126"/>
      <c r="Q1512" s="126"/>
      <c r="R1512" s="127"/>
      <c r="S1512" s="127"/>
      <c r="T1512" s="127"/>
      <c r="U1512" s="127"/>
    </row>
    <row r="1513" spans="1:21" ht="15" customHeight="1">
      <c r="A1513" s="125"/>
      <c r="B1513" s="125"/>
      <c r="C1513" s="125"/>
      <c r="D1513" s="81"/>
      <c r="E1513" s="81"/>
      <c r="F1513" s="97"/>
      <c r="G1513" s="81"/>
      <c r="H1513" s="81"/>
      <c r="I1513" s="81"/>
      <c r="J1513" s="81"/>
      <c r="K1513" s="81"/>
      <c r="L1513" s="155"/>
      <c r="M1513" s="155"/>
      <c r="N1513" s="109"/>
      <c r="O1513" s="126"/>
      <c r="P1513" s="126"/>
      <c r="Q1513" s="126"/>
      <c r="R1513" s="127"/>
      <c r="S1513" s="127"/>
      <c r="T1513" s="127"/>
      <c r="U1513" s="127"/>
    </row>
    <row r="1514" spans="1:21" ht="15" customHeight="1">
      <c r="A1514" s="125"/>
      <c r="B1514" s="125"/>
      <c r="C1514" s="125"/>
      <c r="D1514" s="81"/>
      <c r="E1514" s="81"/>
      <c r="F1514" s="97"/>
      <c r="G1514" s="81"/>
      <c r="H1514" s="81"/>
      <c r="I1514" s="81"/>
      <c r="J1514" s="81"/>
      <c r="K1514" s="81"/>
      <c r="L1514" s="155"/>
      <c r="M1514" s="155"/>
      <c r="N1514" s="109"/>
      <c r="O1514" s="126"/>
      <c r="P1514" s="126"/>
      <c r="Q1514" s="126"/>
      <c r="R1514" s="127"/>
      <c r="S1514" s="127"/>
      <c r="T1514" s="127"/>
      <c r="U1514" s="127"/>
    </row>
    <row r="1515" spans="1:21" ht="15" customHeight="1">
      <c r="A1515" s="125"/>
      <c r="B1515" s="125"/>
      <c r="C1515" s="125"/>
      <c r="D1515" s="81"/>
      <c r="E1515" s="81"/>
      <c r="F1515" s="97"/>
      <c r="G1515" s="81"/>
      <c r="H1515" s="81"/>
      <c r="I1515" s="81"/>
      <c r="J1515" s="81"/>
      <c r="K1515" s="81"/>
      <c r="L1515" s="155"/>
      <c r="M1515" s="155"/>
      <c r="N1515" s="109"/>
      <c r="O1515" s="126"/>
      <c r="P1515" s="126"/>
      <c r="Q1515" s="126"/>
      <c r="R1515" s="127"/>
      <c r="S1515" s="127"/>
      <c r="T1515" s="127"/>
      <c r="U1515" s="127"/>
    </row>
    <row r="1516" spans="1:21" ht="15" customHeight="1">
      <c r="A1516" s="125"/>
      <c r="B1516" s="125"/>
      <c r="C1516" s="125"/>
      <c r="D1516" s="81"/>
      <c r="E1516" s="81"/>
      <c r="F1516" s="97"/>
      <c r="G1516" s="81"/>
      <c r="H1516" s="81"/>
      <c r="I1516" s="81"/>
      <c r="J1516" s="81"/>
      <c r="K1516" s="81"/>
      <c r="L1516" s="155"/>
      <c r="M1516" s="155"/>
      <c r="N1516" s="109"/>
      <c r="O1516" s="126"/>
      <c r="P1516" s="126"/>
      <c r="Q1516" s="126"/>
      <c r="R1516" s="127"/>
      <c r="S1516" s="127"/>
      <c r="T1516" s="127"/>
      <c r="U1516" s="127"/>
    </row>
    <row r="1517" spans="1:21" ht="15" customHeight="1">
      <c r="A1517" s="125"/>
      <c r="B1517" s="125"/>
      <c r="C1517" s="125"/>
      <c r="D1517" s="81"/>
      <c r="E1517" s="81"/>
      <c r="F1517" s="97"/>
      <c r="G1517" s="81"/>
      <c r="H1517" s="81"/>
      <c r="I1517" s="81"/>
      <c r="J1517" s="81"/>
      <c r="K1517" s="81"/>
      <c r="L1517" s="155"/>
      <c r="M1517" s="155"/>
      <c r="N1517" s="109"/>
      <c r="O1517" s="126"/>
      <c r="P1517" s="126"/>
      <c r="Q1517" s="126"/>
      <c r="R1517" s="127"/>
      <c r="S1517" s="127"/>
      <c r="T1517" s="127"/>
      <c r="U1517" s="127"/>
    </row>
    <row r="1518" spans="1:21" ht="15" customHeight="1">
      <c r="A1518" s="125"/>
      <c r="B1518" s="125"/>
      <c r="C1518" s="125"/>
      <c r="D1518" s="81"/>
      <c r="E1518" s="81"/>
      <c r="F1518" s="97"/>
      <c r="G1518" s="81"/>
      <c r="H1518" s="81"/>
      <c r="I1518" s="81"/>
      <c r="J1518" s="81"/>
      <c r="K1518" s="81"/>
      <c r="L1518" s="155"/>
      <c r="M1518" s="155"/>
      <c r="N1518" s="109"/>
      <c r="O1518" s="126"/>
      <c r="P1518" s="126"/>
      <c r="Q1518" s="126"/>
      <c r="R1518" s="127"/>
      <c r="S1518" s="127"/>
      <c r="T1518" s="127"/>
      <c r="U1518" s="127"/>
    </row>
    <row r="1519" spans="1:21" ht="15" customHeight="1">
      <c r="A1519" s="125"/>
      <c r="B1519" s="125"/>
      <c r="C1519" s="125"/>
      <c r="D1519" s="81"/>
      <c r="E1519" s="81"/>
      <c r="F1519" s="97"/>
      <c r="G1519" s="81"/>
      <c r="H1519" s="81"/>
      <c r="I1519" s="81"/>
      <c r="J1519" s="81"/>
      <c r="K1519" s="81"/>
      <c r="L1519" s="155"/>
      <c r="M1519" s="155"/>
      <c r="N1519" s="109"/>
      <c r="O1519" s="126"/>
      <c r="P1519" s="126"/>
      <c r="Q1519" s="126"/>
      <c r="R1519" s="127"/>
      <c r="S1519" s="127"/>
      <c r="T1519" s="127"/>
      <c r="U1519" s="127"/>
    </row>
    <row r="1520" spans="1:21" ht="15" customHeight="1">
      <c r="A1520" s="125"/>
      <c r="B1520" s="125"/>
      <c r="C1520" s="125"/>
      <c r="D1520" s="81"/>
      <c r="E1520" s="81"/>
      <c r="F1520" s="97"/>
      <c r="G1520" s="81"/>
      <c r="H1520" s="81"/>
      <c r="I1520" s="81"/>
      <c r="J1520" s="81"/>
      <c r="K1520" s="81"/>
      <c r="L1520" s="155"/>
      <c r="M1520" s="155"/>
      <c r="N1520" s="109"/>
      <c r="O1520" s="126"/>
      <c r="P1520" s="126"/>
      <c r="Q1520" s="126"/>
      <c r="R1520" s="127"/>
      <c r="S1520" s="127"/>
      <c r="T1520" s="127"/>
      <c r="U1520" s="127"/>
    </row>
    <row r="1521" spans="1:21" ht="15" customHeight="1">
      <c r="A1521" s="125"/>
      <c r="B1521" s="125"/>
      <c r="C1521" s="125"/>
      <c r="D1521" s="81"/>
      <c r="E1521" s="81"/>
      <c r="F1521" s="97"/>
      <c r="G1521" s="81"/>
      <c r="H1521" s="81"/>
      <c r="I1521" s="81"/>
      <c r="J1521" s="81"/>
      <c r="K1521" s="81"/>
      <c r="L1521" s="155"/>
      <c r="M1521" s="155"/>
      <c r="N1521" s="109"/>
      <c r="O1521" s="126"/>
      <c r="P1521" s="126"/>
      <c r="Q1521" s="126"/>
      <c r="R1521" s="127"/>
      <c r="S1521" s="127"/>
      <c r="T1521" s="127"/>
      <c r="U1521" s="127"/>
    </row>
    <row r="1522" spans="1:21" ht="15" customHeight="1">
      <c r="A1522" s="125"/>
      <c r="B1522" s="125"/>
      <c r="C1522" s="125"/>
      <c r="D1522" s="81"/>
      <c r="E1522" s="81"/>
      <c r="F1522" s="97"/>
      <c r="G1522" s="81"/>
      <c r="H1522" s="81"/>
      <c r="I1522" s="81"/>
      <c r="J1522" s="81"/>
      <c r="K1522" s="81"/>
      <c r="L1522" s="155"/>
      <c r="M1522" s="155"/>
      <c r="N1522" s="109"/>
      <c r="O1522" s="126"/>
      <c r="P1522" s="126"/>
      <c r="Q1522" s="126"/>
      <c r="R1522" s="127"/>
      <c r="S1522" s="127"/>
      <c r="T1522" s="127"/>
      <c r="U1522" s="127"/>
    </row>
    <row r="1523" spans="1:21" ht="15" customHeight="1">
      <c r="A1523" s="125"/>
      <c r="B1523" s="125"/>
      <c r="C1523" s="125"/>
      <c r="D1523" s="81"/>
      <c r="E1523" s="81"/>
      <c r="F1523" s="97"/>
      <c r="G1523" s="81"/>
      <c r="H1523" s="81"/>
      <c r="I1523" s="81"/>
      <c r="J1523" s="81"/>
      <c r="K1523" s="81"/>
      <c r="L1523" s="155"/>
      <c r="M1523" s="155"/>
      <c r="N1523" s="109"/>
      <c r="O1523" s="126"/>
      <c r="P1523" s="126"/>
      <c r="Q1523" s="126"/>
      <c r="R1523" s="127"/>
      <c r="S1523" s="127"/>
      <c r="T1523" s="127"/>
      <c r="U1523" s="127"/>
    </row>
    <row r="1524" spans="1:21" ht="15" customHeight="1">
      <c r="A1524" s="125"/>
      <c r="B1524" s="125"/>
      <c r="C1524" s="125"/>
      <c r="D1524" s="81"/>
      <c r="E1524" s="81"/>
      <c r="F1524" s="97"/>
      <c r="G1524" s="81"/>
      <c r="H1524" s="81"/>
      <c r="I1524" s="81"/>
      <c r="J1524" s="81"/>
      <c r="K1524" s="81"/>
      <c r="L1524" s="155"/>
      <c r="M1524" s="155"/>
      <c r="N1524" s="109"/>
      <c r="O1524" s="126"/>
      <c r="P1524" s="126"/>
      <c r="Q1524" s="126"/>
      <c r="R1524" s="127"/>
      <c r="S1524" s="127"/>
      <c r="T1524" s="127"/>
      <c r="U1524" s="127"/>
    </row>
    <row r="1525" spans="1:21" ht="15" customHeight="1">
      <c r="A1525" s="125"/>
      <c r="B1525" s="125"/>
      <c r="C1525" s="125"/>
      <c r="D1525" s="81"/>
      <c r="E1525" s="81"/>
      <c r="F1525" s="97"/>
      <c r="G1525" s="81"/>
      <c r="H1525" s="81"/>
      <c r="I1525" s="81"/>
      <c r="J1525" s="81"/>
      <c r="K1525" s="81"/>
      <c r="L1525" s="155"/>
      <c r="M1525" s="155"/>
      <c r="N1525" s="109"/>
      <c r="O1525" s="126"/>
      <c r="P1525" s="126"/>
      <c r="Q1525" s="126"/>
      <c r="R1525" s="127"/>
      <c r="S1525" s="127"/>
      <c r="T1525" s="127"/>
      <c r="U1525" s="127"/>
    </row>
    <row r="1526" spans="1:21" ht="15" customHeight="1">
      <c r="A1526" s="125"/>
      <c r="B1526" s="125"/>
      <c r="C1526" s="125"/>
      <c r="D1526" s="81"/>
      <c r="E1526" s="81"/>
      <c r="F1526" s="97"/>
      <c r="G1526" s="81"/>
      <c r="H1526" s="81"/>
      <c r="I1526" s="81"/>
      <c r="J1526" s="81"/>
      <c r="K1526" s="81"/>
      <c r="L1526" s="155"/>
      <c r="M1526" s="155"/>
      <c r="N1526" s="109"/>
      <c r="O1526" s="126"/>
      <c r="P1526" s="126"/>
      <c r="Q1526" s="126"/>
      <c r="R1526" s="127"/>
      <c r="S1526" s="127"/>
      <c r="T1526" s="127"/>
      <c r="U1526" s="127"/>
    </row>
    <row r="1527" spans="1:21" ht="15" customHeight="1">
      <c r="A1527" s="125"/>
      <c r="B1527" s="125"/>
      <c r="C1527" s="125"/>
      <c r="D1527" s="81"/>
      <c r="E1527" s="81"/>
      <c r="F1527" s="97"/>
      <c r="G1527" s="81"/>
      <c r="H1527" s="81"/>
      <c r="I1527" s="81"/>
      <c r="J1527" s="81"/>
      <c r="K1527" s="81"/>
      <c r="L1527" s="155"/>
      <c r="M1527" s="155"/>
      <c r="N1527" s="109"/>
      <c r="O1527" s="126"/>
      <c r="P1527" s="126"/>
      <c r="Q1527" s="126"/>
      <c r="R1527" s="127"/>
      <c r="S1527" s="127"/>
      <c r="T1527" s="127"/>
      <c r="U1527" s="127"/>
    </row>
    <row r="1528" spans="1:21" ht="15" customHeight="1">
      <c r="A1528" s="125"/>
      <c r="B1528" s="125"/>
      <c r="C1528" s="125"/>
      <c r="D1528" s="81"/>
      <c r="E1528" s="81"/>
      <c r="F1528" s="97"/>
      <c r="G1528" s="81"/>
      <c r="H1528" s="81"/>
      <c r="I1528" s="81"/>
      <c r="J1528" s="81"/>
      <c r="K1528" s="81"/>
      <c r="L1528" s="155"/>
      <c r="M1528" s="155"/>
      <c r="N1528" s="109"/>
      <c r="O1528" s="126"/>
      <c r="P1528" s="126"/>
      <c r="Q1528" s="126"/>
      <c r="R1528" s="127"/>
      <c r="S1528" s="127"/>
      <c r="T1528" s="127"/>
      <c r="U1528" s="127"/>
    </row>
    <row r="1529" spans="1:21" ht="15" customHeight="1">
      <c r="A1529" s="125"/>
      <c r="B1529" s="125"/>
      <c r="C1529" s="125"/>
      <c r="D1529" s="81"/>
      <c r="E1529" s="81"/>
      <c r="F1529" s="97"/>
      <c r="G1529" s="81"/>
      <c r="H1529" s="81"/>
      <c r="I1529" s="81"/>
      <c r="J1529" s="81"/>
      <c r="K1529" s="81"/>
      <c r="L1529" s="155"/>
      <c r="M1529" s="155"/>
      <c r="N1529" s="109"/>
      <c r="O1529" s="126"/>
      <c r="P1529" s="126"/>
      <c r="Q1529" s="126"/>
      <c r="R1529" s="127"/>
      <c r="S1529" s="127"/>
      <c r="T1529" s="127"/>
      <c r="U1529" s="127"/>
    </row>
    <row r="1530" spans="1:21" ht="15" customHeight="1">
      <c r="A1530" s="125"/>
      <c r="B1530" s="125"/>
      <c r="C1530" s="125"/>
      <c r="D1530" s="81"/>
      <c r="E1530" s="81"/>
      <c r="F1530" s="97"/>
      <c r="G1530" s="81"/>
      <c r="H1530" s="81"/>
      <c r="I1530" s="81"/>
      <c r="J1530" s="81"/>
      <c r="K1530" s="81"/>
      <c r="L1530" s="155"/>
      <c r="M1530" s="155"/>
      <c r="N1530" s="109"/>
      <c r="O1530" s="126"/>
      <c r="P1530" s="126"/>
      <c r="Q1530" s="126"/>
      <c r="R1530" s="127"/>
      <c r="S1530" s="127"/>
      <c r="T1530" s="127"/>
      <c r="U1530" s="127"/>
    </row>
    <row r="1531" spans="1:21" ht="15" customHeight="1">
      <c r="A1531" s="125"/>
      <c r="B1531" s="125"/>
      <c r="C1531" s="125"/>
      <c r="D1531" s="81"/>
      <c r="E1531" s="81"/>
      <c r="F1531" s="97"/>
      <c r="G1531" s="81"/>
      <c r="H1531" s="81"/>
      <c r="I1531" s="81"/>
      <c r="J1531" s="81"/>
      <c r="K1531" s="81"/>
      <c r="L1531" s="155"/>
      <c r="M1531" s="155"/>
      <c r="N1531" s="109"/>
      <c r="O1531" s="126"/>
      <c r="P1531" s="126"/>
      <c r="Q1531" s="126"/>
      <c r="R1531" s="127"/>
      <c r="S1531" s="127"/>
      <c r="T1531" s="127"/>
      <c r="U1531" s="127"/>
    </row>
    <row r="1532" spans="1:21" ht="15" customHeight="1">
      <c r="A1532" s="125"/>
      <c r="B1532" s="125"/>
      <c r="C1532" s="125"/>
      <c r="D1532" s="81"/>
      <c r="E1532" s="81"/>
      <c r="F1532" s="97"/>
      <c r="G1532" s="81"/>
      <c r="H1532" s="81"/>
      <c r="I1532" s="81"/>
      <c r="J1532" s="81"/>
      <c r="K1532" s="81"/>
      <c r="L1532" s="155"/>
      <c r="M1532" s="155"/>
      <c r="N1532" s="109"/>
      <c r="O1532" s="126"/>
      <c r="P1532" s="126"/>
      <c r="Q1532" s="126"/>
      <c r="R1532" s="127"/>
      <c r="S1532" s="127"/>
      <c r="T1532" s="127"/>
      <c r="U1532" s="127"/>
    </row>
    <row r="1533" spans="1:21" ht="15" customHeight="1">
      <c r="A1533" s="125"/>
      <c r="B1533" s="125"/>
      <c r="C1533" s="125"/>
      <c r="D1533" s="81"/>
      <c r="E1533" s="81"/>
      <c r="F1533" s="97"/>
      <c r="G1533" s="81"/>
      <c r="H1533" s="81"/>
      <c r="I1533" s="81"/>
      <c r="J1533" s="81"/>
      <c r="K1533" s="81"/>
      <c r="L1533" s="155"/>
      <c r="M1533" s="155"/>
      <c r="N1533" s="109"/>
      <c r="O1533" s="126"/>
      <c r="P1533" s="126"/>
      <c r="Q1533" s="126"/>
      <c r="R1533" s="127"/>
      <c r="S1533" s="127"/>
      <c r="T1533" s="127"/>
      <c r="U1533" s="127"/>
    </row>
    <row r="1534" spans="1:21" ht="15" customHeight="1">
      <c r="A1534" s="125"/>
      <c r="B1534" s="125"/>
      <c r="C1534" s="125"/>
      <c r="D1534" s="81"/>
      <c r="E1534" s="81"/>
      <c r="F1534" s="97"/>
      <c r="G1534" s="81"/>
      <c r="H1534" s="81"/>
      <c r="I1534" s="81"/>
      <c r="J1534" s="81"/>
      <c r="K1534" s="81"/>
      <c r="L1534" s="155"/>
      <c r="M1534" s="155"/>
      <c r="N1534" s="109"/>
      <c r="O1534" s="126"/>
      <c r="P1534" s="126"/>
      <c r="Q1534" s="126"/>
      <c r="R1534" s="127"/>
      <c r="S1534" s="127"/>
      <c r="T1534" s="127"/>
      <c r="U1534" s="127"/>
    </row>
    <row r="1535" spans="1:21" ht="15" customHeight="1">
      <c r="A1535" s="125"/>
      <c r="B1535" s="125"/>
      <c r="C1535" s="125"/>
      <c r="D1535" s="81"/>
      <c r="E1535" s="81"/>
      <c r="F1535" s="97"/>
      <c r="G1535" s="81"/>
      <c r="H1535" s="81"/>
      <c r="I1535" s="81"/>
      <c r="J1535" s="81"/>
      <c r="K1535" s="81"/>
      <c r="L1535" s="155"/>
      <c r="M1535" s="155"/>
      <c r="N1535" s="109"/>
      <c r="O1535" s="126"/>
      <c r="P1535" s="126"/>
      <c r="Q1535" s="126"/>
      <c r="R1535" s="127"/>
      <c r="S1535" s="127"/>
      <c r="T1535" s="127"/>
      <c r="U1535" s="127"/>
    </row>
    <row r="1536" spans="1:21" ht="15" customHeight="1">
      <c r="A1536" s="125"/>
      <c r="B1536" s="125"/>
      <c r="C1536" s="125"/>
      <c r="D1536" s="81"/>
      <c r="E1536" s="81"/>
      <c r="F1536" s="97"/>
      <c r="G1536" s="81"/>
      <c r="H1536" s="81"/>
      <c r="I1536" s="81"/>
      <c r="J1536" s="81"/>
      <c r="K1536" s="81"/>
      <c r="L1536" s="155"/>
      <c r="M1536" s="155"/>
      <c r="N1536" s="109"/>
      <c r="O1536" s="126"/>
      <c r="P1536" s="126"/>
      <c r="Q1536" s="126"/>
      <c r="R1536" s="127"/>
      <c r="S1536" s="127"/>
      <c r="T1536" s="127"/>
      <c r="U1536" s="127"/>
    </row>
    <row r="1537" spans="1:21" ht="15" customHeight="1">
      <c r="A1537" s="125"/>
      <c r="B1537" s="125"/>
      <c r="C1537" s="125"/>
      <c r="D1537" s="81"/>
      <c r="E1537" s="81"/>
      <c r="F1537" s="97"/>
      <c r="G1537" s="81"/>
      <c r="H1537" s="81"/>
      <c r="I1537" s="81"/>
      <c r="J1537" s="81"/>
      <c r="K1537" s="81"/>
      <c r="L1537" s="155"/>
      <c r="M1537" s="155"/>
      <c r="N1537" s="109"/>
      <c r="O1537" s="126"/>
      <c r="P1537" s="126"/>
      <c r="Q1537" s="126"/>
      <c r="R1537" s="127"/>
      <c r="S1537" s="127"/>
      <c r="T1537" s="127"/>
      <c r="U1537" s="127"/>
    </row>
    <row r="1538" spans="1:21" ht="15" customHeight="1">
      <c r="A1538" s="125"/>
      <c r="B1538" s="125"/>
      <c r="C1538" s="125"/>
      <c r="D1538" s="81"/>
      <c r="E1538" s="81"/>
      <c r="F1538" s="97"/>
      <c r="G1538" s="81"/>
      <c r="H1538" s="81"/>
      <c r="I1538" s="81"/>
      <c r="J1538" s="81"/>
      <c r="K1538" s="81"/>
      <c r="L1538" s="155"/>
      <c r="M1538" s="155"/>
      <c r="N1538" s="109"/>
      <c r="O1538" s="126"/>
      <c r="P1538" s="126"/>
      <c r="Q1538" s="126"/>
      <c r="R1538" s="127"/>
      <c r="S1538" s="127"/>
      <c r="T1538" s="127"/>
      <c r="U1538" s="127"/>
    </row>
    <row r="1539" spans="1:21" ht="15" customHeight="1">
      <c r="A1539" s="125"/>
      <c r="B1539" s="125"/>
      <c r="C1539" s="125"/>
      <c r="D1539" s="81"/>
      <c r="E1539" s="81"/>
      <c r="F1539" s="97"/>
      <c r="G1539" s="81"/>
      <c r="H1539" s="81"/>
      <c r="I1539" s="81"/>
      <c r="J1539" s="81"/>
      <c r="K1539" s="81"/>
      <c r="L1539" s="155"/>
      <c r="M1539" s="155"/>
      <c r="N1539" s="109"/>
      <c r="O1539" s="126"/>
      <c r="P1539" s="126"/>
      <c r="Q1539" s="126"/>
      <c r="R1539" s="127"/>
      <c r="S1539" s="127"/>
      <c r="T1539" s="127"/>
      <c r="U1539" s="127"/>
    </row>
    <row r="1540" spans="1:21" ht="15" customHeight="1">
      <c r="A1540" s="125"/>
      <c r="B1540" s="125"/>
      <c r="C1540" s="125"/>
      <c r="D1540" s="81"/>
      <c r="E1540" s="81"/>
      <c r="F1540" s="97"/>
      <c r="G1540" s="81"/>
      <c r="H1540" s="81"/>
      <c r="I1540" s="81"/>
      <c r="J1540" s="81"/>
      <c r="K1540" s="81"/>
      <c r="L1540" s="155"/>
      <c r="M1540" s="155"/>
      <c r="N1540" s="109"/>
      <c r="O1540" s="126"/>
      <c r="P1540" s="126"/>
      <c r="Q1540" s="126"/>
      <c r="R1540" s="127"/>
      <c r="S1540" s="127"/>
      <c r="T1540" s="127"/>
      <c r="U1540" s="127"/>
    </row>
    <row r="1541" spans="1:21" ht="15" customHeight="1">
      <c r="A1541" s="125"/>
      <c r="B1541" s="125"/>
      <c r="C1541" s="125"/>
      <c r="D1541" s="81"/>
      <c r="E1541" s="81"/>
      <c r="F1541" s="97"/>
      <c r="G1541" s="81"/>
      <c r="H1541" s="81"/>
      <c r="I1541" s="81"/>
      <c r="J1541" s="81"/>
      <c r="K1541" s="81"/>
      <c r="L1541" s="155"/>
      <c r="M1541" s="155"/>
      <c r="N1541" s="109"/>
      <c r="O1541" s="126"/>
      <c r="P1541" s="126"/>
      <c r="Q1541" s="126"/>
      <c r="R1541" s="127"/>
      <c r="S1541" s="127"/>
      <c r="T1541" s="127"/>
      <c r="U1541" s="127"/>
    </row>
    <row r="1542" spans="1:21" ht="15" customHeight="1">
      <c r="A1542" s="125"/>
      <c r="B1542" s="125"/>
      <c r="C1542" s="125"/>
      <c r="D1542" s="81"/>
      <c r="E1542" s="81"/>
      <c r="F1542" s="97"/>
      <c r="G1542" s="81"/>
      <c r="H1542" s="81"/>
      <c r="I1542" s="81"/>
      <c r="J1542" s="81"/>
      <c r="K1542" s="81"/>
      <c r="L1542" s="155"/>
      <c r="M1542" s="155"/>
      <c r="N1542" s="109"/>
      <c r="O1542" s="126"/>
      <c r="P1542" s="126"/>
      <c r="Q1542" s="126"/>
      <c r="R1542" s="127"/>
      <c r="S1542" s="127"/>
      <c r="T1542" s="127"/>
      <c r="U1542" s="127"/>
    </row>
    <row r="1543" spans="1:21" ht="15" customHeight="1">
      <c r="A1543" s="125"/>
      <c r="B1543" s="125"/>
      <c r="C1543" s="125"/>
      <c r="D1543" s="81"/>
      <c r="E1543" s="81"/>
      <c r="F1543" s="97"/>
      <c r="G1543" s="81"/>
      <c r="H1543" s="81"/>
      <c r="I1543" s="81"/>
      <c r="J1543" s="81"/>
      <c r="K1543" s="81"/>
      <c r="L1543" s="155"/>
      <c r="M1543" s="155"/>
      <c r="N1543" s="109"/>
      <c r="O1543" s="126"/>
      <c r="P1543" s="126"/>
      <c r="Q1543" s="126"/>
      <c r="R1543" s="127"/>
      <c r="S1543" s="127"/>
      <c r="T1543" s="127"/>
      <c r="U1543" s="127"/>
    </row>
    <row r="1544" spans="1:21" ht="15" customHeight="1">
      <c r="A1544" s="125"/>
      <c r="B1544" s="125"/>
      <c r="C1544" s="125"/>
      <c r="D1544" s="81"/>
      <c r="E1544" s="81"/>
      <c r="F1544" s="97"/>
      <c r="G1544" s="81"/>
      <c r="H1544" s="81"/>
      <c r="I1544" s="81"/>
      <c r="J1544" s="81"/>
      <c r="K1544" s="81"/>
      <c r="L1544" s="155"/>
      <c r="M1544" s="155"/>
      <c r="N1544" s="109"/>
      <c r="O1544" s="126"/>
      <c r="P1544" s="126"/>
      <c r="Q1544" s="126"/>
      <c r="R1544" s="127"/>
      <c r="S1544" s="127"/>
      <c r="T1544" s="127"/>
      <c r="U1544" s="127"/>
    </row>
    <row r="1545" spans="1:21" ht="15" customHeight="1">
      <c r="A1545" s="125"/>
      <c r="B1545" s="125"/>
      <c r="C1545" s="125"/>
      <c r="D1545" s="81"/>
      <c r="E1545" s="81"/>
      <c r="F1545" s="97"/>
      <c r="G1545" s="81"/>
      <c r="H1545" s="81"/>
      <c r="I1545" s="81"/>
      <c r="J1545" s="81"/>
      <c r="K1545" s="81"/>
      <c r="L1545" s="155"/>
      <c r="M1545" s="155"/>
      <c r="N1545" s="109"/>
      <c r="O1545" s="126"/>
      <c r="P1545" s="126"/>
      <c r="Q1545" s="126"/>
      <c r="R1545" s="127"/>
      <c r="S1545" s="127"/>
      <c r="T1545" s="127"/>
      <c r="U1545" s="127"/>
    </row>
    <row r="1546" spans="1:21" ht="15" customHeight="1">
      <c r="A1546" s="125"/>
      <c r="B1546" s="125"/>
      <c r="C1546" s="125"/>
      <c r="D1546" s="81"/>
      <c r="E1546" s="81"/>
      <c r="F1546" s="97"/>
      <c r="G1546" s="81"/>
      <c r="H1546" s="81"/>
      <c r="I1546" s="81"/>
      <c r="J1546" s="81"/>
      <c r="K1546" s="81"/>
      <c r="L1546" s="155"/>
      <c r="M1546" s="155"/>
      <c r="N1546" s="109"/>
      <c r="O1546" s="126"/>
      <c r="P1546" s="126"/>
      <c r="Q1546" s="126"/>
      <c r="R1546" s="127"/>
      <c r="S1546" s="127"/>
      <c r="T1546" s="127"/>
      <c r="U1546" s="127"/>
    </row>
    <row r="1547" spans="1:21" ht="15" customHeight="1">
      <c r="A1547" s="125"/>
      <c r="B1547" s="125"/>
      <c r="C1547" s="125"/>
      <c r="D1547" s="81"/>
      <c r="E1547" s="81"/>
      <c r="F1547" s="97"/>
      <c r="G1547" s="81"/>
      <c r="H1547" s="81"/>
      <c r="I1547" s="81"/>
      <c r="J1547" s="81"/>
      <c r="K1547" s="81"/>
      <c r="L1547" s="155"/>
      <c r="M1547" s="155"/>
      <c r="N1547" s="109"/>
      <c r="O1547" s="126"/>
      <c r="P1547" s="126"/>
      <c r="Q1547" s="126"/>
      <c r="R1547" s="127"/>
      <c r="S1547" s="127"/>
      <c r="T1547" s="127"/>
      <c r="U1547" s="127"/>
    </row>
    <row r="1548" spans="1:21" ht="15" customHeight="1">
      <c r="A1548" s="125"/>
      <c r="B1548" s="125"/>
      <c r="C1548" s="125"/>
      <c r="D1548" s="81"/>
      <c r="E1548" s="81"/>
      <c r="F1548" s="97"/>
      <c r="G1548" s="81"/>
      <c r="H1548" s="81"/>
      <c r="I1548" s="81"/>
      <c r="J1548" s="81"/>
      <c r="K1548" s="81"/>
      <c r="L1548" s="155"/>
      <c r="M1548" s="155"/>
      <c r="N1548" s="109"/>
      <c r="O1548" s="126"/>
      <c r="P1548" s="126"/>
      <c r="Q1548" s="126"/>
      <c r="R1548" s="127"/>
      <c r="S1548" s="127"/>
      <c r="T1548" s="127"/>
      <c r="U1548" s="127"/>
    </row>
    <row r="1549" spans="1:21" ht="15" customHeight="1">
      <c r="A1549" s="125"/>
      <c r="B1549" s="125"/>
      <c r="C1549" s="125"/>
      <c r="D1549" s="81"/>
      <c r="E1549" s="81"/>
      <c r="F1549" s="97"/>
      <c r="G1549" s="81"/>
      <c r="H1549" s="81"/>
      <c r="I1549" s="81"/>
      <c r="J1549" s="81"/>
      <c r="K1549" s="81"/>
      <c r="L1549" s="155"/>
      <c r="M1549" s="155"/>
      <c r="N1549" s="109"/>
      <c r="O1549" s="126"/>
      <c r="P1549" s="126"/>
      <c r="Q1549" s="126"/>
      <c r="R1549" s="127"/>
      <c r="S1549" s="127"/>
      <c r="T1549" s="127"/>
      <c r="U1549" s="127"/>
    </row>
    <row r="1550" spans="1:21" ht="15" customHeight="1">
      <c r="A1550" s="125"/>
      <c r="B1550" s="125"/>
      <c r="C1550" s="125"/>
      <c r="D1550" s="81"/>
      <c r="E1550" s="81"/>
      <c r="F1550" s="97"/>
      <c r="G1550" s="81"/>
      <c r="H1550" s="81"/>
      <c r="I1550" s="81"/>
      <c r="J1550" s="81"/>
      <c r="K1550" s="81"/>
      <c r="L1550" s="155"/>
      <c r="M1550" s="155"/>
      <c r="N1550" s="109"/>
      <c r="O1550" s="126"/>
      <c r="P1550" s="126"/>
      <c r="Q1550" s="126"/>
      <c r="R1550" s="127"/>
      <c r="S1550" s="127"/>
      <c r="T1550" s="127"/>
      <c r="U1550" s="127"/>
    </row>
    <row r="1551" spans="1:21" ht="15" customHeight="1">
      <c r="A1551" s="125"/>
      <c r="B1551" s="125"/>
      <c r="C1551" s="125"/>
      <c r="D1551" s="81"/>
      <c r="E1551" s="81"/>
      <c r="F1551" s="97"/>
      <c r="G1551" s="81"/>
      <c r="H1551" s="81"/>
      <c r="I1551" s="81"/>
      <c r="J1551" s="81"/>
      <c r="K1551" s="81"/>
      <c r="L1551" s="155"/>
      <c r="M1551" s="155"/>
      <c r="N1551" s="109"/>
      <c r="O1551" s="126"/>
      <c r="P1551" s="126"/>
      <c r="Q1551" s="126"/>
      <c r="R1551" s="127"/>
      <c r="S1551" s="127"/>
      <c r="T1551" s="127"/>
      <c r="U1551" s="127"/>
    </row>
    <row r="1552" spans="1:21" ht="15" customHeight="1">
      <c r="A1552" s="125"/>
      <c r="B1552" s="125"/>
      <c r="C1552" s="125"/>
      <c r="D1552" s="81"/>
      <c r="E1552" s="81"/>
      <c r="F1552" s="97"/>
      <c r="G1552" s="81"/>
      <c r="H1552" s="81"/>
      <c r="I1552" s="81"/>
      <c r="J1552" s="81"/>
      <c r="K1552" s="81"/>
      <c r="L1552" s="155"/>
      <c r="M1552" s="155"/>
      <c r="N1552" s="109"/>
      <c r="O1552" s="126"/>
      <c r="P1552" s="126"/>
      <c r="Q1552" s="126"/>
      <c r="R1552" s="127"/>
      <c r="S1552" s="127"/>
      <c r="T1552" s="127"/>
      <c r="U1552" s="127"/>
    </row>
    <row r="1553" spans="1:21" ht="15" customHeight="1">
      <c r="A1553" s="125"/>
      <c r="B1553" s="125"/>
      <c r="C1553" s="125"/>
      <c r="D1553" s="81"/>
      <c r="E1553" s="81"/>
      <c r="F1553" s="97"/>
      <c r="G1553" s="81"/>
      <c r="H1553" s="81"/>
      <c r="I1553" s="81"/>
      <c r="J1553" s="81"/>
      <c r="K1553" s="81"/>
      <c r="L1553" s="155"/>
      <c r="M1553" s="155"/>
      <c r="N1553" s="109"/>
      <c r="O1553" s="126"/>
      <c r="P1553" s="126"/>
      <c r="Q1553" s="126"/>
      <c r="R1553" s="127"/>
      <c r="S1553" s="127"/>
      <c r="T1553" s="127"/>
      <c r="U1553" s="127"/>
    </row>
    <row r="1554" spans="1:21" ht="15" customHeight="1">
      <c r="A1554" s="125"/>
      <c r="B1554" s="125"/>
      <c r="C1554" s="125"/>
      <c r="D1554" s="81"/>
      <c r="E1554" s="81"/>
      <c r="F1554" s="97"/>
      <c r="G1554" s="81"/>
      <c r="H1554" s="81"/>
      <c r="I1554" s="81"/>
      <c r="J1554" s="81"/>
      <c r="K1554" s="81"/>
      <c r="L1554" s="155"/>
      <c r="M1554" s="155"/>
      <c r="N1554" s="109"/>
      <c r="O1554" s="126"/>
      <c r="P1554" s="126"/>
      <c r="Q1554" s="126"/>
      <c r="R1554" s="127"/>
      <c r="S1554" s="127"/>
      <c r="T1554" s="127"/>
      <c r="U1554" s="127"/>
    </row>
    <row r="1555" spans="1:21" ht="15" customHeight="1">
      <c r="A1555" s="125"/>
      <c r="B1555" s="125"/>
      <c r="C1555" s="125"/>
      <c r="D1555" s="81"/>
      <c r="E1555" s="81"/>
      <c r="F1555" s="97"/>
      <c r="G1555" s="81"/>
      <c r="H1555" s="81"/>
      <c r="I1555" s="81"/>
      <c r="J1555" s="81"/>
      <c r="K1555" s="81"/>
      <c r="L1555" s="155"/>
      <c r="M1555" s="155"/>
      <c r="N1555" s="109"/>
      <c r="O1555" s="126"/>
      <c r="P1555" s="126"/>
      <c r="Q1555" s="126"/>
      <c r="R1555" s="127"/>
      <c r="S1555" s="127"/>
      <c r="T1555" s="127"/>
      <c r="U1555" s="127"/>
    </row>
    <row r="1556" spans="1:21" ht="15" customHeight="1">
      <c r="A1556" s="125"/>
      <c r="B1556" s="125"/>
      <c r="C1556" s="125"/>
      <c r="D1556" s="81"/>
      <c r="E1556" s="81"/>
      <c r="F1556" s="97"/>
      <c r="G1556" s="81"/>
      <c r="H1556" s="81"/>
      <c r="I1556" s="81"/>
      <c r="J1556" s="81"/>
      <c r="K1556" s="81"/>
      <c r="L1556" s="155"/>
      <c r="M1556" s="155"/>
      <c r="N1556" s="109"/>
      <c r="O1556" s="126"/>
      <c r="P1556" s="126"/>
      <c r="Q1556" s="126"/>
      <c r="R1556" s="127"/>
      <c r="S1556" s="127"/>
      <c r="T1556" s="127"/>
      <c r="U1556" s="127"/>
    </row>
    <row r="1557" spans="1:21" ht="15" customHeight="1">
      <c r="A1557" s="125"/>
      <c r="B1557" s="125"/>
      <c r="C1557" s="125"/>
      <c r="D1557" s="81"/>
      <c r="E1557" s="81"/>
      <c r="F1557" s="97"/>
      <c r="G1557" s="81"/>
      <c r="H1557" s="81"/>
      <c r="I1557" s="81"/>
      <c r="J1557" s="81"/>
      <c r="K1557" s="81"/>
      <c r="L1557" s="155"/>
      <c r="M1557" s="155"/>
      <c r="N1557" s="109"/>
      <c r="O1557" s="126"/>
      <c r="P1557" s="126"/>
      <c r="Q1557" s="126"/>
      <c r="R1557" s="127"/>
      <c r="S1557" s="127"/>
      <c r="T1557" s="127"/>
      <c r="U1557" s="127"/>
    </row>
    <row r="1558" spans="1:21" ht="15" customHeight="1">
      <c r="A1558" s="125"/>
      <c r="B1558" s="125"/>
      <c r="C1558" s="125"/>
      <c r="D1558" s="81"/>
      <c r="E1558" s="81"/>
      <c r="F1558" s="97"/>
      <c r="G1558" s="81"/>
      <c r="H1558" s="81"/>
      <c r="I1558" s="81"/>
      <c r="J1558" s="81"/>
      <c r="K1558" s="81"/>
      <c r="L1558" s="155"/>
      <c r="M1558" s="155"/>
      <c r="N1558" s="109"/>
      <c r="O1558" s="126"/>
      <c r="P1558" s="126"/>
      <c r="Q1558" s="126"/>
      <c r="R1558" s="127"/>
      <c r="S1558" s="127"/>
      <c r="T1558" s="127"/>
      <c r="U1558" s="127"/>
    </row>
    <row r="1559" spans="1:21" ht="15" customHeight="1">
      <c r="A1559" s="125"/>
      <c r="B1559" s="125"/>
      <c r="C1559" s="125"/>
      <c r="D1559" s="81"/>
      <c r="E1559" s="81"/>
      <c r="F1559" s="97"/>
      <c r="G1559" s="81"/>
      <c r="H1559" s="81"/>
      <c r="I1559" s="81"/>
      <c r="J1559" s="81"/>
      <c r="K1559" s="81"/>
      <c r="L1559" s="155"/>
      <c r="M1559" s="155"/>
      <c r="N1559" s="109"/>
      <c r="O1559" s="126"/>
      <c r="P1559" s="126"/>
      <c r="Q1559" s="126"/>
      <c r="R1559" s="127"/>
      <c r="S1559" s="127"/>
      <c r="T1559" s="127"/>
      <c r="U1559" s="127"/>
    </row>
    <row r="1560" spans="1:21" ht="15" customHeight="1">
      <c r="A1560" s="125"/>
      <c r="B1560" s="125"/>
      <c r="C1560" s="125"/>
      <c r="D1560" s="81"/>
      <c r="E1560" s="81"/>
      <c r="F1560" s="97"/>
      <c r="G1560" s="81"/>
      <c r="H1560" s="81"/>
      <c r="I1560" s="81"/>
      <c r="J1560" s="81"/>
      <c r="K1560" s="81"/>
      <c r="L1560" s="155"/>
      <c r="M1560" s="155"/>
      <c r="N1560" s="109"/>
      <c r="O1560" s="126"/>
      <c r="P1560" s="126"/>
      <c r="Q1560" s="126"/>
      <c r="R1560" s="127"/>
      <c r="S1560" s="127"/>
      <c r="T1560" s="127"/>
      <c r="U1560" s="127"/>
    </row>
    <row r="1561" spans="1:21" ht="15" customHeight="1">
      <c r="A1561" s="125"/>
      <c r="B1561" s="125"/>
      <c r="C1561" s="125"/>
      <c r="D1561" s="81"/>
      <c r="E1561" s="81"/>
      <c r="F1561" s="97"/>
      <c r="G1561" s="81"/>
      <c r="H1561" s="81"/>
      <c r="I1561" s="81"/>
      <c r="J1561" s="81"/>
      <c r="K1561" s="81"/>
      <c r="L1561" s="155"/>
      <c r="M1561" s="155"/>
      <c r="N1561" s="109"/>
      <c r="O1561" s="126"/>
      <c r="P1561" s="126"/>
      <c r="Q1561" s="126"/>
      <c r="R1561" s="127"/>
      <c r="S1561" s="127"/>
      <c r="T1561" s="127"/>
      <c r="U1561" s="127"/>
    </row>
    <row r="1562" spans="1:21" ht="15" customHeight="1">
      <c r="A1562" s="125"/>
      <c r="B1562" s="125"/>
      <c r="C1562" s="125"/>
      <c r="D1562" s="81"/>
      <c r="E1562" s="81"/>
      <c r="F1562" s="97"/>
      <c r="G1562" s="81"/>
      <c r="H1562" s="81"/>
      <c r="I1562" s="81"/>
      <c r="J1562" s="81"/>
      <c r="K1562" s="81"/>
      <c r="L1562" s="155"/>
      <c r="M1562" s="155"/>
      <c r="N1562" s="109"/>
      <c r="O1562" s="126"/>
      <c r="P1562" s="126"/>
      <c r="Q1562" s="126"/>
      <c r="R1562" s="127"/>
      <c r="S1562" s="127"/>
      <c r="T1562" s="127"/>
      <c r="U1562" s="127"/>
    </row>
    <row r="1563" spans="1:21" ht="15" customHeight="1">
      <c r="A1563" s="125"/>
      <c r="B1563" s="125"/>
      <c r="C1563" s="125"/>
      <c r="D1563" s="81"/>
      <c r="E1563" s="81"/>
      <c r="F1563" s="97"/>
      <c r="G1563" s="81"/>
      <c r="H1563" s="81"/>
      <c r="I1563" s="81"/>
      <c r="J1563" s="81"/>
      <c r="K1563" s="81"/>
      <c r="L1563" s="155"/>
      <c r="M1563" s="155"/>
      <c r="N1563" s="109"/>
      <c r="O1563" s="126"/>
      <c r="P1563" s="126"/>
      <c r="Q1563" s="126"/>
      <c r="R1563" s="127"/>
      <c r="S1563" s="127"/>
      <c r="T1563" s="127"/>
      <c r="U1563" s="127"/>
    </row>
    <row r="1564" spans="1:21" ht="15" customHeight="1">
      <c r="A1564" s="125"/>
      <c r="B1564" s="125"/>
      <c r="C1564" s="125"/>
      <c r="D1564" s="81"/>
      <c r="E1564" s="81"/>
      <c r="F1564" s="97"/>
      <c r="G1564" s="81"/>
      <c r="H1564" s="81"/>
      <c r="I1564" s="81"/>
      <c r="J1564" s="81"/>
      <c r="K1564" s="81"/>
      <c r="L1564" s="155"/>
      <c r="M1564" s="155"/>
      <c r="N1564" s="109"/>
      <c r="O1564" s="126"/>
      <c r="P1564" s="126"/>
      <c r="Q1564" s="126"/>
      <c r="R1564" s="127"/>
      <c r="S1564" s="127"/>
      <c r="T1564" s="127"/>
      <c r="U1564" s="127"/>
    </row>
    <row r="1565" spans="1:21" ht="15" customHeight="1">
      <c r="A1565" s="125"/>
      <c r="B1565" s="125"/>
      <c r="C1565" s="125"/>
      <c r="D1565" s="81"/>
      <c r="E1565" s="81"/>
      <c r="F1565" s="97"/>
      <c r="G1565" s="81"/>
      <c r="H1565" s="81"/>
      <c r="I1565" s="81"/>
      <c r="J1565" s="81"/>
      <c r="K1565" s="81"/>
      <c r="L1565" s="155"/>
      <c r="M1565" s="155"/>
      <c r="N1565" s="109"/>
      <c r="O1565" s="126"/>
      <c r="P1565" s="126"/>
      <c r="Q1565" s="126"/>
      <c r="R1565" s="127"/>
      <c r="S1565" s="127"/>
      <c r="T1565" s="127"/>
      <c r="U1565" s="127"/>
    </row>
    <row r="1566" spans="1:21" ht="15" customHeight="1">
      <c r="A1566" s="125"/>
      <c r="B1566" s="125"/>
      <c r="C1566" s="125"/>
      <c r="D1566" s="81"/>
      <c r="E1566" s="81"/>
      <c r="F1566" s="97"/>
      <c r="G1566" s="81"/>
      <c r="H1566" s="81"/>
      <c r="I1566" s="81"/>
      <c r="J1566" s="81"/>
      <c r="K1566" s="81"/>
      <c r="L1566" s="155"/>
      <c r="M1566" s="155"/>
      <c r="N1566" s="109"/>
      <c r="O1566" s="126"/>
      <c r="P1566" s="126"/>
      <c r="Q1566" s="126"/>
      <c r="R1566" s="127"/>
      <c r="S1566" s="127"/>
      <c r="T1566" s="127"/>
      <c r="U1566" s="127"/>
    </row>
    <row r="1567" spans="1:21" ht="15" customHeight="1">
      <c r="A1567" s="125"/>
      <c r="B1567" s="125"/>
      <c r="C1567" s="125"/>
      <c r="D1567" s="81"/>
      <c r="E1567" s="81"/>
      <c r="F1567" s="97"/>
      <c r="G1567" s="81"/>
      <c r="H1567" s="81"/>
      <c r="I1567" s="81"/>
      <c r="J1567" s="81"/>
      <c r="K1567" s="81"/>
      <c r="L1567" s="155"/>
      <c r="M1567" s="155"/>
      <c r="N1567" s="109"/>
      <c r="O1567" s="126"/>
      <c r="P1567" s="126"/>
      <c r="Q1567" s="126"/>
      <c r="R1567" s="127"/>
      <c r="S1567" s="127"/>
      <c r="T1567" s="127"/>
      <c r="U1567" s="127"/>
    </row>
    <row r="1568" spans="1:21" ht="15" customHeight="1">
      <c r="A1568" s="125"/>
      <c r="B1568" s="125"/>
      <c r="C1568" s="125"/>
      <c r="D1568" s="81"/>
      <c r="E1568" s="81"/>
      <c r="F1568" s="97"/>
      <c r="G1568" s="81"/>
      <c r="H1568" s="81"/>
      <c r="I1568" s="81"/>
      <c r="J1568" s="81"/>
      <c r="K1568" s="81"/>
      <c r="L1568" s="155"/>
      <c r="M1568" s="155"/>
      <c r="N1568" s="109"/>
      <c r="O1568" s="126"/>
      <c r="P1568" s="126"/>
      <c r="Q1568" s="126"/>
      <c r="R1568" s="127"/>
      <c r="S1568" s="127"/>
      <c r="T1568" s="127"/>
      <c r="U1568" s="127"/>
    </row>
    <row r="1569" spans="1:21" ht="15" customHeight="1">
      <c r="A1569" s="125"/>
      <c r="B1569" s="125"/>
      <c r="C1569" s="125"/>
      <c r="D1569" s="81"/>
      <c r="E1569" s="81"/>
      <c r="F1569" s="97"/>
      <c r="G1569" s="81"/>
      <c r="H1569" s="81"/>
      <c r="I1569" s="81"/>
      <c r="J1569" s="81"/>
      <c r="K1569" s="81"/>
      <c r="L1569" s="155"/>
      <c r="M1569" s="155"/>
      <c r="N1569" s="109"/>
      <c r="O1569" s="126"/>
      <c r="P1569" s="126"/>
      <c r="Q1569" s="126"/>
      <c r="R1569" s="127"/>
      <c r="S1569" s="127"/>
      <c r="T1569" s="127"/>
      <c r="U1569" s="127"/>
    </row>
    <row r="1570" spans="1:21" ht="15" customHeight="1">
      <c r="A1570" s="125"/>
      <c r="B1570" s="125"/>
      <c r="C1570" s="125"/>
      <c r="D1570" s="81"/>
      <c r="E1570" s="81"/>
      <c r="F1570" s="97"/>
      <c r="G1570" s="81"/>
      <c r="H1570" s="81"/>
      <c r="I1570" s="81"/>
      <c r="J1570" s="81"/>
      <c r="K1570" s="81"/>
      <c r="L1570" s="155"/>
      <c r="M1570" s="155"/>
      <c r="N1570" s="109"/>
      <c r="O1570" s="126"/>
      <c r="P1570" s="126"/>
      <c r="Q1570" s="126"/>
      <c r="R1570" s="127"/>
      <c r="S1570" s="127"/>
      <c r="T1570" s="127"/>
      <c r="U1570" s="127"/>
    </row>
    <row r="1571" spans="1:21" ht="15" customHeight="1">
      <c r="A1571" s="125"/>
      <c r="B1571" s="125"/>
      <c r="C1571" s="125"/>
      <c r="D1571" s="81"/>
      <c r="E1571" s="81"/>
      <c r="F1571" s="97"/>
      <c r="G1571" s="81"/>
      <c r="H1571" s="81"/>
      <c r="I1571" s="81"/>
      <c r="J1571" s="81"/>
      <c r="K1571" s="81"/>
      <c r="L1571" s="155"/>
      <c r="M1571" s="155"/>
      <c r="N1571" s="109"/>
      <c r="O1571" s="126"/>
      <c r="P1571" s="126"/>
      <c r="Q1571" s="126"/>
      <c r="R1571" s="127"/>
      <c r="S1571" s="127"/>
      <c r="T1571" s="127"/>
      <c r="U1571" s="127"/>
    </row>
    <row r="1572" spans="1:21" ht="15" customHeight="1">
      <c r="A1572" s="125"/>
      <c r="B1572" s="125"/>
      <c r="C1572" s="125"/>
      <c r="D1572" s="81"/>
      <c r="E1572" s="81"/>
      <c r="F1572" s="97"/>
      <c r="G1572" s="81"/>
      <c r="H1572" s="81"/>
      <c r="I1572" s="81"/>
      <c r="J1572" s="81"/>
      <c r="K1572" s="81"/>
      <c r="L1572" s="155"/>
      <c r="M1572" s="155"/>
      <c r="N1572" s="109"/>
      <c r="O1572" s="126"/>
      <c r="P1572" s="126"/>
      <c r="Q1572" s="126"/>
      <c r="R1572" s="127"/>
      <c r="S1572" s="127"/>
      <c r="T1572" s="127"/>
      <c r="U1572" s="127"/>
    </row>
    <row r="1573" spans="1:21" ht="15" customHeight="1">
      <c r="A1573" s="125"/>
      <c r="B1573" s="125"/>
      <c r="C1573" s="125"/>
      <c r="D1573" s="81"/>
      <c r="E1573" s="81"/>
      <c r="F1573" s="97"/>
      <c r="G1573" s="81"/>
      <c r="H1573" s="81"/>
      <c r="I1573" s="81"/>
      <c r="J1573" s="81"/>
      <c r="K1573" s="81"/>
      <c r="L1573" s="155"/>
      <c r="M1573" s="155"/>
      <c r="N1573" s="109"/>
      <c r="O1573" s="126"/>
      <c r="P1573" s="126"/>
      <c r="Q1573" s="126"/>
      <c r="R1573" s="127"/>
      <c r="S1573" s="127"/>
      <c r="T1573" s="127"/>
      <c r="U1573" s="127"/>
    </row>
    <row r="1574" spans="1:21" ht="15" customHeight="1">
      <c r="A1574" s="125"/>
      <c r="B1574" s="125"/>
      <c r="C1574" s="125"/>
      <c r="D1574" s="81"/>
      <c r="E1574" s="81"/>
      <c r="F1574" s="97"/>
      <c r="G1574" s="81"/>
      <c r="H1574" s="81"/>
      <c r="I1574" s="81"/>
      <c r="J1574" s="81"/>
      <c r="K1574" s="81"/>
      <c r="L1574" s="155"/>
      <c r="M1574" s="155"/>
      <c r="N1574" s="109"/>
      <c r="O1574" s="126"/>
      <c r="P1574" s="126"/>
      <c r="Q1574" s="126"/>
      <c r="R1574" s="127"/>
      <c r="S1574" s="127"/>
      <c r="T1574" s="127"/>
      <c r="U1574" s="127"/>
    </row>
    <row r="1575" spans="1:21" ht="15" customHeight="1">
      <c r="A1575" s="125"/>
      <c r="B1575" s="125"/>
      <c r="C1575" s="125"/>
      <c r="D1575" s="81"/>
      <c r="E1575" s="81"/>
      <c r="F1575" s="97"/>
      <c r="G1575" s="81"/>
      <c r="H1575" s="81"/>
      <c r="I1575" s="81"/>
      <c r="J1575" s="81"/>
      <c r="K1575" s="81"/>
      <c r="L1575" s="155"/>
      <c r="M1575" s="155"/>
      <c r="N1575" s="109"/>
      <c r="O1575" s="126"/>
      <c r="P1575" s="126"/>
      <c r="Q1575" s="126"/>
      <c r="R1575" s="127"/>
      <c r="S1575" s="127"/>
      <c r="T1575" s="127"/>
      <c r="U1575" s="127"/>
    </row>
    <row r="1576" spans="1:21" ht="15" customHeight="1">
      <c r="A1576" s="125"/>
      <c r="B1576" s="125"/>
      <c r="C1576" s="125"/>
      <c r="D1576" s="81"/>
      <c r="E1576" s="81"/>
      <c r="F1576" s="97"/>
      <c r="G1576" s="81"/>
      <c r="H1576" s="81"/>
      <c r="I1576" s="81"/>
      <c r="J1576" s="81"/>
      <c r="K1576" s="81"/>
      <c r="L1576" s="155"/>
      <c r="M1576" s="155"/>
      <c r="N1576" s="109"/>
      <c r="O1576" s="126"/>
      <c r="P1576" s="126"/>
      <c r="Q1576" s="126"/>
      <c r="R1576" s="127"/>
      <c r="S1576" s="127"/>
      <c r="T1576" s="127"/>
      <c r="U1576" s="127"/>
    </row>
    <row r="1577" spans="1:21" ht="15" customHeight="1">
      <c r="A1577" s="125"/>
      <c r="B1577" s="125"/>
      <c r="C1577" s="125"/>
      <c r="D1577" s="81"/>
      <c r="E1577" s="81"/>
      <c r="F1577" s="97"/>
      <c r="G1577" s="81"/>
      <c r="H1577" s="81"/>
      <c r="I1577" s="81"/>
      <c r="J1577" s="81"/>
      <c r="K1577" s="81"/>
      <c r="L1577" s="155"/>
      <c r="M1577" s="155"/>
      <c r="N1577" s="109"/>
      <c r="O1577" s="126"/>
      <c r="P1577" s="126"/>
      <c r="Q1577" s="126"/>
      <c r="R1577" s="127"/>
      <c r="S1577" s="127"/>
      <c r="T1577" s="127"/>
      <c r="U1577" s="127"/>
    </row>
    <row r="1578" spans="1:21" ht="15" customHeight="1">
      <c r="A1578" s="125"/>
      <c r="B1578" s="125"/>
      <c r="C1578" s="125"/>
      <c r="D1578" s="81"/>
      <c r="E1578" s="81"/>
      <c r="F1578" s="97"/>
      <c r="G1578" s="81"/>
      <c r="H1578" s="81"/>
      <c r="I1578" s="81"/>
      <c r="J1578" s="81"/>
      <c r="K1578" s="81"/>
      <c r="L1578" s="155"/>
      <c r="M1578" s="155"/>
      <c r="N1578" s="109"/>
      <c r="O1578" s="126"/>
      <c r="P1578" s="126"/>
      <c r="Q1578" s="126"/>
      <c r="R1578" s="127"/>
      <c r="S1578" s="127"/>
      <c r="T1578" s="127"/>
      <c r="U1578" s="127"/>
    </row>
    <row r="1579" spans="1:21" ht="15" customHeight="1">
      <c r="A1579" s="125"/>
      <c r="B1579" s="125"/>
      <c r="C1579" s="125"/>
      <c r="D1579" s="81"/>
      <c r="E1579" s="81"/>
      <c r="F1579" s="97"/>
      <c r="G1579" s="81"/>
      <c r="H1579" s="81"/>
      <c r="I1579" s="81"/>
      <c r="J1579" s="81"/>
      <c r="K1579" s="81"/>
      <c r="L1579" s="155"/>
      <c r="M1579" s="155"/>
      <c r="N1579" s="109"/>
      <c r="O1579" s="126"/>
      <c r="P1579" s="126"/>
      <c r="Q1579" s="126"/>
      <c r="R1579" s="127"/>
      <c r="S1579" s="127"/>
      <c r="T1579" s="127"/>
      <c r="U1579" s="127"/>
    </row>
    <row r="1580" spans="1:21" ht="15" customHeight="1">
      <c r="A1580" s="125"/>
      <c r="B1580" s="125"/>
      <c r="C1580" s="125"/>
      <c r="D1580" s="81"/>
      <c r="E1580" s="81"/>
      <c r="F1580" s="97"/>
      <c r="G1580" s="81"/>
      <c r="H1580" s="81"/>
      <c r="I1580" s="81"/>
      <c r="J1580" s="81"/>
      <c r="K1580" s="81"/>
      <c r="L1580" s="155"/>
      <c r="M1580" s="155"/>
      <c r="N1580" s="109"/>
      <c r="O1580" s="126"/>
      <c r="P1580" s="126"/>
      <c r="Q1580" s="126"/>
      <c r="R1580" s="127"/>
      <c r="S1580" s="127"/>
      <c r="T1580" s="127"/>
      <c r="U1580" s="127"/>
    </row>
    <row r="1581" spans="1:21" ht="15" customHeight="1">
      <c r="A1581" s="125"/>
      <c r="B1581" s="125"/>
      <c r="C1581" s="125"/>
      <c r="D1581" s="81"/>
      <c r="E1581" s="81"/>
      <c r="F1581" s="97"/>
      <c r="G1581" s="81"/>
      <c r="H1581" s="81"/>
      <c r="I1581" s="81"/>
      <c r="J1581" s="81"/>
      <c r="K1581" s="81"/>
      <c r="L1581" s="155"/>
      <c r="M1581" s="155"/>
      <c r="N1581" s="109"/>
      <c r="O1581" s="126"/>
      <c r="P1581" s="126"/>
      <c r="Q1581" s="126"/>
      <c r="R1581" s="127"/>
      <c r="S1581" s="127"/>
      <c r="T1581" s="127"/>
      <c r="U1581" s="127"/>
    </row>
    <row r="1582" spans="1:21" ht="15" customHeight="1">
      <c r="A1582" s="125"/>
      <c r="B1582" s="125"/>
      <c r="C1582" s="125"/>
      <c r="D1582" s="81"/>
      <c r="E1582" s="81"/>
      <c r="F1582" s="97"/>
      <c r="G1582" s="81"/>
      <c r="H1582" s="81"/>
      <c r="I1582" s="81"/>
      <c r="J1582" s="81"/>
      <c r="K1582" s="81"/>
      <c r="L1582" s="155"/>
      <c r="M1582" s="155"/>
      <c r="N1582" s="109"/>
      <c r="O1582" s="126"/>
      <c r="P1582" s="126"/>
      <c r="Q1582" s="126"/>
      <c r="R1582" s="127"/>
      <c r="S1582" s="127"/>
      <c r="T1582" s="127"/>
      <c r="U1582" s="127"/>
    </row>
    <row r="1583" spans="1:21" ht="15" customHeight="1">
      <c r="A1583" s="125"/>
      <c r="B1583" s="125"/>
      <c r="C1583" s="125"/>
      <c r="D1583" s="81"/>
      <c r="E1583" s="81"/>
      <c r="F1583" s="97"/>
      <c r="G1583" s="81"/>
      <c r="H1583" s="81"/>
      <c r="I1583" s="81"/>
      <c r="J1583" s="81"/>
      <c r="K1583" s="81"/>
      <c r="L1583" s="155"/>
      <c r="M1583" s="155"/>
      <c r="N1583" s="109"/>
      <c r="O1583" s="126"/>
      <c r="P1583" s="126"/>
      <c r="Q1583" s="126"/>
      <c r="R1583" s="127"/>
      <c r="S1583" s="127"/>
      <c r="T1583" s="127"/>
      <c r="U1583" s="127"/>
    </row>
    <row r="1584" spans="1:21" ht="15" customHeight="1">
      <c r="A1584" s="125"/>
      <c r="B1584" s="125"/>
      <c r="C1584" s="125"/>
      <c r="D1584" s="81"/>
      <c r="E1584" s="81"/>
      <c r="F1584" s="97"/>
      <c r="G1584" s="81"/>
      <c r="H1584" s="81"/>
      <c r="I1584" s="81"/>
      <c r="J1584" s="81"/>
      <c r="K1584" s="81"/>
      <c r="L1584" s="155"/>
      <c r="M1584" s="155"/>
      <c r="N1584" s="109"/>
      <c r="O1584" s="126"/>
      <c r="P1584" s="126"/>
      <c r="Q1584" s="126"/>
      <c r="R1584" s="127"/>
      <c r="S1584" s="127"/>
      <c r="T1584" s="127"/>
      <c r="U1584" s="127"/>
    </row>
    <row r="1585" spans="1:21" ht="15" customHeight="1">
      <c r="A1585" s="125"/>
      <c r="B1585" s="125"/>
      <c r="C1585" s="125"/>
      <c r="D1585" s="81"/>
      <c r="E1585" s="81"/>
      <c r="F1585" s="97"/>
      <c r="G1585" s="81"/>
      <c r="H1585" s="81"/>
      <c r="I1585" s="81"/>
      <c r="J1585" s="81"/>
      <c r="K1585" s="81"/>
      <c r="L1585" s="155"/>
      <c r="M1585" s="155"/>
      <c r="N1585" s="109"/>
      <c r="O1585" s="126"/>
      <c r="P1585" s="126"/>
      <c r="Q1585" s="126"/>
      <c r="R1585" s="127"/>
      <c r="S1585" s="127"/>
      <c r="T1585" s="127"/>
      <c r="U1585" s="127"/>
    </row>
    <row r="1586" spans="1:21" ht="15" customHeight="1">
      <c r="A1586" s="125"/>
      <c r="B1586" s="125"/>
      <c r="C1586" s="125"/>
      <c r="D1586" s="81"/>
      <c r="E1586" s="81"/>
      <c r="F1586" s="97"/>
      <c r="G1586" s="81"/>
      <c r="H1586" s="81"/>
      <c r="I1586" s="81"/>
      <c r="J1586" s="81"/>
      <c r="K1586" s="81"/>
      <c r="L1586" s="155"/>
      <c r="M1586" s="155"/>
      <c r="N1586" s="109"/>
      <c r="O1586" s="126"/>
      <c r="P1586" s="126"/>
      <c r="Q1586" s="126"/>
      <c r="R1586" s="127"/>
      <c r="S1586" s="127"/>
      <c r="T1586" s="127"/>
      <c r="U1586" s="127"/>
    </row>
    <row r="1587" spans="1:21" ht="15" customHeight="1">
      <c r="A1587" s="125"/>
      <c r="B1587" s="125"/>
      <c r="C1587" s="125"/>
      <c r="D1587" s="81"/>
      <c r="E1587" s="81"/>
      <c r="F1587" s="97"/>
      <c r="G1587" s="81"/>
      <c r="H1587" s="81"/>
      <c r="I1587" s="81"/>
      <c r="J1587" s="81"/>
      <c r="K1587" s="81"/>
      <c r="L1587" s="155"/>
      <c r="M1587" s="155"/>
      <c r="N1587" s="109"/>
      <c r="O1587" s="126"/>
      <c r="P1587" s="126"/>
      <c r="Q1587" s="126"/>
      <c r="R1587" s="127"/>
      <c r="S1587" s="127"/>
      <c r="T1587" s="127"/>
      <c r="U1587" s="127"/>
    </row>
    <row r="1588" spans="1:21" ht="15" customHeight="1">
      <c r="A1588" s="125"/>
      <c r="B1588" s="125"/>
      <c r="C1588" s="125"/>
      <c r="D1588" s="81"/>
      <c r="E1588" s="81"/>
      <c r="F1588" s="97"/>
      <c r="G1588" s="81"/>
      <c r="H1588" s="81"/>
      <c r="I1588" s="81"/>
      <c r="J1588" s="81"/>
      <c r="K1588" s="81"/>
      <c r="L1588" s="155"/>
      <c r="M1588" s="155"/>
      <c r="N1588" s="109"/>
      <c r="O1588" s="126"/>
      <c r="P1588" s="126"/>
      <c r="Q1588" s="126"/>
      <c r="R1588" s="127"/>
      <c r="S1588" s="127"/>
      <c r="T1588" s="127"/>
      <c r="U1588" s="127"/>
    </row>
    <row r="1589" spans="1:21" ht="15" customHeight="1">
      <c r="A1589" s="125"/>
      <c r="B1589" s="125"/>
      <c r="C1589" s="125"/>
      <c r="D1589" s="81"/>
      <c r="E1589" s="81"/>
      <c r="F1589" s="97"/>
      <c r="G1589" s="81"/>
      <c r="H1589" s="81"/>
      <c r="I1589" s="81"/>
      <c r="J1589" s="81"/>
      <c r="K1589" s="81"/>
      <c r="L1589" s="155"/>
      <c r="M1589" s="155"/>
      <c r="N1589" s="109"/>
      <c r="O1589" s="126"/>
      <c r="P1589" s="126"/>
      <c r="Q1589" s="126"/>
      <c r="R1589" s="127"/>
      <c r="S1589" s="127"/>
      <c r="T1589" s="127"/>
      <c r="U1589" s="127"/>
    </row>
    <row r="1590" spans="1:21" ht="15" customHeight="1">
      <c r="A1590" s="125"/>
      <c r="B1590" s="125"/>
      <c r="C1590" s="125"/>
      <c r="D1590" s="81"/>
      <c r="E1590" s="81"/>
      <c r="F1590" s="97"/>
      <c r="G1590" s="81"/>
      <c r="H1590" s="81"/>
      <c r="I1590" s="81"/>
      <c r="J1590" s="81"/>
      <c r="K1590" s="81"/>
      <c r="L1590" s="155"/>
      <c r="M1590" s="155"/>
      <c r="N1590" s="109"/>
      <c r="O1590" s="126"/>
      <c r="P1590" s="126"/>
      <c r="Q1590" s="126"/>
      <c r="R1590" s="127"/>
      <c r="S1590" s="127"/>
      <c r="T1590" s="127"/>
      <c r="U1590" s="127"/>
    </row>
    <row r="1591" spans="1:21" ht="15" customHeight="1">
      <c r="A1591" s="125"/>
      <c r="B1591" s="125"/>
      <c r="C1591" s="125"/>
      <c r="D1591" s="81"/>
      <c r="E1591" s="81"/>
      <c r="F1591" s="97"/>
      <c r="G1591" s="81"/>
      <c r="H1591" s="81"/>
      <c r="I1591" s="81"/>
      <c r="J1591" s="81"/>
      <c r="K1591" s="81"/>
      <c r="L1591" s="155"/>
      <c r="M1591" s="155"/>
      <c r="N1591" s="109"/>
      <c r="O1591" s="126"/>
      <c r="P1591" s="126"/>
      <c r="Q1591" s="126"/>
      <c r="R1591" s="127"/>
      <c r="S1591" s="127"/>
      <c r="T1591" s="127"/>
      <c r="U1591" s="127"/>
    </row>
    <row r="1592" spans="1:21" ht="15" customHeight="1">
      <c r="A1592" s="125"/>
      <c r="B1592" s="125"/>
      <c r="C1592" s="125"/>
      <c r="D1592" s="81"/>
      <c r="E1592" s="81"/>
      <c r="F1592" s="97"/>
      <c r="G1592" s="81"/>
      <c r="H1592" s="81"/>
      <c r="I1592" s="81"/>
      <c r="J1592" s="81"/>
      <c r="K1592" s="81"/>
      <c r="L1592" s="155"/>
      <c r="M1592" s="155"/>
      <c r="N1592" s="109"/>
      <c r="O1592" s="126"/>
      <c r="P1592" s="126"/>
      <c r="Q1592" s="126"/>
      <c r="R1592" s="127"/>
      <c r="S1592" s="127"/>
      <c r="T1592" s="127"/>
      <c r="U1592" s="127"/>
    </row>
    <row r="1593" spans="1:21" ht="15" customHeight="1">
      <c r="A1593" s="125"/>
      <c r="B1593" s="125"/>
      <c r="C1593" s="125"/>
      <c r="D1593" s="81"/>
      <c r="E1593" s="81"/>
      <c r="F1593" s="97"/>
      <c r="G1593" s="81"/>
      <c r="H1593" s="81"/>
      <c r="I1593" s="81"/>
      <c r="J1593" s="81"/>
      <c r="K1593" s="81"/>
      <c r="L1593" s="155"/>
      <c r="M1593" s="155"/>
      <c r="N1593" s="109"/>
      <c r="O1593" s="126"/>
      <c r="P1593" s="126"/>
      <c r="Q1593" s="126"/>
      <c r="R1593" s="127"/>
      <c r="S1593" s="127"/>
      <c r="T1593" s="127"/>
      <c r="U1593" s="127"/>
    </row>
    <row r="1594" spans="1:21" ht="15" customHeight="1">
      <c r="A1594" s="125"/>
      <c r="B1594" s="125"/>
      <c r="C1594" s="125"/>
      <c r="D1594" s="81"/>
      <c r="E1594" s="81"/>
      <c r="F1594" s="97"/>
      <c r="G1594" s="81"/>
      <c r="H1594" s="81"/>
      <c r="I1594" s="81"/>
      <c r="J1594" s="81"/>
      <c r="K1594" s="81"/>
      <c r="L1594" s="155"/>
      <c r="M1594" s="155"/>
      <c r="N1594" s="109"/>
      <c r="O1594" s="126"/>
      <c r="P1594" s="126"/>
      <c r="Q1594" s="126"/>
      <c r="R1594" s="127"/>
      <c r="S1594" s="127"/>
      <c r="T1594" s="127"/>
      <c r="U1594" s="127"/>
    </row>
    <row r="1595" spans="1:21" ht="15" customHeight="1">
      <c r="A1595" s="125"/>
      <c r="B1595" s="125"/>
      <c r="C1595" s="125"/>
      <c r="D1595" s="81"/>
      <c r="E1595" s="81"/>
      <c r="F1595" s="97"/>
      <c r="G1595" s="81"/>
      <c r="H1595" s="81"/>
      <c r="I1595" s="81"/>
      <c r="J1595" s="81"/>
      <c r="K1595" s="81"/>
      <c r="L1595" s="155"/>
      <c r="M1595" s="155"/>
      <c r="N1595" s="109"/>
      <c r="O1595" s="126"/>
      <c r="P1595" s="126"/>
      <c r="Q1595" s="126"/>
      <c r="R1595" s="127"/>
      <c r="S1595" s="127"/>
      <c r="T1595" s="127"/>
      <c r="U1595" s="127"/>
    </row>
    <row r="1596" spans="1:21" ht="15" customHeight="1">
      <c r="A1596" s="125"/>
      <c r="B1596" s="125"/>
      <c r="C1596" s="125"/>
      <c r="D1596" s="81"/>
      <c r="E1596" s="81"/>
      <c r="F1596" s="97"/>
      <c r="G1596" s="81"/>
      <c r="H1596" s="81"/>
      <c r="I1596" s="81"/>
      <c r="J1596" s="81"/>
      <c r="K1596" s="81"/>
      <c r="L1596" s="155"/>
      <c r="M1596" s="155"/>
      <c r="N1596" s="109"/>
      <c r="O1596" s="126"/>
      <c r="P1596" s="126"/>
      <c r="Q1596" s="126"/>
      <c r="R1596" s="127"/>
      <c r="S1596" s="127"/>
      <c r="T1596" s="127"/>
      <c r="U1596" s="127"/>
    </row>
    <row r="1597" spans="1:21" ht="15" customHeight="1">
      <c r="A1597" s="125"/>
      <c r="B1597" s="125"/>
      <c r="C1597" s="125"/>
      <c r="D1597" s="81"/>
      <c r="E1597" s="81"/>
      <c r="F1597" s="97"/>
      <c r="G1597" s="81"/>
      <c r="H1597" s="81"/>
      <c r="I1597" s="81"/>
      <c r="J1597" s="81"/>
      <c r="K1597" s="81"/>
      <c r="L1597" s="155"/>
      <c r="M1597" s="155"/>
      <c r="N1597" s="109"/>
      <c r="O1597" s="126"/>
      <c r="P1597" s="126"/>
      <c r="Q1597" s="126"/>
      <c r="R1597" s="127"/>
      <c r="S1597" s="127"/>
      <c r="T1597" s="127"/>
      <c r="U1597" s="127"/>
    </row>
    <row r="1598" spans="1:21" ht="15" customHeight="1">
      <c r="A1598" s="125"/>
      <c r="B1598" s="125"/>
      <c r="C1598" s="125"/>
      <c r="D1598" s="81"/>
      <c r="E1598" s="81"/>
      <c r="F1598" s="97"/>
      <c r="G1598" s="81"/>
      <c r="H1598" s="81"/>
      <c r="I1598" s="81"/>
      <c r="J1598" s="81"/>
      <c r="K1598" s="81"/>
      <c r="L1598" s="155"/>
      <c r="M1598" s="155"/>
      <c r="N1598" s="109"/>
      <c r="O1598" s="126"/>
      <c r="P1598" s="126"/>
      <c r="Q1598" s="126"/>
      <c r="R1598" s="127"/>
      <c r="S1598" s="127"/>
      <c r="T1598" s="127"/>
      <c r="U1598" s="127"/>
    </row>
    <row r="1599" spans="1:21" ht="15" customHeight="1">
      <c r="A1599" s="125"/>
      <c r="B1599" s="125"/>
      <c r="C1599" s="125"/>
      <c r="D1599" s="81"/>
      <c r="E1599" s="81"/>
      <c r="F1599" s="97"/>
      <c r="G1599" s="81"/>
      <c r="H1599" s="81"/>
      <c r="I1599" s="81"/>
      <c r="J1599" s="81"/>
      <c r="K1599" s="81"/>
      <c r="L1599" s="155"/>
      <c r="M1599" s="155"/>
      <c r="N1599" s="109"/>
      <c r="O1599" s="126"/>
      <c r="P1599" s="126"/>
      <c r="Q1599" s="126"/>
      <c r="R1599" s="127"/>
      <c r="S1599" s="127"/>
      <c r="T1599" s="127"/>
      <c r="U1599" s="127"/>
    </row>
    <row r="1600" spans="1:21" ht="15" customHeight="1">
      <c r="A1600" s="125"/>
      <c r="B1600" s="125"/>
      <c r="C1600" s="125"/>
      <c r="D1600" s="81"/>
      <c r="E1600" s="81"/>
      <c r="F1600" s="97"/>
      <c r="G1600" s="81"/>
      <c r="H1600" s="81"/>
      <c r="I1600" s="81"/>
      <c r="J1600" s="81"/>
      <c r="K1600" s="81"/>
      <c r="L1600" s="155"/>
      <c r="M1600" s="155"/>
      <c r="N1600" s="109"/>
      <c r="O1600" s="126"/>
      <c r="P1600" s="126"/>
      <c r="Q1600" s="126"/>
      <c r="R1600" s="127"/>
      <c r="S1600" s="127"/>
      <c r="T1600" s="127"/>
      <c r="U1600" s="127"/>
    </row>
    <row r="1601" spans="1:21" ht="15" customHeight="1">
      <c r="A1601" s="125"/>
      <c r="B1601" s="125"/>
      <c r="C1601" s="125"/>
      <c r="D1601" s="81"/>
      <c r="E1601" s="81"/>
      <c r="F1601" s="97"/>
      <c r="G1601" s="81"/>
      <c r="H1601" s="81"/>
      <c r="I1601" s="81"/>
      <c r="J1601" s="81"/>
      <c r="K1601" s="81"/>
      <c r="L1601" s="155"/>
      <c r="M1601" s="155"/>
      <c r="N1601" s="109"/>
      <c r="O1601" s="126"/>
      <c r="P1601" s="126"/>
      <c r="Q1601" s="126"/>
      <c r="R1601" s="127"/>
      <c r="S1601" s="127"/>
      <c r="T1601" s="127"/>
      <c r="U1601" s="127"/>
    </row>
    <row r="1602" spans="1:21" ht="15" customHeight="1">
      <c r="A1602" s="125"/>
      <c r="B1602" s="125"/>
      <c r="C1602" s="125"/>
      <c r="D1602" s="81"/>
      <c r="E1602" s="81"/>
      <c r="F1602" s="97"/>
      <c r="G1602" s="81"/>
      <c r="H1602" s="81"/>
      <c r="I1602" s="81"/>
      <c r="J1602" s="81"/>
      <c r="K1602" s="81"/>
      <c r="L1602" s="155"/>
      <c r="M1602" s="155"/>
      <c r="N1602" s="109"/>
      <c r="O1602" s="126"/>
      <c r="P1602" s="126"/>
      <c r="Q1602" s="126"/>
      <c r="R1602" s="127"/>
      <c r="S1602" s="127"/>
      <c r="T1602" s="127"/>
      <c r="U1602" s="127"/>
    </row>
    <row r="1603" spans="1:21" ht="15" customHeight="1">
      <c r="A1603" s="125"/>
      <c r="B1603" s="125"/>
      <c r="C1603" s="125"/>
      <c r="D1603" s="81"/>
      <c r="E1603" s="81"/>
      <c r="F1603" s="97"/>
      <c r="G1603" s="81"/>
      <c r="H1603" s="81"/>
      <c r="I1603" s="81"/>
      <c r="J1603" s="81"/>
      <c r="K1603" s="81"/>
      <c r="L1603" s="155"/>
      <c r="M1603" s="155"/>
      <c r="N1603" s="109"/>
      <c r="O1603" s="126"/>
      <c r="P1603" s="126"/>
      <c r="Q1603" s="126"/>
      <c r="R1603" s="127"/>
      <c r="S1603" s="127"/>
      <c r="T1603" s="127"/>
      <c r="U1603" s="127"/>
    </row>
    <row r="1604" spans="1:21" ht="15" customHeight="1">
      <c r="A1604" s="125"/>
      <c r="B1604" s="125"/>
      <c r="C1604" s="125"/>
      <c r="D1604" s="81"/>
      <c r="E1604" s="81"/>
      <c r="F1604" s="97"/>
      <c r="G1604" s="81"/>
      <c r="H1604" s="81"/>
      <c r="I1604" s="81"/>
      <c r="J1604" s="81"/>
      <c r="K1604" s="81"/>
      <c r="L1604" s="155"/>
      <c r="M1604" s="155"/>
      <c r="N1604" s="109"/>
      <c r="O1604" s="126"/>
      <c r="P1604" s="126"/>
      <c r="Q1604" s="126"/>
      <c r="R1604" s="127"/>
      <c r="S1604" s="127"/>
      <c r="T1604" s="127"/>
      <c r="U1604" s="127"/>
    </row>
    <row r="1605" spans="1:21" ht="15" customHeight="1">
      <c r="A1605" s="125"/>
      <c r="B1605" s="125"/>
      <c r="C1605" s="125"/>
      <c r="D1605" s="81"/>
      <c r="E1605" s="81"/>
      <c r="F1605" s="97"/>
      <c r="G1605" s="81"/>
      <c r="H1605" s="81"/>
      <c r="I1605" s="81"/>
      <c r="J1605" s="81"/>
      <c r="K1605" s="81"/>
      <c r="L1605" s="155"/>
      <c r="M1605" s="155"/>
      <c r="N1605" s="109"/>
      <c r="O1605" s="126"/>
      <c r="P1605" s="126"/>
      <c r="Q1605" s="126"/>
      <c r="R1605" s="127"/>
      <c r="S1605" s="127"/>
      <c r="T1605" s="127"/>
      <c r="U1605" s="127"/>
    </row>
    <row r="1606" spans="1:21" ht="15" customHeight="1">
      <c r="A1606" s="125"/>
      <c r="B1606" s="125"/>
      <c r="C1606" s="125"/>
      <c r="D1606" s="81"/>
      <c r="E1606" s="81"/>
      <c r="F1606" s="97"/>
      <c r="G1606" s="81"/>
      <c r="H1606" s="81"/>
      <c r="I1606" s="81"/>
      <c r="J1606" s="81"/>
      <c r="K1606" s="81"/>
      <c r="L1606" s="155"/>
      <c r="M1606" s="155"/>
      <c r="N1606" s="109"/>
      <c r="O1606" s="126"/>
      <c r="P1606" s="126"/>
      <c r="Q1606" s="126"/>
      <c r="R1606" s="127"/>
      <c r="S1606" s="127"/>
      <c r="T1606" s="127"/>
      <c r="U1606" s="127"/>
    </row>
    <row r="1607" spans="1:21" ht="15" customHeight="1">
      <c r="A1607" s="125"/>
      <c r="B1607" s="125"/>
      <c r="C1607" s="125"/>
      <c r="D1607" s="81"/>
      <c r="E1607" s="81"/>
      <c r="F1607" s="97"/>
      <c r="G1607" s="81"/>
      <c r="H1607" s="81"/>
      <c r="I1607" s="81"/>
      <c r="J1607" s="81"/>
      <c r="K1607" s="81"/>
      <c r="L1607" s="155"/>
      <c r="M1607" s="155"/>
      <c r="N1607" s="109"/>
      <c r="O1607" s="126"/>
      <c r="P1607" s="126"/>
      <c r="Q1607" s="126"/>
      <c r="R1607" s="127"/>
      <c r="S1607" s="127"/>
      <c r="T1607" s="127"/>
      <c r="U1607" s="127"/>
    </row>
    <row r="1608" spans="1:21" ht="15" customHeight="1">
      <c r="A1608" s="125"/>
      <c r="B1608" s="125"/>
      <c r="C1608" s="125"/>
      <c r="D1608" s="81"/>
      <c r="E1608" s="81"/>
      <c r="F1608" s="97"/>
      <c r="G1608" s="81"/>
      <c r="H1608" s="81"/>
      <c r="I1608" s="81"/>
      <c r="J1608" s="81"/>
      <c r="K1608" s="81"/>
      <c r="L1608" s="155"/>
      <c r="M1608" s="155"/>
      <c r="N1608" s="109"/>
      <c r="O1608" s="126"/>
      <c r="P1608" s="126"/>
      <c r="Q1608" s="126"/>
      <c r="R1608" s="127"/>
      <c r="S1608" s="127"/>
      <c r="T1608" s="127"/>
      <c r="U1608" s="127"/>
    </row>
    <row r="1609" spans="1:21" ht="15" customHeight="1">
      <c r="A1609" s="125"/>
      <c r="B1609" s="125"/>
      <c r="C1609" s="125"/>
      <c r="D1609" s="81"/>
      <c r="E1609" s="81"/>
      <c r="F1609" s="97"/>
      <c r="G1609" s="81"/>
      <c r="H1609" s="81"/>
      <c r="I1609" s="81"/>
      <c r="J1609" s="81"/>
      <c r="K1609" s="81"/>
      <c r="L1609" s="155"/>
      <c r="M1609" s="155"/>
      <c r="N1609" s="109"/>
      <c r="O1609" s="126"/>
      <c r="P1609" s="126"/>
      <c r="Q1609" s="126"/>
      <c r="R1609" s="127"/>
      <c r="S1609" s="127"/>
      <c r="T1609" s="127"/>
      <c r="U1609" s="127"/>
    </row>
    <row r="1610" spans="1:21" ht="15" customHeight="1">
      <c r="A1610" s="125"/>
      <c r="B1610" s="125"/>
      <c r="C1610" s="125"/>
      <c r="D1610" s="81"/>
      <c r="E1610" s="81"/>
      <c r="F1610" s="97"/>
      <c r="G1610" s="81"/>
      <c r="H1610" s="81"/>
      <c r="I1610" s="81"/>
      <c r="J1610" s="81"/>
      <c r="K1610" s="81"/>
      <c r="L1610" s="155"/>
      <c r="M1610" s="155"/>
      <c r="N1610" s="109"/>
      <c r="O1610" s="126"/>
      <c r="P1610" s="126"/>
      <c r="Q1610" s="126"/>
      <c r="R1610" s="127"/>
      <c r="S1610" s="127"/>
      <c r="T1610" s="127"/>
      <c r="U1610" s="127"/>
    </row>
    <row r="1611" spans="1:21" ht="15" customHeight="1">
      <c r="A1611" s="125"/>
      <c r="B1611" s="125"/>
      <c r="C1611" s="125"/>
      <c r="D1611" s="81"/>
      <c r="E1611" s="81"/>
      <c r="F1611" s="97"/>
      <c r="G1611" s="81"/>
      <c r="H1611" s="81"/>
      <c r="I1611" s="81"/>
      <c r="J1611" s="81"/>
      <c r="K1611" s="81"/>
      <c r="L1611" s="155"/>
      <c r="M1611" s="155"/>
      <c r="N1611" s="109"/>
      <c r="O1611" s="126"/>
      <c r="P1611" s="126"/>
      <c r="Q1611" s="126"/>
      <c r="R1611" s="127"/>
      <c r="S1611" s="127"/>
      <c r="T1611" s="127"/>
      <c r="U1611" s="127"/>
    </row>
    <row r="1612" spans="1:21" ht="15" customHeight="1">
      <c r="A1612" s="125"/>
      <c r="B1612" s="125"/>
      <c r="C1612" s="125"/>
      <c r="D1612" s="81"/>
      <c r="E1612" s="81"/>
      <c r="F1612" s="97"/>
      <c r="G1612" s="81"/>
      <c r="H1612" s="81"/>
      <c r="I1612" s="81"/>
      <c r="J1612" s="81"/>
      <c r="K1612" s="81"/>
      <c r="L1612" s="155"/>
      <c r="M1612" s="155"/>
      <c r="N1612" s="109"/>
      <c r="O1612" s="126"/>
      <c r="P1612" s="126"/>
      <c r="Q1612" s="126"/>
      <c r="R1612" s="127"/>
      <c r="S1612" s="127"/>
      <c r="T1612" s="127"/>
      <c r="U1612" s="127"/>
    </row>
    <row r="1613" spans="1:21" ht="15" customHeight="1">
      <c r="A1613" s="125"/>
      <c r="B1613" s="125"/>
      <c r="C1613" s="125"/>
      <c r="D1613" s="81"/>
      <c r="E1613" s="81"/>
      <c r="F1613" s="97"/>
      <c r="G1613" s="81"/>
      <c r="H1613" s="81"/>
      <c r="I1613" s="81"/>
      <c r="J1613" s="81"/>
      <c r="K1613" s="81"/>
      <c r="L1613" s="155"/>
      <c r="M1613" s="155"/>
      <c r="N1613" s="109"/>
      <c r="O1613" s="126"/>
      <c r="P1613" s="126"/>
      <c r="Q1613" s="126"/>
      <c r="R1613" s="127"/>
      <c r="S1613" s="127"/>
      <c r="T1613" s="127"/>
      <c r="U1613" s="127"/>
    </row>
    <row r="1614" spans="1:21" ht="15" customHeight="1">
      <c r="A1614" s="125"/>
      <c r="B1614" s="125"/>
      <c r="C1614" s="125"/>
      <c r="D1614" s="81"/>
      <c r="E1614" s="81"/>
      <c r="F1614" s="97"/>
      <c r="G1614" s="81"/>
      <c r="H1614" s="81"/>
      <c r="I1614" s="81"/>
      <c r="J1614" s="81"/>
      <c r="K1614" s="81"/>
      <c r="L1614" s="155"/>
      <c r="M1614" s="155"/>
      <c r="N1614" s="109"/>
      <c r="O1614" s="126"/>
      <c r="P1614" s="126"/>
      <c r="Q1614" s="126"/>
      <c r="R1614" s="127"/>
      <c r="S1614" s="127"/>
      <c r="T1614" s="127"/>
      <c r="U1614" s="127"/>
    </row>
    <row r="1615" spans="1:21" ht="15" customHeight="1">
      <c r="A1615" s="125"/>
      <c r="B1615" s="125"/>
      <c r="C1615" s="125"/>
      <c r="D1615" s="81"/>
      <c r="E1615" s="81"/>
      <c r="F1615" s="97"/>
      <c r="G1615" s="81"/>
      <c r="H1615" s="81"/>
      <c r="I1615" s="81"/>
      <c r="J1615" s="81"/>
      <c r="K1615" s="81"/>
      <c r="L1615" s="155"/>
      <c r="M1615" s="155"/>
      <c r="N1615" s="109"/>
      <c r="O1615" s="126"/>
      <c r="P1615" s="126"/>
      <c r="Q1615" s="126"/>
      <c r="R1615" s="127"/>
      <c r="S1615" s="127"/>
      <c r="T1615" s="127"/>
      <c r="U1615" s="127"/>
    </row>
    <row r="1616" spans="1:21" ht="15" customHeight="1">
      <c r="A1616" s="125"/>
      <c r="B1616" s="125"/>
      <c r="C1616" s="125"/>
      <c r="D1616" s="81"/>
      <c r="E1616" s="81"/>
      <c r="F1616" s="97"/>
      <c r="G1616" s="81"/>
      <c r="H1616" s="81"/>
      <c r="I1616" s="81"/>
      <c r="J1616" s="81"/>
      <c r="K1616" s="81"/>
      <c r="L1616" s="155"/>
      <c r="M1616" s="155"/>
      <c r="N1616" s="109"/>
      <c r="O1616" s="126"/>
      <c r="P1616" s="126"/>
      <c r="Q1616" s="126"/>
      <c r="R1616" s="127"/>
      <c r="S1616" s="127"/>
      <c r="T1616" s="127"/>
      <c r="U1616" s="127"/>
    </row>
    <row r="1617" spans="1:21" ht="15" customHeight="1">
      <c r="A1617" s="125"/>
      <c r="B1617" s="125"/>
      <c r="C1617" s="125"/>
      <c r="D1617" s="81"/>
      <c r="E1617" s="81"/>
      <c r="F1617" s="97"/>
      <c r="G1617" s="81"/>
      <c r="H1617" s="81"/>
      <c r="I1617" s="81"/>
      <c r="J1617" s="81"/>
      <c r="K1617" s="81"/>
      <c r="L1617" s="155"/>
      <c r="M1617" s="155"/>
      <c r="N1617" s="109"/>
      <c r="O1617" s="126"/>
      <c r="P1617" s="126"/>
      <c r="Q1617" s="126"/>
      <c r="R1617" s="127"/>
      <c r="S1617" s="127"/>
      <c r="T1617" s="127"/>
      <c r="U1617" s="127"/>
    </row>
    <row r="1618" spans="1:21" ht="15" customHeight="1">
      <c r="A1618" s="125"/>
      <c r="B1618" s="125"/>
      <c r="C1618" s="125"/>
      <c r="D1618" s="81"/>
      <c r="E1618" s="81"/>
      <c r="F1618" s="97"/>
      <c r="G1618" s="81"/>
      <c r="H1618" s="81"/>
      <c r="I1618" s="81"/>
      <c r="J1618" s="81"/>
      <c r="K1618" s="81"/>
      <c r="L1618" s="155"/>
      <c r="M1618" s="155"/>
      <c r="N1618" s="109"/>
      <c r="O1618" s="126"/>
      <c r="P1618" s="126"/>
      <c r="Q1618" s="126"/>
      <c r="R1618" s="127"/>
      <c r="S1618" s="127"/>
      <c r="T1618" s="127"/>
      <c r="U1618" s="127"/>
    </row>
    <row r="1619" spans="1:21" ht="15" customHeight="1">
      <c r="A1619" s="125"/>
      <c r="B1619" s="125"/>
      <c r="C1619" s="125"/>
      <c r="D1619" s="81"/>
      <c r="E1619" s="81"/>
      <c r="F1619" s="97"/>
      <c r="G1619" s="81"/>
      <c r="H1619" s="81"/>
      <c r="I1619" s="81"/>
      <c r="J1619" s="81"/>
      <c r="K1619" s="81"/>
      <c r="L1619" s="155"/>
      <c r="M1619" s="155"/>
      <c r="N1619" s="109"/>
      <c r="O1619" s="126"/>
      <c r="P1619" s="126"/>
      <c r="Q1619" s="126"/>
      <c r="R1619" s="127"/>
      <c r="S1619" s="127"/>
      <c r="T1619" s="127"/>
      <c r="U1619" s="127"/>
    </row>
    <row r="1620" spans="1:21" ht="15" customHeight="1">
      <c r="A1620" s="125"/>
      <c r="B1620" s="125"/>
      <c r="C1620" s="125"/>
      <c r="D1620" s="81"/>
      <c r="E1620" s="81"/>
      <c r="F1620" s="97"/>
      <c r="G1620" s="81"/>
      <c r="H1620" s="81"/>
      <c r="I1620" s="81"/>
      <c r="J1620" s="81"/>
      <c r="K1620" s="81"/>
      <c r="L1620" s="155"/>
      <c r="M1620" s="155"/>
      <c r="N1620" s="109"/>
      <c r="O1620" s="126"/>
      <c r="P1620" s="126"/>
      <c r="Q1620" s="126"/>
      <c r="R1620" s="127"/>
      <c r="S1620" s="127"/>
      <c r="T1620" s="127"/>
      <c r="U1620" s="127"/>
    </row>
    <row r="1621" spans="1:21" ht="15" customHeight="1">
      <c r="A1621" s="125"/>
      <c r="B1621" s="125"/>
      <c r="C1621" s="125"/>
      <c r="D1621" s="81"/>
      <c r="E1621" s="81"/>
      <c r="F1621" s="97"/>
      <c r="G1621" s="81"/>
      <c r="H1621" s="81"/>
      <c r="I1621" s="81"/>
      <c r="J1621" s="81"/>
      <c r="K1621" s="81"/>
      <c r="L1621" s="155"/>
      <c r="M1621" s="155"/>
      <c r="N1621" s="109"/>
      <c r="O1621" s="126"/>
      <c r="P1621" s="126"/>
      <c r="Q1621" s="126"/>
      <c r="R1621" s="127"/>
      <c r="S1621" s="127"/>
      <c r="T1621" s="127"/>
      <c r="U1621" s="127"/>
    </row>
    <row r="1622" spans="1:21" ht="15" customHeight="1">
      <c r="A1622" s="125"/>
      <c r="B1622" s="125"/>
      <c r="C1622" s="125"/>
      <c r="D1622" s="81"/>
      <c r="E1622" s="81"/>
      <c r="F1622" s="97"/>
      <c r="G1622" s="81"/>
      <c r="H1622" s="81"/>
      <c r="I1622" s="81"/>
      <c r="J1622" s="81"/>
      <c r="K1622" s="81"/>
      <c r="L1622" s="155"/>
      <c r="M1622" s="155"/>
      <c r="N1622" s="109"/>
      <c r="O1622" s="126"/>
      <c r="P1622" s="126"/>
      <c r="Q1622" s="126"/>
      <c r="R1622" s="127"/>
      <c r="S1622" s="127"/>
      <c r="T1622" s="127"/>
      <c r="U1622" s="127"/>
    </row>
    <row r="1623" spans="1:21" ht="15" customHeight="1">
      <c r="A1623" s="125"/>
      <c r="B1623" s="125"/>
      <c r="C1623" s="125"/>
      <c r="D1623" s="81"/>
      <c r="E1623" s="81"/>
      <c r="F1623" s="97"/>
      <c r="G1623" s="81"/>
      <c r="H1623" s="81"/>
      <c r="I1623" s="81"/>
      <c r="J1623" s="81"/>
      <c r="K1623" s="81"/>
      <c r="L1623" s="155"/>
      <c r="M1623" s="155"/>
      <c r="N1623" s="109"/>
      <c r="O1623" s="126"/>
      <c r="P1623" s="126"/>
      <c r="Q1623" s="126"/>
      <c r="R1623" s="127"/>
      <c r="S1623" s="127"/>
      <c r="T1623" s="127"/>
      <c r="U1623" s="127"/>
    </row>
    <row r="1624" spans="1:21" ht="15" customHeight="1">
      <c r="A1624" s="125"/>
      <c r="B1624" s="125"/>
      <c r="C1624" s="125"/>
      <c r="D1624" s="81"/>
      <c r="E1624" s="81"/>
      <c r="F1624" s="97"/>
      <c r="G1624" s="81"/>
      <c r="H1624" s="81"/>
      <c r="I1624" s="81"/>
      <c r="J1624" s="81"/>
      <c r="K1624" s="81"/>
      <c r="L1624" s="155"/>
      <c r="M1624" s="155"/>
      <c r="N1624" s="109"/>
      <c r="O1624" s="126"/>
      <c r="P1624" s="126"/>
      <c r="Q1624" s="126"/>
      <c r="R1624" s="127"/>
      <c r="S1624" s="127"/>
      <c r="T1624" s="127"/>
      <c r="U1624" s="127"/>
    </row>
    <row r="1625" spans="1:21" ht="15" customHeight="1">
      <c r="A1625" s="125"/>
      <c r="B1625" s="125"/>
      <c r="C1625" s="125"/>
      <c r="D1625" s="81"/>
      <c r="E1625" s="81"/>
      <c r="F1625" s="97"/>
      <c r="G1625" s="81"/>
      <c r="H1625" s="81"/>
      <c r="I1625" s="81"/>
      <c r="J1625" s="81"/>
      <c r="K1625" s="81"/>
      <c r="L1625" s="155"/>
      <c r="M1625" s="155"/>
      <c r="N1625" s="109"/>
      <c r="O1625" s="126"/>
      <c r="P1625" s="126"/>
      <c r="Q1625" s="126"/>
      <c r="R1625" s="127"/>
      <c r="S1625" s="127"/>
      <c r="T1625" s="127"/>
      <c r="U1625" s="127"/>
    </row>
    <row r="1626" spans="1:21" ht="15" customHeight="1">
      <c r="A1626" s="125"/>
      <c r="B1626" s="125"/>
      <c r="C1626" s="125"/>
      <c r="D1626" s="81"/>
      <c r="E1626" s="81"/>
      <c r="F1626" s="97"/>
      <c r="G1626" s="81"/>
      <c r="H1626" s="81"/>
      <c r="I1626" s="81"/>
      <c r="J1626" s="81"/>
      <c r="K1626" s="81"/>
      <c r="L1626" s="155"/>
      <c r="M1626" s="155"/>
      <c r="N1626" s="109"/>
      <c r="O1626" s="126"/>
      <c r="P1626" s="126"/>
      <c r="Q1626" s="126"/>
      <c r="R1626" s="127"/>
      <c r="S1626" s="127"/>
      <c r="T1626" s="127"/>
      <c r="U1626" s="127"/>
    </row>
    <row r="1627" spans="1:21" ht="15" customHeight="1">
      <c r="A1627" s="125"/>
      <c r="B1627" s="125"/>
      <c r="C1627" s="125"/>
      <c r="D1627" s="81"/>
      <c r="E1627" s="81"/>
      <c r="F1627" s="97"/>
      <c r="G1627" s="81"/>
      <c r="H1627" s="81"/>
      <c r="I1627" s="81"/>
      <c r="J1627" s="81"/>
      <c r="K1627" s="81"/>
      <c r="L1627" s="155"/>
      <c r="M1627" s="155"/>
      <c r="N1627" s="109"/>
      <c r="O1627" s="126"/>
      <c r="P1627" s="126"/>
      <c r="Q1627" s="126"/>
      <c r="R1627" s="127"/>
      <c r="S1627" s="127"/>
      <c r="T1627" s="127"/>
      <c r="U1627" s="127"/>
    </row>
    <row r="1628" spans="1:21" ht="15" customHeight="1">
      <c r="A1628" s="125"/>
      <c r="B1628" s="125"/>
      <c r="C1628" s="125"/>
      <c r="D1628" s="81"/>
      <c r="E1628" s="81"/>
      <c r="F1628" s="97"/>
      <c r="G1628" s="81"/>
      <c r="H1628" s="81"/>
      <c r="I1628" s="81"/>
      <c r="J1628" s="81"/>
      <c r="K1628" s="81"/>
      <c r="L1628" s="155"/>
      <c r="M1628" s="155"/>
      <c r="N1628" s="109"/>
      <c r="O1628" s="126"/>
      <c r="P1628" s="126"/>
      <c r="Q1628" s="126"/>
      <c r="R1628" s="127"/>
      <c r="S1628" s="127"/>
      <c r="T1628" s="127"/>
      <c r="U1628" s="127"/>
    </row>
    <row r="1629" spans="1:21" ht="15" customHeight="1">
      <c r="A1629" s="125"/>
      <c r="B1629" s="125"/>
      <c r="C1629" s="125"/>
      <c r="D1629" s="81"/>
      <c r="E1629" s="81"/>
      <c r="F1629" s="97"/>
      <c r="G1629" s="81"/>
      <c r="H1629" s="81"/>
      <c r="I1629" s="81"/>
      <c r="J1629" s="81"/>
      <c r="K1629" s="81"/>
      <c r="L1629" s="155"/>
      <c r="M1629" s="155"/>
      <c r="N1629" s="109"/>
      <c r="O1629" s="126"/>
      <c r="P1629" s="126"/>
      <c r="Q1629" s="126"/>
      <c r="R1629" s="127"/>
      <c r="S1629" s="127"/>
      <c r="T1629" s="127"/>
      <c r="U1629" s="127"/>
    </row>
    <row r="1630" spans="1:21" ht="15" customHeight="1">
      <c r="A1630" s="125"/>
      <c r="B1630" s="125"/>
      <c r="C1630" s="125"/>
      <c r="D1630" s="81"/>
      <c r="E1630" s="81"/>
      <c r="F1630" s="97"/>
      <c r="G1630" s="81"/>
      <c r="H1630" s="81"/>
      <c r="I1630" s="81"/>
      <c r="J1630" s="81"/>
      <c r="K1630" s="81"/>
      <c r="L1630" s="155"/>
      <c r="M1630" s="155"/>
      <c r="N1630" s="109"/>
      <c r="O1630" s="126"/>
      <c r="P1630" s="126"/>
      <c r="Q1630" s="126"/>
      <c r="R1630" s="127"/>
      <c r="S1630" s="127"/>
      <c r="T1630" s="127"/>
      <c r="U1630" s="127"/>
    </row>
    <row r="1631" spans="1:21" ht="15" customHeight="1">
      <c r="A1631" s="125"/>
      <c r="B1631" s="125"/>
      <c r="C1631" s="125"/>
      <c r="D1631" s="81"/>
      <c r="E1631" s="81"/>
      <c r="F1631" s="97"/>
      <c r="G1631" s="81"/>
      <c r="H1631" s="81"/>
      <c r="I1631" s="81"/>
      <c r="J1631" s="81"/>
      <c r="K1631" s="81"/>
      <c r="L1631" s="155"/>
      <c r="M1631" s="155"/>
      <c r="N1631" s="109"/>
      <c r="O1631" s="126"/>
      <c r="P1631" s="126"/>
      <c r="Q1631" s="126"/>
      <c r="R1631" s="127"/>
      <c r="S1631" s="127"/>
      <c r="T1631" s="127"/>
      <c r="U1631" s="127"/>
    </row>
    <row r="1632" spans="1:21" ht="15" customHeight="1">
      <c r="A1632" s="125"/>
      <c r="B1632" s="125"/>
      <c r="C1632" s="125"/>
      <c r="D1632" s="81"/>
      <c r="E1632" s="81"/>
      <c r="F1632" s="97"/>
      <c r="G1632" s="81"/>
      <c r="H1632" s="81"/>
      <c r="I1632" s="81"/>
      <c r="J1632" s="81"/>
      <c r="K1632" s="81"/>
      <c r="L1632" s="155"/>
      <c r="M1632" s="155"/>
      <c r="N1632" s="109"/>
      <c r="O1632" s="126"/>
      <c r="P1632" s="126"/>
      <c r="Q1632" s="126"/>
      <c r="R1632" s="127"/>
      <c r="S1632" s="127"/>
      <c r="T1632" s="127"/>
      <c r="U1632" s="127"/>
    </row>
    <row r="1633" spans="1:21" ht="15" customHeight="1">
      <c r="A1633" s="125"/>
      <c r="B1633" s="125"/>
      <c r="C1633" s="125"/>
      <c r="D1633" s="81"/>
      <c r="E1633" s="81"/>
      <c r="F1633" s="97"/>
      <c r="G1633" s="81"/>
      <c r="H1633" s="81"/>
      <c r="I1633" s="81"/>
      <c r="J1633" s="81"/>
      <c r="K1633" s="81"/>
      <c r="L1633" s="155"/>
      <c r="M1633" s="155"/>
      <c r="N1633" s="109"/>
      <c r="O1633" s="126"/>
      <c r="P1633" s="126"/>
      <c r="Q1633" s="126"/>
      <c r="R1633" s="127"/>
      <c r="S1633" s="127"/>
      <c r="T1633" s="127"/>
      <c r="U1633" s="127"/>
    </row>
    <row r="1634" spans="1:21" ht="15" customHeight="1">
      <c r="A1634" s="125"/>
      <c r="B1634" s="125"/>
      <c r="C1634" s="125"/>
      <c r="D1634" s="81"/>
      <c r="E1634" s="81"/>
      <c r="F1634" s="97"/>
      <c r="G1634" s="81"/>
      <c r="H1634" s="81"/>
      <c r="I1634" s="81"/>
      <c r="J1634" s="81"/>
      <c r="K1634" s="81"/>
      <c r="L1634" s="155"/>
      <c r="M1634" s="155"/>
      <c r="N1634" s="109"/>
      <c r="O1634" s="126"/>
      <c r="P1634" s="126"/>
      <c r="Q1634" s="126"/>
      <c r="R1634" s="127"/>
      <c r="S1634" s="127"/>
      <c r="T1634" s="127"/>
      <c r="U1634" s="127"/>
    </row>
    <row r="1635" spans="1:21" ht="15" customHeight="1">
      <c r="A1635" s="125"/>
      <c r="B1635" s="125"/>
      <c r="C1635" s="125"/>
      <c r="D1635" s="81"/>
      <c r="E1635" s="81"/>
      <c r="F1635" s="97"/>
      <c r="G1635" s="81"/>
      <c r="H1635" s="81"/>
      <c r="I1635" s="81"/>
      <c r="J1635" s="81"/>
      <c r="K1635" s="81"/>
      <c r="L1635" s="155"/>
      <c r="M1635" s="155"/>
      <c r="N1635" s="109"/>
      <c r="O1635" s="126"/>
      <c r="P1635" s="126"/>
      <c r="Q1635" s="126"/>
      <c r="R1635" s="127"/>
      <c r="S1635" s="127"/>
      <c r="T1635" s="127"/>
      <c r="U1635" s="127"/>
    </row>
    <row r="1636" spans="1:21" ht="15" customHeight="1">
      <c r="A1636" s="125"/>
      <c r="B1636" s="125"/>
      <c r="C1636" s="125"/>
      <c r="D1636" s="81"/>
      <c r="E1636" s="81"/>
      <c r="F1636" s="97"/>
      <c r="G1636" s="81"/>
      <c r="H1636" s="81"/>
      <c r="I1636" s="81"/>
      <c r="J1636" s="81"/>
      <c r="K1636" s="81"/>
      <c r="L1636" s="155"/>
      <c r="M1636" s="155"/>
      <c r="N1636" s="109"/>
      <c r="O1636" s="126"/>
      <c r="P1636" s="126"/>
      <c r="Q1636" s="126"/>
      <c r="R1636" s="127"/>
      <c r="S1636" s="127"/>
      <c r="T1636" s="127"/>
      <c r="U1636" s="127"/>
    </row>
    <row r="1637" spans="1:21" ht="15" customHeight="1">
      <c r="A1637" s="125"/>
      <c r="B1637" s="125"/>
      <c r="C1637" s="125"/>
      <c r="D1637" s="81"/>
      <c r="E1637" s="81"/>
      <c r="F1637" s="97"/>
      <c r="G1637" s="81"/>
      <c r="H1637" s="81"/>
      <c r="I1637" s="81"/>
      <c r="J1637" s="81"/>
      <c r="K1637" s="81"/>
      <c r="L1637" s="155"/>
      <c r="M1637" s="155"/>
      <c r="N1637" s="109"/>
      <c r="O1637" s="126"/>
      <c r="P1637" s="126"/>
      <c r="Q1637" s="126"/>
      <c r="R1637" s="127"/>
      <c r="S1637" s="127"/>
      <c r="T1637" s="127"/>
      <c r="U1637" s="127"/>
    </row>
    <row r="1638" spans="1:21" ht="15" customHeight="1">
      <c r="A1638" s="125"/>
      <c r="B1638" s="125"/>
      <c r="C1638" s="125"/>
      <c r="D1638" s="81"/>
      <c r="E1638" s="81"/>
      <c r="F1638" s="97"/>
      <c r="G1638" s="81"/>
      <c r="H1638" s="81"/>
      <c r="I1638" s="81"/>
      <c r="J1638" s="81"/>
      <c r="K1638" s="81"/>
      <c r="L1638" s="155"/>
      <c r="M1638" s="155"/>
      <c r="N1638" s="109"/>
      <c r="O1638" s="126"/>
      <c r="P1638" s="126"/>
      <c r="Q1638" s="126"/>
      <c r="R1638" s="127"/>
      <c r="S1638" s="127"/>
      <c r="T1638" s="127"/>
      <c r="U1638" s="127"/>
    </row>
    <row r="1639" spans="1:21" ht="15" customHeight="1">
      <c r="A1639" s="125"/>
      <c r="B1639" s="125"/>
      <c r="C1639" s="125"/>
      <c r="D1639" s="81"/>
      <c r="E1639" s="81"/>
      <c r="F1639" s="97"/>
      <c r="G1639" s="81"/>
      <c r="H1639" s="81"/>
      <c r="I1639" s="81"/>
      <c r="J1639" s="81"/>
      <c r="K1639" s="81"/>
      <c r="L1639" s="155"/>
      <c r="M1639" s="155"/>
      <c r="N1639" s="109"/>
      <c r="O1639" s="126"/>
      <c r="P1639" s="126"/>
      <c r="Q1639" s="126"/>
      <c r="R1639" s="127"/>
      <c r="S1639" s="127"/>
      <c r="T1639" s="127"/>
      <c r="U1639" s="127"/>
    </row>
    <row r="1640" spans="1:21" ht="15" customHeight="1">
      <c r="A1640" s="125"/>
      <c r="B1640" s="125"/>
      <c r="C1640" s="125"/>
      <c r="D1640" s="81"/>
      <c r="E1640" s="81"/>
      <c r="F1640" s="97"/>
      <c r="G1640" s="81"/>
      <c r="H1640" s="81"/>
      <c r="I1640" s="81"/>
      <c r="J1640" s="81"/>
      <c r="K1640" s="81"/>
      <c r="L1640" s="155"/>
      <c r="M1640" s="155"/>
      <c r="N1640" s="109"/>
      <c r="O1640" s="126"/>
      <c r="P1640" s="126"/>
      <c r="Q1640" s="126"/>
      <c r="R1640" s="127"/>
      <c r="S1640" s="127"/>
      <c r="T1640" s="127"/>
      <c r="U1640" s="127"/>
    </row>
    <row r="1641" spans="1:21" ht="15" customHeight="1">
      <c r="A1641" s="125"/>
      <c r="B1641" s="125"/>
      <c r="C1641" s="125"/>
      <c r="D1641" s="81"/>
      <c r="E1641" s="81"/>
      <c r="F1641" s="97"/>
      <c r="G1641" s="81"/>
      <c r="H1641" s="81"/>
      <c r="I1641" s="81"/>
      <c r="J1641" s="81"/>
      <c r="K1641" s="81"/>
      <c r="L1641" s="155"/>
      <c r="M1641" s="155"/>
      <c r="N1641" s="109"/>
      <c r="O1641" s="126"/>
      <c r="P1641" s="126"/>
      <c r="Q1641" s="126"/>
      <c r="R1641" s="127"/>
      <c r="S1641" s="127"/>
      <c r="T1641" s="127"/>
      <c r="U1641" s="127"/>
    </row>
    <row r="1642" spans="1:21" ht="15" customHeight="1">
      <c r="A1642" s="125"/>
      <c r="B1642" s="125"/>
      <c r="C1642" s="125"/>
      <c r="D1642" s="81"/>
      <c r="E1642" s="81"/>
      <c r="F1642" s="97"/>
      <c r="G1642" s="81"/>
      <c r="H1642" s="81"/>
      <c r="I1642" s="81"/>
      <c r="J1642" s="81"/>
      <c r="K1642" s="81"/>
      <c r="L1642" s="155"/>
      <c r="M1642" s="155"/>
      <c r="N1642" s="109"/>
      <c r="O1642" s="126"/>
      <c r="P1642" s="126"/>
      <c r="Q1642" s="126"/>
      <c r="R1642" s="127"/>
      <c r="S1642" s="127"/>
      <c r="T1642" s="127"/>
      <c r="U1642" s="127"/>
    </row>
    <row r="1643" spans="1:21" ht="15" customHeight="1">
      <c r="A1643" s="125"/>
      <c r="B1643" s="125"/>
      <c r="C1643" s="125"/>
      <c r="D1643" s="81"/>
      <c r="E1643" s="81"/>
      <c r="F1643" s="97"/>
      <c r="G1643" s="81"/>
      <c r="H1643" s="81"/>
      <c r="I1643" s="81"/>
      <c r="J1643" s="81"/>
      <c r="K1643" s="81"/>
      <c r="L1643" s="155"/>
      <c r="M1643" s="155"/>
      <c r="N1643" s="109"/>
      <c r="O1643" s="126"/>
      <c r="P1643" s="126"/>
      <c r="Q1643" s="126"/>
      <c r="R1643" s="127"/>
      <c r="S1643" s="127"/>
      <c r="T1643" s="127"/>
      <c r="U1643" s="127"/>
    </row>
    <row r="1644" spans="1:21" ht="15" customHeight="1">
      <c r="A1644" s="125"/>
      <c r="B1644" s="125"/>
      <c r="C1644" s="125"/>
      <c r="D1644" s="81"/>
      <c r="E1644" s="81"/>
      <c r="F1644" s="97"/>
      <c r="G1644" s="81"/>
      <c r="H1644" s="81"/>
      <c r="I1644" s="81"/>
      <c r="J1644" s="81"/>
      <c r="K1644" s="81"/>
      <c r="L1644" s="155"/>
      <c r="M1644" s="155"/>
      <c r="N1644" s="109"/>
      <c r="O1644" s="126"/>
      <c r="P1644" s="126"/>
      <c r="Q1644" s="126"/>
      <c r="R1644" s="127"/>
      <c r="S1644" s="127"/>
      <c r="T1644" s="127"/>
      <c r="U1644" s="127"/>
    </row>
    <row r="1645" spans="1:21" ht="15" customHeight="1">
      <c r="A1645" s="125"/>
      <c r="B1645" s="125"/>
      <c r="C1645" s="125"/>
      <c r="D1645" s="81"/>
      <c r="E1645" s="81"/>
      <c r="F1645" s="97"/>
      <c r="G1645" s="81"/>
      <c r="H1645" s="81"/>
      <c r="I1645" s="81"/>
      <c r="J1645" s="81"/>
      <c r="K1645" s="81"/>
      <c r="L1645" s="155"/>
      <c r="M1645" s="155"/>
      <c r="N1645" s="109"/>
      <c r="O1645" s="126"/>
      <c r="P1645" s="126"/>
      <c r="Q1645" s="126"/>
      <c r="R1645" s="127"/>
      <c r="S1645" s="127"/>
      <c r="T1645" s="127"/>
      <c r="U1645" s="127"/>
    </row>
    <row r="1646" spans="1:21" ht="15" customHeight="1">
      <c r="A1646" s="125"/>
      <c r="B1646" s="125"/>
      <c r="C1646" s="125"/>
      <c r="D1646" s="81"/>
      <c r="E1646" s="81"/>
      <c r="F1646" s="97"/>
      <c r="G1646" s="81"/>
      <c r="H1646" s="81"/>
      <c r="I1646" s="81"/>
      <c r="J1646" s="81"/>
      <c r="K1646" s="81"/>
      <c r="L1646" s="155"/>
      <c r="M1646" s="155"/>
      <c r="N1646" s="109"/>
      <c r="O1646" s="126"/>
      <c r="P1646" s="126"/>
      <c r="Q1646" s="126"/>
      <c r="R1646" s="127"/>
      <c r="S1646" s="127"/>
      <c r="T1646" s="127"/>
      <c r="U1646" s="127"/>
    </row>
    <row r="1647" spans="1:21" ht="15" customHeight="1">
      <c r="A1647" s="125"/>
      <c r="B1647" s="125"/>
      <c r="C1647" s="125"/>
      <c r="D1647" s="81"/>
      <c r="E1647" s="81"/>
      <c r="F1647" s="97"/>
      <c r="G1647" s="81"/>
      <c r="H1647" s="81"/>
      <c r="I1647" s="81"/>
      <c r="J1647" s="81"/>
      <c r="K1647" s="81"/>
      <c r="L1647" s="155"/>
      <c r="M1647" s="155"/>
      <c r="N1647" s="109"/>
      <c r="O1647" s="126"/>
      <c r="P1647" s="126"/>
      <c r="Q1647" s="126"/>
      <c r="R1647" s="127"/>
      <c r="S1647" s="127"/>
      <c r="T1647" s="127"/>
      <c r="U1647" s="127"/>
    </row>
    <row r="1648" spans="1:21" ht="15" customHeight="1">
      <c r="A1648" s="125"/>
      <c r="B1648" s="125"/>
      <c r="C1648" s="125"/>
      <c r="D1648" s="81"/>
      <c r="E1648" s="81"/>
      <c r="F1648" s="97"/>
      <c r="G1648" s="81"/>
      <c r="H1648" s="81"/>
      <c r="I1648" s="81"/>
      <c r="J1648" s="81"/>
      <c r="K1648" s="81"/>
      <c r="L1648" s="155"/>
      <c r="M1648" s="155"/>
      <c r="N1648" s="109"/>
      <c r="O1648" s="126"/>
      <c r="P1648" s="126"/>
      <c r="Q1648" s="126"/>
      <c r="R1648" s="127"/>
      <c r="S1648" s="127"/>
      <c r="T1648" s="127"/>
      <c r="U1648" s="127"/>
    </row>
    <row r="1649" spans="1:21" ht="15" customHeight="1">
      <c r="A1649" s="125"/>
      <c r="B1649" s="125"/>
      <c r="C1649" s="125"/>
      <c r="D1649" s="81"/>
      <c r="E1649" s="81"/>
      <c r="F1649" s="97"/>
      <c r="G1649" s="81"/>
      <c r="H1649" s="81"/>
      <c r="I1649" s="81"/>
      <c r="J1649" s="81"/>
      <c r="K1649" s="81"/>
      <c r="L1649" s="155"/>
      <c r="M1649" s="155"/>
      <c r="N1649" s="109"/>
      <c r="O1649" s="126"/>
      <c r="P1649" s="126"/>
      <c r="Q1649" s="126"/>
      <c r="R1649" s="127"/>
      <c r="S1649" s="127"/>
      <c r="T1649" s="127"/>
      <c r="U1649" s="127"/>
    </row>
    <row r="1650" spans="1:21" ht="15" customHeight="1">
      <c r="A1650" s="125"/>
      <c r="B1650" s="125"/>
      <c r="C1650" s="125"/>
      <c r="D1650" s="81"/>
      <c r="E1650" s="81"/>
      <c r="F1650" s="97"/>
      <c r="G1650" s="81"/>
      <c r="H1650" s="81"/>
      <c r="I1650" s="81"/>
      <c r="J1650" s="81"/>
      <c r="K1650" s="81"/>
      <c r="L1650" s="155"/>
      <c r="M1650" s="155"/>
      <c r="N1650" s="109"/>
      <c r="O1650" s="126"/>
      <c r="P1650" s="126"/>
      <c r="Q1650" s="126"/>
      <c r="R1650" s="127"/>
      <c r="S1650" s="127"/>
      <c r="T1650" s="127"/>
      <c r="U1650" s="127"/>
    </row>
    <row r="1651" spans="1:21" ht="15" customHeight="1">
      <c r="A1651" s="125"/>
      <c r="B1651" s="125"/>
      <c r="C1651" s="125"/>
      <c r="D1651" s="81"/>
      <c r="E1651" s="81"/>
      <c r="F1651" s="97"/>
      <c r="G1651" s="81"/>
      <c r="H1651" s="81"/>
      <c r="I1651" s="81"/>
      <c r="J1651" s="81"/>
      <c r="K1651" s="81"/>
      <c r="L1651" s="155"/>
      <c r="M1651" s="155"/>
      <c r="N1651" s="109"/>
      <c r="O1651" s="126"/>
      <c r="P1651" s="126"/>
      <c r="Q1651" s="126"/>
      <c r="R1651" s="127"/>
      <c r="S1651" s="127"/>
      <c r="T1651" s="127"/>
      <c r="U1651" s="127"/>
    </row>
    <row r="1652" spans="1:21" ht="15" customHeight="1">
      <c r="A1652" s="125"/>
      <c r="B1652" s="125"/>
      <c r="C1652" s="125"/>
      <c r="D1652" s="81"/>
      <c r="E1652" s="81"/>
      <c r="F1652" s="97"/>
      <c r="G1652" s="81"/>
      <c r="H1652" s="81"/>
      <c r="I1652" s="81"/>
      <c r="J1652" s="81"/>
      <c r="K1652" s="81"/>
      <c r="L1652" s="155"/>
      <c r="M1652" s="155"/>
      <c r="N1652" s="109"/>
      <c r="O1652" s="126"/>
      <c r="P1652" s="126"/>
      <c r="Q1652" s="126"/>
      <c r="R1652" s="127"/>
      <c r="S1652" s="127"/>
      <c r="T1652" s="127"/>
      <c r="U1652" s="127"/>
    </row>
    <row r="1653" spans="1:21" ht="15" customHeight="1">
      <c r="A1653" s="125"/>
      <c r="B1653" s="125"/>
      <c r="C1653" s="125"/>
      <c r="D1653" s="81"/>
      <c r="E1653" s="81"/>
      <c r="F1653" s="97"/>
      <c r="G1653" s="81"/>
      <c r="H1653" s="81"/>
      <c r="I1653" s="81"/>
      <c r="J1653" s="81"/>
      <c r="K1653" s="81"/>
      <c r="L1653" s="155"/>
      <c r="M1653" s="155"/>
      <c r="N1653" s="109"/>
      <c r="O1653" s="126"/>
      <c r="P1653" s="126"/>
      <c r="Q1653" s="126"/>
      <c r="R1653" s="127"/>
      <c r="S1653" s="127"/>
      <c r="T1653" s="127"/>
      <c r="U1653" s="127"/>
    </row>
    <row r="1654" spans="1:21" ht="15" customHeight="1">
      <c r="A1654" s="125"/>
      <c r="B1654" s="125"/>
      <c r="C1654" s="125"/>
      <c r="D1654" s="81"/>
      <c r="E1654" s="81"/>
      <c r="F1654" s="97"/>
      <c r="G1654" s="81"/>
      <c r="H1654" s="81"/>
      <c r="I1654" s="81"/>
      <c r="J1654" s="81"/>
      <c r="K1654" s="81"/>
      <c r="L1654" s="155"/>
      <c r="M1654" s="155"/>
      <c r="N1654" s="109"/>
      <c r="O1654" s="126"/>
      <c r="P1654" s="126"/>
      <c r="Q1654" s="126"/>
      <c r="R1654" s="127"/>
      <c r="S1654" s="127"/>
      <c r="T1654" s="127"/>
      <c r="U1654" s="127"/>
    </row>
    <row r="1655" spans="1:21" ht="15" customHeight="1">
      <c r="A1655" s="125"/>
      <c r="B1655" s="125"/>
      <c r="C1655" s="125"/>
      <c r="D1655" s="81"/>
      <c r="E1655" s="81"/>
      <c r="F1655" s="97"/>
      <c r="G1655" s="81"/>
      <c r="H1655" s="81"/>
      <c r="I1655" s="81"/>
      <c r="J1655" s="81"/>
      <c r="K1655" s="81"/>
      <c r="L1655" s="155"/>
      <c r="M1655" s="155"/>
      <c r="N1655" s="109"/>
      <c r="O1655" s="126"/>
      <c r="P1655" s="126"/>
      <c r="Q1655" s="126"/>
      <c r="R1655" s="127"/>
      <c r="S1655" s="127"/>
      <c r="T1655" s="127"/>
      <c r="U1655" s="127"/>
    </row>
    <row r="1656" spans="1:21" ht="15" customHeight="1">
      <c r="A1656" s="125"/>
      <c r="B1656" s="125"/>
      <c r="C1656" s="125"/>
      <c r="D1656" s="81"/>
      <c r="E1656" s="81"/>
      <c r="F1656" s="97"/>
      <c r="G1656" s="81"/>
      <c r="H1656" s="81"/>
      <c r="I1656" s="81"/>
      <c r="J1656" s="81"/>
      <c r="K1656" s="81"/>
      <c r="L1656" s="155"/>
      <c r="M1656" s="155"/>
      <c r="N1656" s="109"/>
      <c r="O1656" s="126"/>
      <c r="P1656" s="126"/>
      <c r="Q1656" s="126"/>
      <c r="R1656" s="127"/>
      <c r="S1656" s="127"/>
      <c r="T1656" s="127"/>
      <c r="U1656" s="127"/>
    </row>
    <row r="1657" spans="1:21" ht="15" customHeight="1">
      <c r="A1657" s="125"/>
      <c r="B1657" s="125"/>
      <c r="C1657" s="125"/>
      <c r="D1657" s="81"/>
      <c r="E1657" s="81"/>
      <c r="F1657" s="97"/>
      <c r="G1657" s="81"/>
      <c r="H1657" s="81"/>
      <c r="I1657" s="81"/>
      <c r="J1657" s="81"/>
      <c r="K1657" s="81"/>
      <c r="L1657" s="155"/>
      <c r="M1657" s="155"/>
      <c r="N1657" s="109"/>
      <c r="O1657" s="126"/>
      <c r="P1657" s="126"/>
      <c r="Q1657" s="126"/>
      <c r="R1657" s="127"/>
      <c r="S1657" s="127"/>
      <c r="T1657" s="127"/>
      <c r="U1657" s="127"/>
    </row>
    <row r="1658" spans="1:21" ht="15" customHeight="1">
      <c r="A1658" s="125"/>
      <c r="B1658" s="125"/>
      <c r="C1658" s="125"/>
      <c r="D1658" s="81"/>
      <c r="E1658" s="81"/>
      <c r="F1658" s="97"/>
      <c r="G1658" s="81"/>
      <c r="H1658" s="81"/>
      <c r="I1658" s="81"/>
      <c r="J1658" s="81"/>
      <c r="K1658" s="81"/>
      <c r="L1658" s="155"/>
      <c r="M1658" s="155"/>
      <c r="N1658" s="109"/>
      <c r="O1658" s="126"/>
      <c r="P1658" s="126"/>
      <c r="Q1658" s="126"/>
      <c r="R1658" s="127"/>
      <c r="S1658" s="127"/>
      <c r="T1658" s="127"/>
      <c r="U1658" s="127"/>
    </row>
    <row r="1659" spans="1:21" ht="15" customHeight="1">
      <c r="A1659" s="125"/>
      <c r="B1659" s="125"/>
      <c r="C1659" s="125"/>
      <c r="D1659" s="81"/>
      <c r="E1659" s="81"/>
      <c r="F1659" s="97"/>
      <c r="G1659" s="81"/>
      <c r="H1659" s="81"/>
      <c r="I1659" s="81"/>
      <c r="J1659" s="81"/>
      <c r="K1659" s="81"/>
      <c r="L1659" s="155"/>
      <c r="M1659" s="155"/>
      <c r="N1659" s="109"/>
      <c r="O1659" s="126"/>
      <c r="P1659" s="126"/>
      <c r="Q1659" s="126"/>
      <c r="R1659" s="127"/>
      <c r="S1659" s="127"/>
      <c r="T1659" s="127"/>
      <c r="U1659" s="127"/>
    </row>
    <row r="1660" spans="1:21" ht="15" customHeight="1">
      <c r="A1660" s="125"/>
      <c r="B1660" s="125"/>
      <c r="C1660" s="125"/>
      <c r="D1660" s="81"/>
      <c r="E1660" s="81"/>
      <c r="F1660" s="97"/>
      <c r="G1660" s="81"/>
      <c r="H1660" s="81"/>
      <c r="I1660" s="81"/>
      <c r="J1660" s="81"/>
      <c r="K1660" s="81"/>
      <c r="L1660" s="155"/>
      <c r="M1660" s="155"/>
      <c r="N1660" s="109"/>
      <c r="O1660" s="126"/>
      <c r="P1660" s="126"/>
      <c r="Q1660" s="126"/>
      <c r="R1660" s="127"/>
      <c r="S1660" s="127"/>
      <c r="T1660" s="127"/>
      <c r="U1660" s="127"/>
    </row>
    <row r="1661" spans="1:21" ht="15" customHeight="1">
      <c r="A1661" s="125"/>
      <c r="B1661" s="125"/>
      <c r="C1661" s="125"/>
      <c r="D1661" s="81"/>
      <c r="E1661" s="81"/>
      <c r="F1661" s="97"/>
      <c r="G1661" s="81"/>
      <c r="H1661" s="81"/>
      <c r="I1661" s="81"/>
      <c r="J1661" s="81"/>
      <c r="K1661" s="81"/>
      <c r="L1661" s="155"/>
      <c r="M1661" s="155"/>
      <c r="N1661" s="109"/>
      <c r="O1661" s="126"/>
      <c r="P1661" s="126"/>
      <c r="Q1661" s="126"/>
      <c r="R1661" s="127"/>
      <c r="S1661" s="127"/>
      <c r="T1661" s="127"/>
      <c r="U1661" s="127"/>
    </row>
    <row r="1662" spans="1:21" ht="15" customHeight="1">
      <c r="A1662" s="125"/>
      <c r="B1662" s="125"/>
      <c r="C1662" s="125"/>
      <c r="D1662" s="81"/>
      <c r="E1662" s="81"/>
      <c r="F1662" s="97"/>
      <c r="G1662" s="81"/>
      <c r="H1662" s="81"/>
      <c r="I1662" s="81"/>
      <c r="J1662" s="81"/>
      <c r="K1662" s="81"/>
      <c r="L1662" s="155"/>
      <c r="M1662" s="155"/>
      <c r="N1662" s="109"/>
      <c r="O1662" s="126"/>
      <c r="P1662" s="126"/>
      <c r="Q1662" s="126"/>
      <c r="R1662" s="127"/>
      <c r="S1662" s="127"/>
      <c r="T1662" s="127"/>
      <c r="U1662" s="127"/>
    </row>
    <row r="1663" spans="1:21" ht="15" customHeight="1">
      <c r="A1663" s="125"/>
      <c r="B1663" s="125"/>
      <c r="C1663" s="125"/>
      <c r="D1663" s="81"/>
      <c r="E1663" s="81"/>
      <c r="F1663" s="97"/>
      <c r="G1663" s="81"/>
      <c r="H1663" s="81"/>
      <c r="I1663" s="81"/>
      <c r="J1663" s="81"/>
      <c r="K1663" s="81"/>
      <c r="L1663" s="155"/>
      <c r="M1663" s="155"/>
      <c r="N1663" s="109"/>
      <c r="O1663" s="126"/>
      <c r="P1663" s="126"/>
      <c r="Q1663" s="126"/>
      <c r="R1663" s="127"/>
      <c r="S1663" s="127"/>
      <c r="T1663" s="127"/>
      <c r="U1663" s="127"/>
    </row>
    <row r="1664" spans="1:21" ht="15" customHeight="1">
      <c r="A1664" s="125"/>
      <c r="B1664" s="125"/>
      <c r="C1664" s="125"/>
      <c r="D1664" s="81"/>
      <c r="E1664" s="81"/>
      <c r="F1664" s="97"/>
      <c r="G1664" s="81"/>
      <c r="H1664" s="81"/>
      <c r="I1664" s="81"/>
      <c r="J1664" s="81"/>
      <c r="K1664" s="81"/>
      <c r="L1664" s="155"/>
      <c r="M1664" s="155"/>
      <c r="N1664" s="109"/>
      <c r="O1664" s="126"/>
      <c r="P1664" s="126"/>
      <c r="Q1664" s="126"/>
      <c r="R1664" s="127"/>
      <c r="S1664" s="127"/>
      <c r="T1664" s="127"/>
      <c r="U1664" s="127"/>
    </row>
    <row r="1665" spans="1:21" ht="15" customHeight="1">
      <c r="A1665" s="125"/>
      <c r="B1665" s="125"/>
      <c r="C1665" s="125"/>
      <c r="D1665" s="81"/>
      <c r="E1665" s="81"/>
      <c r="F1665" s="97"/>
      <c r="G1665" s="81"/>
      <c r="H1665" s="81"/>
      <c r="I1665" s="81"/>
      <c r="J1665" s="81"/>
      <c r="K1665" s="81"/>
      <c r="L1665" s="155"/>
      <c r="M1665" s="155"/>
      <c r="N1665" s="109"/>
      <c r="O1665" s="126"/>
      <c r="P1665" s="126"/>
      <c r="Q1665" s="126"/>
      <c r="R1665" s="127"/>
      <c r="S1665" s="127"/>
      <c r="T1665" s="127"/>
      <c r="U1665" s="127"/>
    </row>
    <row r="1666" spans="1:21" ht="15" customHeight="1">
      <c r="A1666" s="125"/>
      <c r="B1666" s="125"/>
      <c r="C1666" s="125"/>
      <c r="D1666" s="81"/>
      <c r="E1666" s="81"/>
      <c r="F1666" s="97"/>
      <c r="G1666" s="81"/>
      <c r="H1666" s="81"/>
      <c r="I1666" s="81"/>
      <c r="J1666" s="81"/>
      <c r="K1666" s="81"/>
      <c r="L1666" s="155"/>
      <c r="M1666" s="155"/>
      <c r="N1666" s="109"/>
      <c r="O1666" s="126"/>
      <c r="P1666" s="126"/>
      <c r="Q1666" s="126"/>
      <c r="R1666" s="127"/>
      <c r="S1666" s="127"/>
      <c r="T1666" s="127"/>
      <c r="U1666" s="127"/>
    </row>
    <row r="1667" spans="1:21" ht="15" customHeight="1">
      <c r="A1667" s="125"/>
      <c r="B1667" s="125"/>
      <c r="C1667" s="125"/>
      <c r="D1667" s="81"/>
      <c r="E1667" s="81"/>
      <c r="F1667" s="97"/>
      <c r="G1667" s="81"/>
      <c r="H1667" s="81"/>
      <c r="I1667" s="81"/>
      <c r="J1667" s="81"/>
      <c r="K1667" s="81"/>
      <c r="L1667" s="155"/>
      <c r="M1667" s="155"/>
      <c r="N1667" s="109"/>
      <c r="O1667" s="126"/>
      <c r="P1667" s="126"/>
      <c r="Q1667" s="126"/>
      <c r="R1667" s="127"/>
      <c r="S1667" s="127"/>
      <c r="T1667" s="127"/>
      <c r="U1667" s="127"/>
    </row>
    <row r="1668" spans="1:21" ht="15" customHeight="1">
      <c r="A1668" s="125"/>
      <c r="B1668" s="125"/>
      <c r="C1668" s="125"/>
      <c r="D1668" s="81"/>
      <c r="E1668" s="81"/>
      <c r="F1668" s="97"/>
      <c r="G1668" s="81"/>
      <c r="H1668" s="81"/>
      <c r="I1668" s="81"/>
      <c r="J1668" s="81"/>
      <c r="K1668" s="81"/>
      <c r="L1668" s="155"/>
      <c r="M1668" s="155"/>
      <c r="N1668" s="109"/>
      <c r="O1668" s="126"/>
      <c r="P1668" s="126"/>
      <c r="Q1668" s="126"/>
      <c r="R1668" s="127"/>
      <c r="S1668" s="127"/>
      <c r="T1668" s="127"/>
      <c r="U1668" s="127"/>
    </row>
    <row r="1669" spans="1:21" ht="15" customHeight="1">
      <c r="A1669" s="125"/>
      <c r="B1669" s="125"/>
      <c r="C1669" s="125"/>
      <c r="D1669" s="81"/>
      <c r="E1669" s="81"/>
      <c r="F1669" s="97"/>
      <c r="G1669" s="81"/>
      <c r="H1669" s="81"/>
      <c r="I1669" s="81"/>
      <c r="J1669" s="81"/>
      <c r="K1669" s="81"/>
      <c r="L1669" s="155"/>
      <c r="M1669" s="155"/>
      <c r="N1669" s="109"/>
      <c r="O1669" s="126"/>
      <c r="P1669" s="126"/>
      <c r="Q1669" s="126"/>
      <c r="R1669" s="127"/>
      <c r="S1669" s="127"/>
      <c r="T1669" s="127"/>
      <c r="U1669" s="127"/>
    </row>
    <row r="1670" spans="1:21" ht="15" customHeight="1">
      <c r="A1670" s="125"/>
      <c r="B1670" s="125"/>
      <c r="C1670" s="125"/>
      <c r="D1670" s="81"/>
      <c r="E1670" s="81"/>
      <c r="F1670" s="97"/>
      <c r="G1670" s="81"/>
      <c r="H1670" s="81"/>
      <c r="I1670" s="81"/>
      <c r="J1670" s="81"/>
      <c r="K1670" s="81"/>
      <c r="L1670" s="155"/>
      <c r="M1670" s="155"/>
      <c r="N1670" s="109"/>
      <c r="O1670" s="126"/>
      <c r="P1670" s="126"/>
      <c r="Q1670" s="126"/>
      <c r="R1670" s="127"/>
      <c r="S1670" s="127"/>
      <c r="T1670" s="127"/>
      <c r="U1670" s="127"/>
    </row>
    <row r="1671" spans="1:21" ht="15" customHeight="1">
      <c r="A1671" s="125"/>
      <c r="B1671" s="125"/>
      <c r="C1671" s="125"/>
      <c r="D1671" s="81"/>
      <c r="E1671" s="81"/>
      <c r="F1671" s="97"/>
      <c r="G1671" s="81"/>
      <c r="H1671" s="81"/>
      <c r="I1671" s="81"/>
      <c r="J1671" s="81"/>
      <c r="K1671" s="81"/>
      <c r="L1671" s="155"/>
      <c r="M1671" s="155"/>
      <c r="N1671" s="109"/>
      <c r="O1671" s="126"/>
      <c r="P1671" s="126"/>
      <c r="Q1671" s="126"/>
      <c r="R1671" s="127"/>
      <c r="S1671" s="127"/>
      <c r="T1671" s="127"/>
      <c r="U1671" s="127"/>
    </row>
    <row r="1672" spans="1:21" ht="15" customHeight="1">
      <c r="A1672" s="125"/>
      <c r="B1672" s="125"/>
      <c r="C1672" s="125"/>
      <c r="D1672" s="81"/>
      <c r="E1672" s="81"/>
      <c r="F1672" s="97"/>
      <c r="G1672" s="81"/>
      <c r="H1672" s="81"/>
      <c r="I1672" s="81"/>
      <c r="J1672" s="81"/>
      <c r="K1672" s="81"/>
      <c r="L1672" s="155"/>
      <c r="M1672" s="155"/>
      <c r="N1672" s="109"/>
      <c r="O1672" s="126"/>
      <c r="P1672" s="126"/>
      <c r="Q1672" s="126"/>
      <c r="R1672" s="127"/>
      <c r="S1672" s="127"/>
      <c r="T1672" s="127"/>
      <c r="U1672" s="127"/>
    </row>
    <row r="1673" spans="1:21" ht="15" customHeight="1">
      <c r="A1673" s="125"/>
      <c r="B1673" s="125"/>
      <c r="C1673" s="125"/>
      <c r="D1673" s="81"/>
      <c r="E1673" s="81"/>
      <c r="F1673" s="97"/>
      <c r="G1673" s="81"/>
      <c r="H1673" s="81"/>
      <c r="I1673" s="81"/>
      <c r="J1673" s="81"/>
      <c r="K1673" s="81"/>
      <c r="L1673" s="155"/>
      <c r="M1673" s="155"/>
      <c r="N1673" s="109"/>
      <c r="O1673" s="126"/>
      <c r="P1673" s="126"/>
      <c r="Q1673" s="126"/>
      <c r="R1673" s="127"/>
      <c r="S1673" s="127"/>
      <c r="T1673" s="127"/>
      <c r="U1673" s="127"/>
    </row>
    <row r="1674" spans="1:21" ht="15" customHeight="1">
      <c r="A1674" s="125"/>
      <c r="B1674" s="125"/>
      <c r="C1674" s="125"/>
      <c r="D1674" s="81"/>
      <c r="E1674" s="81"/>
      <c r="F1674" s="97"/>
      <c r="G1674" s="81"/>
      <c r="H1674" s="81"/>
      <c r="I1674" s="81"/>
      <c r="J1674" s="81"/>
      <c r="K1674" s="81"/>
      <c r="L1674" s="155"/>
      <c r="M1674" s="155"/>
      <c r="N1674" s="109"/>
      <c r="O1674" s="126"/>
      <c r="P1674" s="126"/>
      <c r="Q1674" s="126"/>
      <c r="R1674" s="127"/>
      <c r="S1674" s="127"/>
      <c r="T1674" s="127"/>
      <c r="U1674" s="127"/>
    </row>
    <row r="1675" spans="1:21" ht="15" customHeight="1">
      <c r="A1675" s="125"/>
      <c r="B1675" s="125"/>
      <c r="C1675" s="125"/>
      <c r="D1675" s="81"/>
      <c r="E1675" s="81"/>
      <c r="F1675" s="97"/>
      <c r="G1675" s="81"/>
      <c r="H1675" s="81"/>
      <c r="I1675" s="81"/>
      <c r="J1675" s="81"/>
      <c r="K1675" s="81"/>
      <c r="L1675" s="155"/>
      <c r="M1675" s="155"/>
      <c r="N1675" s="109"/>
      <c r="O1675" s="126"/>
      <c r="P1675" s="126"/>
      <c r="Q1675" s="126"/>
      <c r="R1675" s="127"/>
      <c r="S1675" s="127"/>
      <c r="T1675" s="127"/>
      <c r="U1675" s="127"/>
    </row>
    <row r="1676" spans="1:21" ht="15" customHeight="1">
      <c r="A1676" s="125"/>
      <c r="B1676" s="125"/>
      <c r="C1676" s="125"/>
      <c r="D1676" s="81"/>
      <c r="E1676" s="81"/>
      <c r="F1676" s="97"/>
      <c r="G1676" s="81"/>
      <c r="H1676" s="81"/>
      <c r="I1676" s="81"/>
      <c r="J1676" s="81"/>
      <c r="K1676" s="81"/>
      <c r="L1676" s="155"/>
      <c r="M1676" s="155"/>
      <c r="N1676" s="109"/>
      <c r="O1676" s="126"/>
      <c r="P1676" s="126"/>
      <c r="Q1676" s="126"/>
      <c r="R1676" s="127"/>
      <c r="S1676" s="127"/>
      <c r="T1676" s="127"/>
      <c r="U1676" s="127"/>
    </row>
    <row r="1677" spans="1:21" ht="15" customHeight="1">
      <c r="A1677" s="125"/>
      <c r="B1677" s="125"/>
      <c r="C1677" s="125"/>
      <c r="D1677" s="81"/>
      <c r="E1677" s="81"/>
      <c r="F1677" s="97"/>
      <c r="G1677" s="81"/>
      <c r="H1677" s="81"/>
      <c r="I1677" s="81"/>
      <c r="J1677" s="81"/>
      <c r="K1677" s="81"/>
      <c r="L1677" s="155"/>
      <c r="M1677" s="155"/>
      <c r="N1677" s="109"/>
      <c r="O1677" s="126"/>
      <c r="P1677" s="126"/>
      <c r="Q1677" s="126"/>
      <c r="R1677" s="127"/>
      <c r="S1677" s="127"/>
      <c r="T1677" s="127"/>
      <c r="U1677" s="127"/>
    </row>
    <row r="1678" spans="1:21" ht="15" customHeight="1">
      <c r="A1678" s="125"/>
      <c r="B1678" s="125"/>
      <c r="C1678" s="125"/>
      <c r="D1678" s="81"/>
      <c r="E1678" s="81"/>
      <c r="F1678" s="97"/>
      <c r="G1678" s="81"/>
      <c r="H1678" s="81"/>
      <c r="I1678" s="81"/>
      <c r="J1678" s="81"/>
      <c r="K1678" s="81"/>
      <c r="L1678" s="155"/>
      <c r="M1678" s="155"/>
      <c r="N1678" s="109"/>
      <c r="O1678" s="126"/>
      <c r="P1678" s="126"/>
      <c r="Q1678" s="126"/>
      <c r="R1678" s="127"/>
      <c r="S1678" s="127"/>
      <c r="T1678" s="127"/>
      <c r="U1678" s="127"/>
    </row>
    <row r="1679" spans="1:21" ht="15" customHeight="1">
      <c r="A1679" s="125"/>
      <c r="B1679" s="125"/>
      <c r="C1679" s="125"/>
      <c r="D1679" s="81"/>
      <c r="E1679" s="81"/>
      <c r="F1679" s="97"/>
      <c r="G1679" s="81"/>
      <c r="H1679" s="81"/>
      <c r="I1679" s="81"/>
      <c r="J1679" s="81"/>
      <c r="K1679" s="81"/>
      <c r="L1679" s="155"/>
      <c r="M1679" s="155"/>
      <c r="N1679" s="109"/>
      <c r="O1679" s="126"/>
      <c r="P1679" s="126"/>
      <c r="Q1679" s="126"/>
      <c r="R1679" s="127"/>
      <c r="S1679" s="127"/>
      <c r="T1679" s="127"/>
      <c r="U1679" s="127"/>
    </row>
    <row r="1680" spans="1:21" ht="15" customHeight="1">
      <c r="A1680" s="125"/>
      <c r="B1680" s="125"/>
      <c r="C1680" s="125"/>
      <c r="D1680" s="81"/>
      <c r="E1680" s="81"/>
      <c r="F1680" s="97"/>
      <c r="G1680" s="81"/>
      <c r="H1680" s="81"/>
      <c r="I1680" s="81"/>
      <c r="J1680" s="81"/>
      <c r="K1680" s="81"/>
      <c r="L1680" s="155"/>
      <c r="M1680" s="155"/>
      <c r="N1680" s="109"/>
      <c r="O1680" s="126"/>
      <c r="P1680" s="126"/>
      <c r="Q1680" s="126"/>
      <c r="R1680" s="127"/>
      <c r="S1680" s="127"/>
      <c r="T1680" s="127"/>
      <c r="U1680" s="127"/>
    </row>
    <row r="1681" spans="1:21" ht="15" customHeight="1">
      <c r="A1681" s="125"/>
      <c r="B1681" s="125"/>
      <c r="C1681" s="125"/>
      <c r="D1681" s="81"/>
      <c r="E1681" s="81"/>
      <c r="F1681" s="97"/>
      <c r="G1681" s="81"/>
      <c r="H1681" s="81"/>
      <c r="I1681" s="81"/>
      <c r="J1681" s="81"/>
      <c r="K1681" s="81"/>
      <c r="L1681" s="155"/>
      <c r="M1681" s="155"/>
      <c r="N1681" s="109"/>
      <c r="O1681" s="126"/>
      <c r="P1681" s="126"/>
      <c r="Q1681" s="126"/>
      <c r="R1681" s="127"/>
      <c r="S1681" s="127"/>
      <c r="T1681" s="127"/>
      <c r="U1681" s="127"/>
    </row>
    <row r="1682" spans="1:21" ht="15" customHeight="1">
      <c r="A1682" s="125"/>
      <c r="B1682" s="125"/>
      <c r="C1682" s="125"/>
      <c r="D1682" s="81"/>
      <c r="E1682" s="81"/>
      <c r="F1682" s="97"/>
      <c r="G1682" s="81"/>
      <c r="H1682" s="81"/>
      <c r="I1682" s="81"/>
      <c r="J1682" s="81"/>
      <c r="K1682" s="81"/>
      <c r="L1682" s="155"/>
      <c r="M1682" s="155"/>
      <c r="N1682" s="109"/>
      <c r="O1682" s="126"/>
      <c r="P1682" s="126"/>
      <c r="Q1682" s="126"/>
      <c r="R1682" s="127"/>
      <c r="S1682" s="127"/>
      <c r="T1682" s="127"/>
      <c r="U1682" s="127"/>
    </row>
    <row r="1683" spans="1:21" ht="15" customHeight="1">
      <c r="A1683" s="125"/>
      <c r="B1683" s="125"/>
      <c r="C1683" s="125"/>
      <c r="D1683" s="81"/>
      <c r="E1683" s="81"/>
      <c r="F1683" s="97"/>
      <c r="G1683" s="81"/>
      <c r="H1683" s="81"/>
      <c r="I1683" s="81"/>
      <c r="J1683" s="81"/>
      <c r="K1683" s="81"/>
      <c r="L1683" s="155"/>
      <c r="M1683" s="155"/>
      <c r="N1683" s="109"/>
      <c r="O1683" s="126"/>
      <c r="P1683" s="126"/>
      <c r="Q1683" s="126"/>
      <c r="R1683" s="127"/>
      <c r="S1683" s="127"/>
      <c r="T1683" s="127"/>
      <c r="U1683" s="127"/>
    </row>
    <row r="1684" spans="1:21" ht="15" customHeight="1">
      <c r="A1684" s="125"/>
      <c r="B1684" s="125"/>
      <c r="C1684" s="125"/>
      <c r="D1684" s="81"/>
      <c r="E1684" s="81"/>
      <c r="F1684" s="97"/>
      <c r="G1684" s="81"/>
      <c r="H1684" s="81"/>
      <c r="I1684" s="81"/>
      <c r="J1684" s="81"/>
      <c r="K1684" s="81"/>
      <c r="L1684" s="155"/>
      <c r="M1684" s="155"/>
      <c r="N1684" s="109"/>
      <c r="O1684" s="126"/>
      <c r="P1684" s="126"/>
      <c r="Q1684" s="126"/>
      <c r="R1684" s="127"/>
      <c r="S1684" s="127"/>
      <c r="T1684" s="127"/>
      <c r="U1684" s="127"/>
    </row>
    <row r="1685" spans="1:21" ht="15" customHeight="1">
      <c r="A1685" s="125"/>
      <c r="B1685" s="125"/>
      <c r="C1685" s="125"/>
      <c r="D1685" s="81"/>
      <c r="E1685" s="81"/>
      <c r="F1685" s="97"/>
      <c r="G1685" s="81"/>
      <c r="H1685" s="81"/>
      <c r="I1685" s="81"/>
      <c r="J1685" s="81"/>
      <c r="K1685" s="81"/>
      <c r="L1685" s="155"/>
      <c r="M1685" s="155"/>
      <c r="N1685" s="109"/>
      <c r="O1685" s="126"/>
      <c r="P1685" s="126"/>
      <c r="Q1685" s="126"/>
      <c r="R1685" s="127"/>
      <c r="S1685" s="127"/>
      <c r="T1685" s="127"/>
      <c r="U1685" s="127"/>
    </row>
    <row r="1686" spans="1:21" ht="15" customHeight="1">
      <c r="A1686" s="125"/>
      <c r="B1686" s="125"/>
      <c r="C1686" s="125"/>
      <c r="D1686" s="81"/>
      <c r="E1686" s="81"/>
      <c r="F1686" s="97"/>
      <c r="G1686" s="81"/>
      <c r="H1686" s="81"/>
      <c r="I1686" s="81"/>
      <c r="J1686" s="81"/>
      <c r="K1686" s="81"/>
      <c r="L1686" s="155"/>
      <c r="M1686" s="155"/>
      <c r="N1686" s="109"/>
      <c r="O1686" s="126"/>
      <c r="P1686" s="126"/>
      <c r="Q1686" s="126"/>
      <c r="R1686" s="127"/>
      <c r="S1686" s="127"/>
      <c r="T1686" s="127"/>
      <c r="U1686" s="127"/>
    </row>
    <row r="1687" spans="1:21" ht="15" customHeight="1">
      <c r="A1687" s="125"/>
      <c r="B1687" s="125"/>
      <c r="C1687" s="125"/>
      <c r="D1687" s="81"/>
      <c r="E1687" s="81"/>
      <c r="F1687" s="97"/>
      <c r="G1687" s="81"/>
      <c r="H1687" s="81"/>
      <c r="I1687" s="81"/>
      <c r="J1687" s="81"/>
      <c r="K1687" s="81"/>
      <c r="L1687" s="155"/>
      <c r="M1687" s="155"/>
      <c r="N1687" s="109"/>
      <c r="O1687" s="126"/>
      <c r="P1687" s="126"/>
      <c r="Q1687" s="126"/>
      <c r="R1687" s="127"/>
      <c r="S1687" s="127"/>
      <c r="T1687" s="127"/>
      <c r="U1687" s="127"/>
    </row>
    <row r="1688" spans="1:21" ht="15" customHeight="1">
      <c r="A1688" s="125"/>
      <c r="B1688" s="125"/>
      <c r="C1688" s="125"/>
      <c r="D1688" s="81"/>
      <c r="E1688" s="81"/>
      <c r="F1688" s="97"/>
      <c r="G1688" s="81"/>
      <c r="H1688" s="81"/>
      <c r="I1688" s="81"/>
      <c r="J1688" s="81"/>
      <c r="K1688" s="81"/>
      <c r="L1688" s="155"/>
      <c r="M1688" s="155"/>
      <c r="N1688" s="109"/>
      <c r="O1688" s="126"/>
      <c r="P1688" s="126"/>
      <c r="Q1688" s="126"/>
      <c r="R1688" s="127"/>
      <c r="S1688" s="127"/>
      <c r="T1688" s="127"/>
      <c r="U1688" s="127"/>
    </row>
    <row r="1689" spans="1:21" ht="15" customHeight="1">
      <c r="A1689" s="125"/>
      <c r="B1689" s="125"/>
      <c r="C1689" s="125"/>
      <c r="D1689" s="81"/>
      <c r="E1689" s="81"/>
      <c r="F1689" s="97"/>
      <c r="G1689" s="81"/>
      <c r="H1689" s="81"/>
      <c r="I1689" s="81"/>
      <c r="J1689" s="81"/>
      <c r="K1689" s="81"/>
      <c r="L1689" s="155"/>
      <c r="M1689" s="155"/>
      <c r="N1689" s="109"/>
      <c r="O1689" s="126"/>
      <c r="P1689" s="126"/>
      <c r="Q1689" s="126"/>
      <c r="R1689" s="127"/>
      <c r="S1689" s="127"/>
      <c r="T1689" s="127"/>
      <c r="U1689" s="127"/>
    </row>
    <row r="1690" spans="1:21" ht="15" customHeight="1">
      <c r="A1690" s="125"/>
      <c r="B1690" s="125"/>
      <c r="C1690" s="125"/>
      <c r="D1690" s="81"/>
      <c r="E1690" s="81"/>
      <c r="F1690" s="97"/>
      <c r="G1690" s="81"/>
      <c r="H1690" s="81"/>
      <c r="I1690" s="81"/>
      <c r="J1690" s="81"/>
      <c r="K1690" s="81"/>
      <c r="L1690" s="155"/>
      <c r="M1690" s="155"/>
      <c r="N1690" s="109"/>
      <c r="O1690" s="126"/>
      <c r="P1690" s="126"/>
      <c r="Q1690" s="126"/>
      <c r="R1690" s="127"/>
      <c r="S1690" s="127"/>
      <c r="T1690" s="127"/>
      <c r="U1690" s="127"/>
    </row>
    <row r="1691" spans="1:21" ht="15" customHeight="1">
      <c r="A1691" s="125"/>
      <c r="B1691" s="125"/>
      <c r="C1691" s="125"/>
      <c r="D1691" s="81"/>
      <c r="E1691" s="81"/>
      <c r="F1691" s="97"/>
      <c r="G1691" s="81"/>
      <c r="H1691" s="81"/>
      <c r="I1691" s="81"/>
      <c r="J1691" s="81"/>
      <c r="K1691" s="81"/>
      <c r="L1691" s="155"/>
      <c r="M1691" s="155"/>
      <c r="N1691" s="109"/>
      <c r="O1691" s="126"/>
      <c r="P1691" s="126"/>
      <c r="Q1691" s="126"/>
      <c r="R1691" s="127"/>
      <c r="S1691" s="127"/>
      <c r="T1691" s="127"/>
      <c r="U1691" s="127"/>
    </row>
    <row r="1692" spans="1:21" ht="15" customHeight="1">
      <c r="A1692" s="125"/>
      <c r="B1692" s="125"/>
      <c r="C1692" s="125"/>
      <c r="D1692" s="81"/>
      <c r="E1692" s="81"/>
      <c r="F1692" s="97"/>
      <c r="G1692" s="81"/>
      <c r="H1692" s="81"/>
      <c r="I1692" s="81"/>
      <c r="J1692" s="81"/>
      <c r="K1692" s="81"/>
      <c r="L1692" s="155"/>
      <c r="M1692" s="155"/>
      <c r="N1692" s="109"/>
      <c r="O1692" s="126"/>
      <c r="P1692" s="126"/>
      <c r="Q1692" s="126"/>
      <c r="R1692" s="127"/>
      <c r="S1692" s="127"/>
      <c r="T1692" s="127"/>
      <c r="U1692" s="127"/>
    </row>
    <row r="1693" spans="1:21" ht="15" customHeight="1">
      <c r="A1693" s="125"/>
      <c r="B1693" s="125"/>
      <c r="C1693" s="125"/>
      <c r="D1693" s="81"/>
      <c r="E1693" s="81"/>
      <c r="F1693" s="97"/>
      <c r="G1693" s="81"/>
      <c r="H1693" s="81"/>
      <c r="I1693" s="81"/>
      <c r="J1693" s="81"/>
      <c r="K1693" s="81"/>
      <c r="L1693" s="155"/>
      <c r="M1693" s="155"/>
      <c r="N1693" s="109"/>
      <c r="O1693" s="126"/>
      <c r="P1693" s="126"/>
      <c r="Q1693" s="126"/>
      <c r="R1693" s="127"/>
      <c r="S1693" s="127"/>
      <c r="T1693" s="127"/>
      <c r="U1693" s="127"/>
    </row>
    <row r="1694" spans="1:21" ht="15" customHeight="1">
      <c r="A1694" s="125"/>
      <c r="B1694" s="125"/>
      <c r="C1694" s="125"/>
      <c r="D1694" s="81"/>
      <c r="E1694" s="81"/>
      <c r="F1694" s="97"/>
      <c r="G1694" s="81"/>
      <c r="H1694" s="81"/>
      <c r="I1694" s="81"/>
      <c r="J1694" s="81"/>
      <c r="K1694" s="81"/>
      <c r="L1694" s="155"/>
      <c r="M1694" s="155"/>
      <c r="N1694" s="109"/>
      <c r="O1694" s="126"/>
      <c r="P1694" s="126"/>
      <c r="Q1694" s="126"/>
      <c r="R1694" s="127"/>
      <c r="S1694" s="127"/>
      <c r="T1694" s="127"/>
      <c r="U1694" s="127"/>
    </row>
    <row r="1695" spans="1:21" ht="15" customHeight="1">
      <c r="A1695" s="125"/>
      <c r="B1695" s="125"/>
      <c r="C1695" s="125"/>
      <c r="D1695" s="81"/>
      <c r="E1695" s="81"/>
      <c r="F1695" s="97"/>
      <c r="G1695" s="81"/>
      <c r="H1695" s="81"/>
      <c r="I1695" s="81"/>
      <c r="J1695" s="81"/>
      <c r="K1695" s="81"/>
      <c r="L1695" s="155"/>
      <c r="M1695" s="155"/>
      <c r="N1695" s="109"/>
      <c r="O1695" s="126"/>
      <c r="P1695" s="126"/>
      <c r="Q1695" s="126"/>
      <c r="R1695" s="127"/>
      <c r="S1695" s="127"/>
      <c r="T1695" s="127"/>
      <c r="U1695" s="127"/>
    </row>
    <row r="1696" spans="1:21" ht="15" customHeight="1">
      <c r="A1696" s="125"/>
      <c r="B1696" s="125"/>
      <c r="C1696" s="125"/>
      <c r="D1696" s="81"/>
      <c r="E1696" s="81"/>
      <c r="F1696" s="97"/>
      <c r="G1696" s="81"/>
      <c r="H1696" s="81"/>
      <c r="I1696" s="81"/>
      <c r="J1696" s="81"/>
      <c r="K1696" s="81"/>
      <c r="L1696" s="155"/>
      <c r="M1696" s="155"/>
      <c r="N1696" s="109"/>
      <c r="O1696" s="126"/>
      <c r="P1696" s="126"/>
      <c r="Q1696" s="126"/>
      <c r="R1696" s="127"/>
      <c r="S1696" s="127"/>
      <c r="T1696" s="127"/>
      <c r="U1696" s="127"/>
    </row>
    <row r="1697" spans="1:21" ht="15" customHeight="1">
      <c r="A1697" s="125"/>
      <c r="B1697" s="125"/>
      <c r="C1697" s="125"/>
      <c r="D1697" s="81"/>
      <c r="E1697" s="81"/>
      <c r="F1697" s="97"/>
      <c r="G1697" s="81"/>
      <c r="H1697" s="81"/>
      <c r="I1697" s="81"/>
      <c r="J1697" s="81"/>
      <c r="K1697" s="81"/>
      <c r="L1697" s="155"/>
      <c r="M1697" s="155"/>
      <c r="N1697" s="109"/>
      <c r="O1697" s="126"/>
      <c r="P1697" s="126"/>
      <c r="Q1697" s="126"/>
      <c r="R1697" s="127"/>
      <c r="S1697" s="127"/>
      <c r="T1697" s="127"/>
      <c r="U1697" s="127"/>
    </row>
    <row r="1698" spans="1:21" ht="15" customHeight="1">
      <c r="A1698" s="125"/>
      <c r="B1698" s="125"/>
      <c r="C1698" s="125"/>
      <c r="D1698" s="81"/>
      <c r="E1698" s="81"/>
      <c r="F1698" s="97"/>
      <c r="G1698" s="81"/>
      <c r="H1698" s="81"/>
      <c r="I1698" s="81"/>
      <c r="J1698" s="81"/>
      <c r="K1698" s="81"/>
      <c r="L1698" s="155"/>
      <c r="M1698" s="155"/>
      <c r="N1698" s="109"/>
      <c r="O1698" s="126"/>
      <c r="P1698" s="126"/>
      <c r="Q1698" s="126"/>
      <c r="R1698" s="127"/>
      <c r="S1698" s="127"/>
      <c r="T1698" s="127"/>
      <c r="U1698" s="127"/>
    </row>
    <row r="1699" spans="1:21" ht="15" customHeight="1">
      <c r="A1699" s="125"/>
      <c r="B1699" s="125"/>
      <c r="C1699" s="125"/>
      <c r="D1699" s="81"/>
      <c r="E1699" s="81"/>
      <c r="F1699" s="97"/>
      <c r="G1699" s="81"/>
      <c r="H1699" s="81"/>
      <c r="I1699" s="81"/>
      <c r="J1699" s="81"/>
      <c r="K1699" s="81"/>
      <c r="L1699" s="155"/>
      <c r="M1699" s="155"/>
      <c r="N1699" s="109"/>
      <c r="O1699" s="126"/>
      <c r="P1699" s="126"/>
      <c r="Q1699" s="126"/>
      <c r="R1699" s="127"/>
      <c r="S1699" s="127"/>
      <c r="T1699" s="127"/>
      <c r="U1699" s="127"/>
    </row>
    <row r="1700" spans="1:21" ht="15" customHeight="1">
      <c r="A1700" s="125"/>
      <c r="B1700" s="125"/>
      <c r="C1700" s="125"/>
      <c r="D1700" s="81"/>
      <c r="E1700" s="81"/>
      <c r="F1700" s="97"/>
      <c r="G1700" s="81"/>
      <c r="H1700" s="81"/>
      <c r="I1700" s="81"/>
      <c r="J1700" s="81"/>
      <c r="K1700" s="81"/>
      <c r="L1700" s="155"/>
      <c r="M1700" s="155"/>
      <c r="N1700" s="109"/>
      <c r="O1700" s="126"/>
      <c r="P1700" s="126"/>
      <c r="Q1700" s="126"/>
      <c r="R1700" s="127"/>
      <c r="S1700" s="127"/>
      <c r="T1700" s="127"/>
      <c r="U1700" s="127"/>
    </row>
    <row r="1701" spans="1:21" ht="15" customHeight="1">
      <c r="A1701" s="125"/>
      <c r="B1701" s="125"/>
      <c r="C1701" s="125"/>
      <c r="D1701" s="81"/>
      <c r="E1701" s="81"/>
      <c r="F1701" s="97"/>
      <c r="G1701" s="81"/>
      <c r="H1701" s="81"/>
      <c r="I1701" s="81"/>
      <c r="J1701" s="81"/>
      <c r="K1701" s="81"/>
      <c r="L1701" s="155"/>
      <c r="M1701" s="155"/>
      <c r="N1701" s="109"/>
      <c r="O1701" s="126"/>
      <c r="P1701" s="126"/>
      <c r="Q1701" s="126"/>
      <c r="R1701" s="127"/>
      <c r="S1701" s="127"/>
      <c r="T1701" s="127"/>
      <c r="U1701" s="127"/>
    </row>
    <row r="1702" spans="1:21" ht="15" customHeight="1">
      <c r="A1702" s="125"/>
      <c r="B1702" s="125"/>
      <c r="C1702" s="125"/>
      <c r="D1702" s="81"/>
      <c r="E1702" s="81"/>
      <c r="F1702" s="97"/>
      <c r="G1702" s="81"/>
      <c r="H1702" s="81"/>
      <c r="I1702" s="81"/>
      <c r="J1702" s="81"/>
      <c r="K1702" s="81"/>
      <c r="L1702" s="155"/>
      <c r="M1702" s="155"/>
      <c r="N1702" s="109"/>
      <c r="O1702" s="126"/>
      <c r="P1702" s="126"/>
      <c r="Q1702" s="126"/>
      <c r="R1702" s="127"/>
      <c r="S1702" s="127"/>
      <c r="T1702" s="127"/>
      <c r="U1702" s="127"/>
    </row>
    <row r="1703" spans="1:21" ht="15" customHeight="1">
      <c r="A1703" s="125"/>
      <c r="B1703" s="125"/>
      <c r="C1703" s="125"/>
      <c r="D1703" s="81"/>
      <c r="E1703" s="81"/>
      <c r="F1703" s="97"/>
      <c r="G1703" s="81"/>
      <c r="H1703" s="81"/>
      <c r="I1703" s="81"/>
      <c r="J1703" s="81"/>
      <c r="K1703" s="81"/>
      <c r="L1703" s="155"/>
      <c r="M1703" s="155"/>
      <c r="N1703" s="109"/>
      <c r="O1703" s="126"/>
      <c r="P1703" s="126"/>
      <c r="Q1703" s="126"/>
      <c r="R1703" s="127"/>
      <c r="S1703" s="127"/>
      <c r="T1703" s="127"/>
      <c r="U1703" s="127"/>
    </row>
    <row r="1704" spans="1:21" ht="15" customHeight="1">
      <c r="A1704" s="125"/>
      <c r="B1704" s="125"/>
      <c r="C1704" s="125"/>
      <c r="D1704" s="81"/>
      <c r="E1704" s="81"/>
      <c r="F1704" s="97"/>
      <c r="G1704" s="81"/>
      <c r="H1704" s="81"/>
      <c r="I1704" s="81"/>
      <c r="J1704" s="81"/>
      <c r="K1704" s="81"/>
      <c r="L1704" s="155"/>
      <c r="M1704" s="155"/>
      <c r="N1704" s="109"/>
      <c r="O1704" s="126"/>
      <c r="P1704" s="126"/>
      <c r="Q1704" s="126"/>
      <c r="R1704" s="127"/>
      <c r="S1704" s="127"/>
      <c r="T1704" s="127"/>
      <c r="U1704" s="127"/>
    </row>
    <row r="1705" spans="1:21" ht="15" customHeight="1">
      <c r="A1705" s="125"/>
      <c r="B1705" s="125"/>
      <c r="C1705" s="125"/>
      <c r="D1705" s="81"/>
      <c r="E1705" s="81"/>
      <c r="F1705" s="97"/>
      <c r="G1705" s="81"/>
      <c r="H1705" s="81"/>
      <c r="I1705" s="81"/>
      <c r="J1705" s="81"/>
      <c r="K1705" s="81"/>
      <c r="L1705" s="155"/>
      <c r="M1705" s="155"/>
      <c r="N1705" s="109"/>
      <c r="O1705" s="126"/>
      <c r="P1705" s="126"/>
      <c r="Q1705" s="126"/>
      <c r="R1705" s="127"/>
      <c r="S1705" s="127"/>
      <c r="T1705" s="127"/>
      <c r="U1705" s="127"/>
    </row>
    <row r="1706" spans="1:21" ht="15" customHeight="1">
      <c r="A1706" s="125"/>
      <c r="B1706" s="125"/>
      <c r="C1706" s="125"/>
      <c r="D1706" s="81"/>
      <c r="E1706" s="81"/>
      <c r="F1706" s="97"/>
      <c r="G1706" s="81"/>
      <c r="H1706" s="81"/>
      <c r="I1706" s="81"/>
      <c r="J1706" s="81"/>
      <c r="K1706" s="81"/>
      <c r="L1706" s="155"/>
      <c r="M1706" s="155"/>
      <c r="N1706" s="109"/>
      <c r="O1706" s="126"/>
      <c r="P1706" s="126"/>
      <c r="Q1706" s="126"/>
      <c r="R1706" s="127"/>
      <c r="S1706" s="127"/>
      <c r="T1706" s="127"/>
      <c r="U1706" s="127"/>
    </row>
    <row r="1707" spans="1:21" ht="15" customHeight="1">
      <c r="A1707" s="125"/>
      <c r="B1707" s="125"/>
      <c r="C1707" s="125"/>
      <c r="D1707" s="81"/>
      <c r="E1707" s="81"/>
      <c r="F1707" s="97"/>
      <c r="G1707" s="81"/>
      <c r="H1707" s="81"/>
      <c r="I1707" s="81"/>
      <c r="J1707" s="81"/>
      <c r="K1707" s="81"/>
      <c r="L1707" s="155"/>
      <c r="M1707" s="155"/>
      <c r="N1707" s="109"/>
      <c r="O1707" s="126"/>
      <c r="P1707" s="126"/>
      <c r="Q1707" s="126"/>
      <c r="R1707" s="127"/>
      <c r="S1707" s="127"/>
      <c r="T1707" s="127"/>
      <c r="U1707" s="127"/>
    </row>
    <row r="1708" spans="1:21" ht="15" customHeight="1">
      <c r="A1708" s="125"/>
      <c r="B1708" s="125"/>
      <c r="C1708" s="125"/>
      <c r="D1708" s="81"/>
      <c r="E1708" s="81"/>
      <c r="F1708" s="97"/>
      <c r="G1708" s="81"/>
      <c r="H1708" s="81"/>
      <c r="I1708" s="81"/>
      <c r="J1708" s="81"/>
      <c r="K1708" s="81"/>
      <c r="L1708" s="155"/>
      <c r="M1708" s="155"/>
      <c r="N1708" s="109"/>
      <c r="O1708" s="126"/>
      <c r="P1708" s="126"/>
      <c r="Q1708" s="126"/>
      <c r="R1708" s="127"/>
      <c r="S1708" s="127"/>
      <c r="T1708" s="127"/>
      <c r="U1708" s="127"/>
    </row>
    <row r="1709" spans="1:21" ht="15" customHeight="1">
      <c r="A1709" s="125"/>
      <c r="B1709" s="125"/>
      <c r="C1709" s="125"/>
      <c r="D1709" s="81"/>
      <c r="E1709" s="81"/>
      <c r="F1709" s="97"/>
      <c r="G1709" s="81"/>
      <c r="H1709" s="81"/>
      <c r="I1709" s="81"/>
      <c r="J1709" s="81"/>
      <c r="K1709" s="81"/>
      <c r="L1709" s="155"/>
      <c r="M1709" s="155"/>
      <c r="N1709" s="109"/>
      <c r="O1709" s="126"/>
      <c r="P1709" s="126"/>
      <c r="Q1709" s="126"/>
      <c r="R1709" s="127"/>
      <c r="S1709" s="127"/>
      <c r="T1709" s="127"/>
      <c r="U1709" s="127"/>
    </row>
    <row r="1710" spans="1:21" ht="15" customHeight="1">
      <c r="A1710" s="125"/>
      <c r="B1710" s="125"/>
      <c r="C1710" s="125"/>
      <c r="D1710" s="81"/>
      <c r="E1710" s="81"/>
      <c r="F1710" s="97"/>
      <c r="G1710" s="81"/>
      <c r="H1710" s="81"/>
      <c r="I1710" s="81"/>
      <c r="J1710" s="81"/>
      <c r="K1710" s="81"/>
      <c r="L1710" s="155"/>
      <c r="M1710" s="155"/>
      <c r="N1710" s="109"/>
      <c r="O1710" s="126"/>
      <c r="P1710" s="126"/>
      <c r="Q1710" s="126"/>
      <c r="R1710" s="127"/>
      <c r="S1710" s="127"/>
      <c r="T1710" s="127"/>
      <c r="U1710" s="127"/>
    </row>
    <row r="1711" spans="1:21" ht="15" customHeight="1">
      <c r="A1711" s="125"/>
      <c r="B1711" s="125"/>
      <c r="C1711" s="125"/>
      <c r="D1711" s="81"/>
      <c r="E1711" s="81"/>
      <c r="F1711" s="97"/>
      <c r="G1711" s="81"/>
      <c r="H1711" s="81"/>
      <c r="I1711" s="81"/>
      <c r="J1711" s="81"/>
      <c r="K1711" s="81"/>
      <c r="L1711" s="155"/>
      <c r="M1711" s="155"/>
      <c r="N1711" s="109"/>
      <c r="O1711" s="126"/>
      <c r="P1711" s="126"/>
      <c r="Q1711" s="126"/>
      <c r="R1711" s="127"/>
      <c r="S1711" s="127"/>
      <c r="T1711" s="127"/>
      <c r="U1711" s="127"/>
    </row>
    <row r="1712" spans="1:21" ht="15" customHeight="1">
      <c r="A1712" s="125"/>
      <c r="B1712" s="125"/>
      <c r="C1712" s="125"/>
      <c r="D1712" s="81"/>
      <c r="E1712" s="81"/>
      <c r="F1712" s="97"/>
      <c r="G1712" s="81"/>
      <c r="H1712" s="81"/>
      <c r="I1712" s="81"/>
      <c r="J1712" s="81"/>
      <c r="K1712" s="81"/>
      <c r="L1712" s="155"/>
      <c r="M1712" s="155"/>
      <c r="N1712" s="109"/>
      <c r="O1712" s="126"/>
      <c r="P1712" s="126"/>
      <c r="Q1712" s="126"/>
      <c r="R1712" s="127"/>
      <c r="S1712" s="127"/>
      <c r="T1712" s="127"/>
      <c r="U1712" s="127"/>
    </row>
    <row r="1713" spans="1:21" ht="15" customHeight="1">
      <c r="A1713" s="125"/>
      <c r="B1713" s="125"/>
      <c r="C1713" s="125"/>
      <c r="D1713" s="81"/>
      <c r="E1713" s="81"/>
      <c r="F1713" s="97"/>
      <c r="G1713" s="81"/>
      <c r="H1713" s="81"/>
      <c r="I1713" s="81"/>
      <c r="J1713" s="81"/>
      <c r="K1713" s="81"/>
      <c r="L1713" s="155"/>
      <c r="M1713" s="155"/>
      <c r="N1713" s="109"/>
      <c r="O1713" s="126"/>
      <c r="P1713" s="126"/>
      <c r="Q1713" s="126"/>
      <c r="R1713" s="127"/>
      <c r="S1713" s="127"/>
      <c r="T1713" s="127"/>
      <c r="U1713" s="127"/>
    </row>
    <row r="1714" spans="1:21" ht="15" customHeight="1">
      <c r="A1714" s="125"/>
      <c r="B1714" s="125"/>
      <c r="C1714" s="125"/>
      <c r="D1714" s="81"/>
      <c r="E1714" s="81"/>
      <c r="F1714" s="97"/>
      <c r="G1714" s="81"/>
      <c r="H1714" s="81"/>
      <c r="I1714" s="81"/>
      <c r="J1714" s="81"/>
      <c r="K1714" s="81"/>
      <c r="L1714" s="155"/>
      <c r="M1714" s="155"/>
      <c r="N1714" s="109"/>
      <c r="O1714" s="126"/>
      <c r="P1714" s="126"/>
      <c r="Q1714" s="126"/>
      <c r="R1714" s="127"/>
      <c r="S1714" s="127"/>
      <c r="T1714" s="127"/>
      <c r="U1714" s="127"/>
    </row>
    <row r="1715" spans="1:21" ht="15" customHeight="1">
      <c r="A1715" s="125"/>
      <c r="B1715" s="125"/>
      <c r="C1715" s="125"/>
      <c r="D1715" s="81"/>
      <c r="E1715" s="81"/>
      <c r="F1715" s="97"/>
      <c r="G1715" s="81"/>
      <c r="H1715" s="81"/>
      <c r="I1715" s="81"/>
      <c r="J1715" s="81"/>
      <c r="K1715" s="81"/>
      <c r="L1715" s="155"/>
      <c r="M1715" s="155"/>
      <c r="N1715" s="109"/>
      <c r="O1715" s="126"/>
      <c r="P1715" s="126"/>
      <c r="Q1715" s="126"/>
      <c r="R1715" s="127"/>
      <c r="S1715" s="127"/>
      <c r="T1715" s="127"/>
      <c r="U1715" s="127"/>
    </row>
    <row r="1716" spans="1:21" ht="15" customHeight="1">
      <c r="A1716" s="125"/>
      <c r="B1716" s="125"/>
      <c r="C1716" s="125"/>
      <c r="D1716" s="81"/>
      <c r="E1716" s="81"/>
      <c r="F1716" s="97"/>
      <c r="G1716" s="81"/>
      <c r="H1716" s="81"/>
      <c r="I1716" s="81"/>
      <c r="J1716" s="81"/>
      <c r="K1716" s="81"/>
      <c r="L1716" s="155"/>
      <c r="M1716" s="155"/>
      <c r="N1716" s="109"/>
      <c r="O1716" s="126"/>
      <c r="P1716" s="126"/>
      <c r="Q1716" s="126"/>
      <c r="R1716" s="127"/>
      <c r="S1716" s="127"/>
      <c r="T1716" s="127"/>
      <c r="U1716" s="127"/>
    </row>
    <row r="1717" spans="1:21" ht="15" customHeight="1">
      <c r="A1717" s="125"/>
      <c r="B1717" s="125"/>
      <c r="C1717" s="125"/>
      <c r="D1717" s="81"/>
      <c r="E1717" s="81"/>
      <c r="F1717" s="97"/>
      <c r="G1717" s="81"/>
      <c r="H1717" s="81"/>
      <c r="I1717" s="81"/>
      <c r="J1717" s="81"/>
      <c r="K1717" s="81"/>
      <c r="L1717" s="155"/>
      <c r="M1717" s="155"/>
      <c r="N1717" s="109"/>
      <c r="O1717" s="126"/>
      <c r="P1717" s="126"/>
      <c r="Q1717" s="126"/>
      <c r="R1717" s="127"/>
      <c r="S1717" s="127"/>
      <c r="T1717" s="127"/>
      <c r="U1717" s="127"/>
    </row>
    <row r="1718" spans="1:21" ht="15" customHeight="1">
      <c r="A1718" s="125"/>
      <c r="B1718" s="125"/>
      <c r="C1718" s="125"/>
      <c r="D1718" s="81"/>
      <c r="E1718" s="81"/>
      <c r="F1718" s="97"/>
      <c r="G1718" s="81"/>
      <c r="H1718" s="81"/>
      <c r="I1718" s="81"/>
      <c r="J1718" s="81"/>
      <c r="K1718" s="81"/>
      <c r="L1718" s="155"/>
      <c r="M1718" s="155"/>
      <c r="N1718" s="109"/>
      <c r="O1718" s="126"/>
      <c r="P1718" s="126"/>
      <c r="Q1718" s="126"/>
      <c r="R1718" s="127"/>
      <c r="S1718" s="127"/>
      <c r="T1718" s="127"/>
      <c r="U1718" s="127"/>
    </row>
    <row r="1719" spans="1:21" ht="15" customHeight="1">
      <c r="A1719" s="125"/>
      <c r="B1719" s="125"/>
      <c r="C1719" s="125"/>
      <c r="D1719" s="81"/>
      <c r="E1719" s="81"/>
      <c r="F1719" s="97"/>
      <c r="G1719" s="81"/>
      <c r="H1719" s="81"/>
      <c r="I1719" s="81"/>
      <c r="J1719" s="81"/>
      <c r="K1719" s="81"/>
      <c r="L1719" s="155"/>
      <c r="M1719" s="155"/>
      <c r="N1719" s="109"/>
      <c r="O1719" s="126"/>
      <c r="P1719" s="126"/>
      <c r="Q1719" s="126"/>
      <c r="R1719" s="127"/>
      <c r="S1719" s="127"/>
      <c r="T1719" s="127"/>
      <c r="U1719" s="127"/>
    </row>
    <row r="1720" spans="1:21" ht="15" customHeight="1">
      <c r="A1720" s="125"/>
      <c r="B1720" s="125"/>
      <c r="C1720" s="125"/>
      <c r="D1720" s="81"/>
      <c r="E1720" s="81"/>
      <c r="F1720" s="97"/>
      <c r="G1720" s="81"/>
      <c r="H1720" s="81"/>
      <c r="I1720" s="81"/>
      <c r="J1720" s="81"/>
      <c r="K1720" s="81"/>
      <c r="L1720" s="155"/>
      <c r="M1720" s="155"/>
      <c r="N1720" s="109"/>
      <c r="O1720" s="126"/>
      <c r="P1720" s="126"/>
      <c r="Q1720" s="126"/>
      <c r="R1720" s="127"/>
      <c r="S1720" s="127"/>
      <c r="T1720" s="127"/>
      <c r="U1720" s="127"/>
    </row>
    <row r="1721" spans="1:21" ht="15" customHeight="1">
      <c r="A1721" s="125"/>
      <c r="B1721" s="125"/>
      <c r="C1721" s="125"/>
      <c r="D1721" s="81"/>
      <c r="E1721" s="81"/>
      <c r="F1721" s="97"/>
      <c r="G1721" s="81"/>
      <c r="H1721" s="81"/>
      <c r="I1721" s="81"/>
      <c r="J1721" s="81"/>
      <c r="K1721" s="81"/>
      <c r="L1721" s="155"/>
      <c r="M1721" s="155"/>
      <c r="N1721" s="109"/>
      <c r="O1721" s="126"/>
      <c r="P1721" s="126"/>
      <c r="Q1721" s="126"/>
      <c r="R1721" s="127"/>
      <c r="S1721" s="127"/>
      <c r="T1721" s="127"/>
      <c r="U1721" s="127"/>
    </row>
    <row r="1722" spans="1:21" ht="15" customHeight="1">
      <c r="A1722" s="125"/>
      <c r="B1722" s="125"/>
      <c r="C1722" s="125"/>
      <c r="D1722" s="81"/>
      <c r="E1722" s="81"/>
      <c r="F1722" s="97"/>
      <c r="G1722" s="81"/>
      <c r="H1722" s="81"/>
      <c r="I1722" s="81"/>
      <c r="J1722" s="81"/>
      <c r="K1722" s="81"/>
      <c r="L1722" s="155"/>
      <c r="M1722" s="155"/>
      <c r="N1722" s="109"/>
      <c r="O1722" s="126"/>
      <c r="P1722" s="126"/>
      <c r="Q1722" s="126"/>
      <c r="R1722" s="127"/>
      <c r="S1722" s="127"/>
      <c r="T1722" s="127"/>
      <c r="U1722" s="127"/>
    </row>
    <row r="1723" spans="1:21" ht="15" customHeight="1">
      <c r="A1723" s="125"/>
      <c r="B1723" s="125"/>
      <c r="C1723" s="125"/>
      <c r="D1723" s="81"/>
      <c r="E1723" s="81"/>
      <c r="F1723" s="97"/>
      <c r="G1723" s="81"/>
      <c r="H1723" s="81"/>
      <c r="I1723" s="81"/>
      <c r="J1723" s="81"/>
      <c r="K1723" s="81"/>
      <c r="L1723" s="155"/>
      <c r="M1723" s="155"/>
      <c r="N1723" s="109"/>
      <c r="O1723" s="126"/>
      <c r="P1723" s="126"/>
      <c r="Q1723" s="126"/>
      <c r="R1723" s="127"/>
      <c r="S1723" s="127"/>
      <c r="T1723" s="127"/>
      <c r="U1723" s="127"/>
    </row>
    <row r="1724" spans="1:21" ht="15" customHeight="1">
      <c r="A1724" s="125"/>
      <c r="B1724" s="125"/>
      <c r="C1724" s="125"/>
      <c r="D1724" s="81"/>
      <c r="E1724" s="81"/>
      <c r="F1724" s="97"/>
      <c r="G1724" s="81"/>
      <c r="H1724" s="81"/>
      <c r="I1724" s="81"/>
      <c r="J1724" s="81"/>
      <c r="K1724" s="81"/>
      <c r="L1724" s="155"/>
      <c r="M1724" s="155"/>
      <c r="N1724" s="109"/>
      <c r="O1724" s="126"/>
      <c r="P1724" s="126"/>
      <c r="Q1724" s="126"/>
      <c r="R1724" s="127"/>
      <c r="S1724" s="127"/>
      <c r="T1724" s="127"/>
      <c r="U1724" s="127"/>
    </row>
    <row r="1725" spans="1:21" ht="15" customHeight="1">
      <c r="A1725" s="125"/>
      <c r="B1725" s="125"/>
      <c r="C1725" s="125"/>
      <c r="D1725" s="81"/>
      <c r="E1725" s="81"/>
      <c r="F1725" s="97"/>
      <c r="G1725" s="81"/>
      <c r="H1725" s="81"/>
      <c r="I1725" s="81"/>
      <c r="J1725" s="81"/>
      <c r="K1725" s="81"/>
      <c r="L1725" s="155"/>
      <c r="M1725" s="155"/>
      <c r="N1725" s="109"/>
      <c r="O1725" s="126"/>
      <c r="P1725" s="126"/>
      <c r="Q1725" s="126"/>
      <c r="R1725" s="127"/>
      <c r="S1725" s="127"/>
      <c r="T1725" s="127"/>
      <c r="U1725" s="127"/>
    </row>
    <row r="1726" spans="1:21" ht="15" customHeight="1">
      <c r="A1726" s="125"/>
      <c r="B1726" s="125"/>
      <c r="C1726" s="125"/>
      <c r="D1726" s="81"/>
      <c r="E1726" s="81"/>
      <c r="F1726" s="97"/>
      <c r="G1726" s="81"/>
      <c r="H1726" s="81"/>
      <c r="I1726" s="81"/>
      <c r="J1726" s="81"/>
      <c r="K1726" s="81"/>
      <c r="L1726" s="155"/>
      <c r="M1726" s="155"/>
      <c r="N1726" s="109"/>
      <c r="O1726" s="126"/>
      <c r="P1726" s="126"/>
      <c r="Q1726" s="126"/>
      <c r="R1726" s="127"/>
      <c r="S1726" s="127"/>
      <c r="T1726" s="127"/>
      <c r="U1726" s="127"/>
    </row>
    <row r="1727" spans="1:21" ht="15" customHeight="1">
      <c r="A1727" s="125"/>
      <c r="B1727" s="125"/>
      <c r="C1727" s="125"/>
      <c r="D1727" s="81"/>
      <c r="E1727" s="81"/>
      <c r="F1727" s="97"/>
      <c r="G1727" s="81"/>
      <c r="H1727" s="81"/>
      <c r="I1727" s="81"/>
      <c r="J1727" s="81"/>
      <c r="K1727" s="81"/>
      <c r="L1727" s="155"/>
      <c r="M1727" s="155"/>
      <c r="N1727" s="109"/>
      <c r="O1727" s="126"/>
      <c r="P1727" s="126"/>
      <c r="Q1727" s="126"/>
      <c r="R1727" s="127"/>
      <c r="S1727" s="127"/>
      <c r="T1727" s="127"/>
      <c r="U1727" s="127"/>
    </row>
    <row r="1728" spans="1:21" ht="15" customHeight="1">
      <c r="A1728" s="125"/>
      <c r="B1728" s="125"/>
      <c r="C1728" s="125"/>
      <c r="D1728" s="81"/>
      <c r="E1728" s="81"/>
      <c r="F1728" s="97"/>
      <c r="G1728" s="81"/>
      <c r="H1728" s="81"/>
      <c r="I1728" s="81"/>
      <c r="J1728" s="81"/>
      <c r="K1728" s="81"/>
      <c r="L1728" s="155"/>
      <c r="M1728" s="155"/>
      <c r="N1728" s="109"/>
      <c r="O1728" s="126"/>
      <c r="P1728" s="126"/>
      <c r="Q1728" s="126"/>
      <c r="R1728" s="127"/>
      <c r="S1728" s="127"/>
      <c r="T1728" s="127"/>
      <c r="U1728" s="127"/>
    </row>
    <row r="1729" spans="1:21" ht="15" customHeight="1">
      <c r="A1729" s="125"/>
      <c r="B1729" s="125"/>
      <c r="C1729" s="125"/>
      <c r="D1729" s="81"/>
      <c r="E1729" s="81"/>
      <c r="F1729" s="97"/>
      <c r="G1729" s="81"/>
      <c r="H1729" s="81"/>
      <c r="I1729" s="81"/>
      <c r="J1729" s="81"/>
      <c r="K1729" s="81"/>
      <c r="L1729" s="155"/>
      <c r="M1729" s="155"/>
      <c r="N1729" s="109"/>
      <c r="O1729" s="126"/>
      <c r="P1729" s="126"/>
      <c r="Q1729" s="126"/>
      <c r="R1729" s="127"/>
      <c r="S1729" s="127"/>
      <c r="T1729" s="127"/>
      <c r="U1729" s="127"/>
    </row>
    <row r="1730" spans="1:21" ht="15" customHeight="1">
      <c r="A1730" s="125"/>
      <c r="B1730" s="125"/>
      <c r="C1730" s="125"/>
      <c r="D1730" s="81"/>
      <c r="E1730" s="81"/>
      <c r="F1730" s="97"/>
      <c r="G1730" s="81"/>
      <c r="H1730" s="81"/>
      <c r="I1730" s="81"/>
      <c r="J1730" s="81"/>
      <c r="K1730" s="81"/>
      <c r="L1730" s="155"/>
      <c r="M1730" s="155"/>
      <c r="N1730" s="109"/>
      <c r="O1730" s="126"/>
      <c r="P1730" s="126"/>
      <c r="Q1730" s="126"/>
      <c r="R1730" s="127"/>
      <c r="S1730" s="127"/>
      <c r="T1730" s="127"/>
      <c r="U1730" s="127"/>
    </row>
    <row r="1731" spans="1:21" ht="15" customHeight="1">
      <c r="A1731" s="125"/>
      <c r="B1731" s="125"/>
      <c r="C1731" s="125"/>
      <c r="D1731" s="81"/>
      <c r="E1731" s="81"/>
      <c r="F1731" s="97"/>
      <c r="G1731" s="81"/>
      <c r="H1731" s="81"/>
      <c r="I1731" s="81"/>
      <c r="J1731" s="81"/>
      <c r="K1731" s="81"/>
      <c r="L1731" s="155"/>
      <c r="M1731" s="155"/>
      <c r="N1731" s="109"/>
      <c r="O1731" s="126"/>
      <c r="P1731" s="126"/>
      <c r="Q1731" s="126"/>
      <c r="R1731" s="127"/>
      <c r="S1731" s="127"/>
      <c r="T1731" s="127"/>
      <c r="U1731" s="127"/>
    </row>
    <row r="1732" spans="1:21" ht="15" customHeight="1">
      <c r="A1732" s="125"/>
      <c r="B1732" s="125"/>
      <c r="C1732" s="125"/>
      <c r="D1732" s="81"/>
      <c r="E1732" s="81"/>
      <c r="F1732" s="97"/>
      <c r="G1732" s="81"/>
      <c r="H1732" s="81"/>
      <c r="I1732" s="81"/>
      <c r="J1732" s="81"/>
      <c r="K1732" s="81"/>
      <c r="L1732" s="155"/>
      <c r="M1732" s="155"/>
      <c r="N1732" s="109"/>
      <c r="O1732" s="126"/>
      <c r="P1732" s="126"/>
      <c r="Q1732" s="126"/>
      <c r="R1732" s="127"/>
      <c r="S1732" s="127"/>
      <c r="T1732" s="127"/>
      <c r="U1732" s="127"/>
    </row>
    <row r="1733" spans="1:21" ht="15" customHeight="1">
      <c r="A1733" s="125"/>
      <c r="B1733" s="125"/>
      <c r="C1733" s="125"/>
      <c r="D1733" s="81"/>
      <c r="E1733" s="81"/>
      <c r="F1733" s="97"/>
      <c r="G1733" s="81"/>
      <c r="H1733" s="81"/>
      <c r="I1733" s="81"/>
      <c r="J1733" s="81"/>
      <c r="K1733" s="81"/>
      <c r="L1733" s="155"/>
      <c r="M1733" s="155"/>
      <c r="N1733" s="109"/>
      <c r="O1733" s="126"/>
      <c r="P1733" s="126"/>
      <c r="Q1733" s="126"/>
      <c r="R1733" s="127"/>
      <c r="S1733" s="127"/>
      <c r="T1733" s="127"/>
      <c r="U1733" s="127"/>
    </row>
    <row r="1734" spans="1:21" ht="15" customHeight="1">
      <c r="A1734" s="125"/>
      <c r="B1734" s="125"/>
      <c r="C1734" s="125"/>
      <c r="D1734" s="81"/>
      <c r="E1734" s="81"/>
      <c r="F1734" s="97"/>
      <c r="G1734" s="81"/>
      <c r="H1734" s="81"/>
      <c r="I1734" s="81"/>
      <c r="J1734" s="81"/>
      <c r="K1734" s="81"/>
      <c r="L1734" s="155"/>
      <c r="M1734" s="155"/>
      <c r="N1734" s="109"/>
      <c r="O1734" s="126"/>
      <c r="P1734" s="126"/>
      <c r="Q1734" s="126"/>
      <c r="R1734" s="127"/>
      <c r="S1734" s="127"/>
      <c r="T1734" s="127"/>
      <c r="U1734" s="127"/>
    </row>
    <row r="1735" spans="1:21" ht="15" customHeight="1">
      <c r="A1735" s="125"/>
      <c r="B1735" s="125"/>
      <c r="C1735" s="125"/>
      <c r="D1735" s="81"/>
      <c r="E1735" s="81"/>
      <c r="F1735" s="97"/>
      <c r="G1735" s="81"/>
      <c r="H1735" s="81"/>
      <c r="I1735" s="81"/>
      <c r="J1735" s="81"/>
      <c r="K1735" s="81"/>
      <c r="L1735" s="155"/>
      <c r="M1735" s="155"/>
      <c r="N1735" s="109"/>
      <c r="O1735" s="126"/>
      <c r="P1735" s="126"/>
      <c r="Q1735" s="126"/>
      <c r="R1735" s="127"/>
      <c r="S1735" s="127"/>
      <c r="T1735" s="127"/>
      <c r="U1735" s="127"/>
    </row>
    <row r="1736" spans="1:21" ht="15" customHeight="1">
      <c r="A1736" s="125"/>
      <c r="B1736" s="125"/>
      <c r="C1736" s="125"/>
      <c r="D1736" s="81"/>
      <c r="E1736" s="81"/>
      <c r="F1736" s="97"/>
      <c r="G1736" s="81"/>
      <c r="H1736" s="81"/>
      <c r="I1736" s="81"/>
      <c r="J1736" s="81"/>
      <c r="K1736" s="81"/>
      <c r="L1736" s="155"/>
      <c r="M1736" s="155"/>
      <c r="N1736" s="109"/>
      <c r="O1736" s="126"/>
      <c r="P1736" s="126"/>
      <c r="Q1736" s="126"/>
      <c r="R1736" s="127"/>
      <c r="S1736" s="127"/>
      <c r="T1736" s="127"/>
      <c r="U1736" s="127"/>
    </row>
    <row r="1737" spans="1:21" ht="15" customHeight="1">
      <c r="A1737" s="125"/>
      <c r="B1737" s="125"/>
      <c r="C1737" s="125"/>
      <c r="D1737" s="81"/>
      <c r="E1737" s="81"/>
      <c r="F1737" s="97"/>
      <c r="G1737" s="81"/>
      <c r="H1737" s="81"/>
      <c r="I1737" s="81"/>
      <c r="J1737" s="81"/>
      <c r="K1737" s="81"/>
      <c r="L1737" s="155"/>
      <c r="M1737" s="155"/>
      <c r="N1737" s="109"/>
      <c r="O1737" s="126"/>
      <c r="P1737" s="126"/>
      <c r="Q1737" s="126"/>
      <c r="R1737" s="127"/>
      <c r="S1737" s="127"/>
      <c r="T1737" s="127"/>
      <c r="U1737" s="127"/>
    </row>
    <row r="1738" spans="1:21" ht="15" customHeight="1">
      <c r="A1738" s="125"/>
      <c r="B1738" s="125"/>
      <c r="C1738" s="125"/>
      <c r="D1738" s="81"/>
      <c r="E1738" s="81"/>
      <c r="F1738" s="97"/>
      <c r="G1738" s="81"/>
      <c r="H1738" s="81"/>
      <c r="I1738" s="81"/>
      <c r="J1738" s="81"/>
      <c r="K1738" s="81"/>
      <c r="L1738" s="155"/>
      <c r="M1738" s="155"/>
      <c r="N1738" s="109"/>
      <c r="O1738" s="126"/>
      <c r="P1738" s="126"/>
      <c r="Q1738" s="126"/>
      <c r="R1738" s="127"/>
      <c r="S1738" s="127"/>
      <c r="T1738" s="127"/>
      <c r="U1738" s="127"/>
    </row>
    <row r="1739" spans="1:21" ht="15" customHeight="1">
      <c r="A1739" s="125"/>
      <c r="B1739" s="125"/>
      <c r="C1739" s="125"/>
      <c r="D1739" s="81"/>
      <c r="E1739" s="81"/>
      <c r="F1739" s="97"/>
      <c r="G1739" s="81"/>
      <c r="H1739" s="81"/>
      <c r="I1739" s="81"/>
      <c r="J1739" s="81"/>
      <c r="K1739" s="81"/>
      <c r="L1739" s="155"/>
      <c r="M1739" s="155"/>
      <c r="N1739" s="109"/>
      <c r="O1739" s="126"/>
      <c r="P1739" s="126"/>
      <c r="Q1739" s="126"/>
      <c r="R1739" s="127"/>
      <c r="S1739" s="127"/>
      <c r="T1739" s="127"/>
      <c r="U1739" s="127"/>
    </row>
    <row r="1740" spans="1:21" ht="15" customHeight="1">
      <c r="A1740" s="125"/>
      <c r="B1740" s="125"/>
      <c r="C1740" s="125"/>
      <c r="D1740" s="81"/>
      <c r="E1740" s="81"/>
      <c r="F1740" s="97"/>
      <c r="G1740" s="81"/>
      <c r="H1740" s="81"/>
      <c r="I1740" s="81"/>
      <c r="J1740" s="81"/>
      <c r="K1740" s="81"/>
      <c r="L1740" s="155"/>
      <c r="M1740" s="155"/>
      <c r="N1740" s="109"/>
      <c r="O1740" s="126"/>
      <c r="P1740" s="126"/>
      <c r="Q1740" s="126"/>
      <c r="R1740" s="127"/>
      <c r="S1740" s="127"/>
      <c r="T1740" s="127"/>
      <c r="U1740" s="127"/>
    </row>
    <row r="1741" spans="1:21" ht="15" customHeight="1">
      <c r="A1741" s="125"/>
      <c r="B1741" s="125"/>
      <c r="C1741" s="125"/>
      <c r="D1741" s="81"/>
      <c r="E1741" s="81"/>
      <c r="F1741" s="97"/>
      <c r="G1741" s="81"/>
      <c r="H1741" s="81"/>
      <c r="I1741" s="81"/>
      <c r="J1741" s="81"/>
      <c r="K1741" s="81"/>
      <c r="L1741" s="155"/>
      <c r="M1741" s="155"/>
      <c r="N1741" s="109"/>
      <c r="O1741" s="126"/>
      <c r="P1741" s="126"/>
      <c r="Q1741" s="126"/>
      <c r="R1741" s="127"/>
      <c r="S1741" s="127"/>
      <c r="T1741" s="127"/>
      <c r="U1741" s="127"/>
    </row>
    <row r="1742" spans="1:21" ht="15" customHeight="1">
      <c r="A1742" s="125"/>
      <c r="B1742" s="125"/>
      <c r="C1742" s="125"/>
      <c r="D1742" s="81"/>
      <c r="E1742" s="81"/>
      <c r="F1742" s="97"/>
      <c r="G1742" s="81"/>
      <c r="H1742" s="81"/>
      <c r="I1742" s="81"/>
      <c r="J1742" s="81"/>
      <c r="K1742" s="81"/>
      <c r="L1742" s="155"/>
      <c r="M1742" s="155"/>
      <c r="N1742" s="109"/>
      <c r="O1742" s="126"/>
      <c r="P1742" s="126"/>
      <c r="Q1742" s="126"/>
      <c r="R1742" s="127"/>
      <c r="S1742" s="127"/>
      <c r="T1742" s="127"/>
      <c r="U1742" s="127"/>
    </row>
    <row r="1743" spans="1:21" ht="15" customHeight="1">
      <c r="A1743" s="125"/>
      <c r="B1743" s="125"/>
      <c r="C1743" s="125"/>
      <c r="D1743" s="81"/>
      <c r="E1743" s="81"/>
      <c r="F1743" s="97"/>
      <c r="G1743" s="81"/>
      <c r="H1743" s="81"/>
      <c r="I1743" s="81"/>
      <c r="J1743" s="81"/>
      <c r="K1743" s="81"/>
      <c r="L1743" s="155"/>
      <c r="M1743" s="155"/>
      <c r="N1743" s="109"/>
      <c r="O1743" s="126"/>
      <c r="P1743" s="126"/>
      <c r="Q1743" s="126"/>
      <c r="R1743" s="127"/>
      <c r="S1743" s="127"/>
      <c r="T1743" s="127"/>
      <c r="U1743" s="127"/>
    </row>
    <row r="1744" spans="1:21" ht="15" customHeight="1">
      <c r="A1744" s="125"/>
      <c r="B1744" s="125"/>
      <c r="C1744" s="125"/>
      <c r="D1744" s="81"/>
      <c r="E1744" s="81"/>
      <c r="F1744" s="97"/>
      <c r="G1744" s="81"/>
      <c r="H1744" s="81"/>
      <c r="I1744" s="81"/>
      <c r="J1744" s="81"/>
      <c r="K1744" s="81"/>
      <c r="L1744" s="155"/>
      <c r="M1744" s="155"/>
      <c r="N1744" s="109"/>
      <c r="O1744" s="126"/>
      <c r="P1744" s="126"/>
      <c r="Q1744" s="126"/>
      <c r="R1744" s="127"/>
      <c r="S1744" s="127"/>
      <c r="T1744" s="127"/>
      <c r="U1744" s="127"/>
    </row>
    <row r="1745" spans="1:21" ht="15" customHeight="1">
      <c r="A1745" s="125"/>
      <c r="B1745" s="125"/>
      <c r="C1745" s="125"/>
      <c r="D1745" s="81"/>
      <c r="E1745" s="81"/>
      <c r="F1745" s="97"/>
      <c r="G1745" s="81"/>
      <c r="H1745" s="81"/>
      <c r="I1745" s="81"/>
      <c r="J1745" s="81"/>
      <c r="K1745" s="81"/>
      <c r="L1745" s="155"/>
      <c r="M1745" s="155"/>
      <c r="N1745" s="109"/>
      <c r="O1745" s="126"/>
      <c r="P1745" s="126"/>
      <c r="Q1745" s="126"/>
      <c r="R1745" s="127"/>
      <c r="S1745" s="127"/>
      <c r="T1745" s="127"/>
      <c r="U1745" s="127"/>
    </row>
    <row r="1746" spans="1:21" ht="15" customHeight="1">
      <c r="A1746" s="125"/>
      <c r="B1746" s="125"/>
      <c r="C1746" s="125"/>
      <c r="D1746" s="81"/>
      <c r="E1746" s="81"/>
      <c r="F1746" s="97"/>
      <c r="G1746" s="81"/>
      <c r="H1746" s="81"/>
      <c r="I1746" s="81"/>
      <c r="J1746" s="81"/>
      <c r="K1746" s="81"/>
      <c r="L1746" s="155"/>
      <c r="M1746" s="155"/>
      <c r="N1746" s="109"/>
      <c r="O1746" s="126"/>
      <c r="P1746" s="126"/>
      <c r="Q1746" s="126"/>
      <c r="R1746" s="127"/>
      <c r="S1746" s="127"/>
      <c r="T1746" s="127"/>
      <c r="U1746" s="127"/>
    </row>
    <row r="1747" spans="1:21" ht="15" customHeight="1">
      <c r="A1747" s="125"/>
      <c r="B1747" s="125"/>
      <c r="C1747" s="125"/>
      <c r="D1747" s="81"/>
      <c r="E1747" s="81"/>
      <c r="F1747" s="97"/>
      <c r="G1747" s="81"/>
      <c r="H1747" s="81"/>
      <c r="I1747" s="81"/>
      <c r="J1747" s="81"/>
      <c r="K1747" s="81"/>
      <c r="L1747" s="155"/>
      <c r="M1747" s="155"/>
      <c r="N1747" s="109"/>
      <c r="O1747" s="126"/>
      <c r="P1747" s="126"/>
      <c r="Q1747" s="126"/>
      <c r="R1747" s="127"/>
      <c r="S1747" s="127"/>
      <c r="T1747" s="127"/>
      <c r="U1747" s="127"/>
    </row>
    <row r="1748" spans="1:21" ht="15" customHeight="1">
      <c r="A1748" s="125"/>
      <c r="B1748" s="125"/>
      <c r="C1748" s="125"/>
      <c r="D1748" s="81"/>
      <c r="E1748" s="81"/>
      <c r="F1748" s="97"/>
      <c r="G1748" s="81"/>
      <c r="H1748" s="81"/>
      <c r="I1748" s="81"/>
      <c r="J1748" s="81"/>
      <c r="K1748" s="81"/>
      <c r="L1748" s="155"/>
      <c r="M1748" s="155"/>
      <c r="N1748" s="109"/>
      <c r="O1748" s="126"/>
      <c r="P1748" s="126"/>
      <c r="Q1748" s="126"/>
      <c r="R1748" s="127"/>
      <c r="S1748" s="127"/>
      <c r="T1748" s="127"/>
      <c r="U1748" s="127"/>
    </row>
    <row r="1749" spans="1:21" ht="15" customHeight="1">
      <c r="A1749" s="125"/>
      <c r="B1749" s="125"/>
      <c r="C1749" s="125"/>
      <c r="D1749" s="81"/>
      <c r="E1749" s="81"/>
      <c r="F1749" s="97"/>
      <c r="G1749" s="81"/>
      <c r="H1749" s="81"/>
      <c r="I1749" s="81"/>
      <c r="J1749" s="81"/>
      <c r="K1749" s="81"/>
      <c r="L1749" s="155"/>
      <c r="M1749" s="155"/>
      <c r="N1749" s="109"/>
      <c r="O1749" s="126"/>
      <c r="P1749" s="126"/>
      <c r="Q1749" s="126"/>
      <c r="R1749" s="127"/>
      <c r="S1749" s="127"/>
      <c r="T1749" s="127"/>
      <c r="U1749" s="127"/>
    </row>
    <row r="1750" spans="1:21" ht="15" customHeight="1">
      <c r="A1750" s="125"/>
      <c r="B1750" s="125"/>
      <c r="C1750" s="125"/>
      <c r="D1750" s="81"/>
      <c r="E1750" s="81"/>
      <c r="F1750" s="97"/>
      <c r="G1750" s="81"/>
      <c r="H1750" s="81"/>
      <c r="I1750" s="81"/>
      <c r="J1750" s="81"/>
      <c r="K1750" s="81"/>
      <c r="L1750" s="155"/>
      <c r="M1750" s="155"/>
      <c r="N1750" s="109"/>
      <c r="O1750" s="126"/>
      <c r="P1750" s="126"/>
      <c r="Q1750" s="126"/>
      <c r="R1750" s="127"/>
      <c r="S1750" s="127"/>
      <c r="T1750" s="127"/>
      <c r="U1750" s="127"/>
    </row>
    <row r="1751" spans="1:21" ht="15" customHeight="1">
      <c r="A1751" s="125"/>
      <c r="B1751" s="125"/>
      <c r="C1751" s="125"/>
      <c r="D1751" s="81"/>
      <c r="E1751" s="81"/>
      <c r="F1751" s="97"/>
      <c r="G1751" s="81"/>
      <c r="H1751" s="81"/>
      <c r="I1751" s="81"/>
      <c r="J1751" s="81"/>
      <c r="K1751" s="81"/>
      <c r="L1751" s="155"/>
      <c r="M1751" s="155"/>
      <c r="N1751" s="109"/>
      <c r="O1751" s="126"/>
      <c r="P1751" s="126"/>
      <c r="Q1751" s="126"/>
      <c r="R1751" s="127"/>
      <c r="S1751" s="127"/>
      <c r="T1751" s="127"/>
      <c r="U1751" s="127"/>
    </row>
    <row r="1752" spans="1:21" ht="15" customHeight="1">
      <c r="A1752" s="125"/>
      <c r="B1752" s="125"/>
      <c r="C1752" s="125"/>
      <c r="D1752" s="81"/>
      <c r="E1752" s="81"/>
      <c r="F1752" s="97"/>
      <c r="G1752" s="81"/>
      <c r="H1752" s="81"/>
      <c r="I1752" s="81"/>
      <c r="J1752" s="81"/>
      <c r="K1752" s="81"/>
      <c r="L1752" s="155"/>
      <c r="M1752" s="155"/>
      <c r="N1752" s="109"/>
      <c r="O1752" s="126"/>
      <c r="P1752" s="126"/>
      <c r="Q1752" s="126"/>
      <c r="R1752" s="127"/>
      <c r="S1752" s="127"/>
      <c r="T1752" s="127"/>
      <c r="U1752" s="127"/>
    </row>
    <row r="1753" spans="1:21" ht="15" customHeight="1">
      <c r="A1753" s="125"/>
      <c r="B1753" s="125"/>
      <c r="C1753" s="125"/>
      <c r="D1753" s="81"/>
      <c r="E1753" s="81"/>
      <c r="F1753" s="97"/>
      <c r="G1753" s="81"/>
      <c r="H1753" s="81"/>
      <c r="I1753" s="81"/>
      <c r="J1753" s="81"/>
      <c r="K1753" s="81"/>
      <c r="L1753" s="155"/>
      <c r="M1753" s="155"/>
      <c r="N1753" s="109"/>
      <c r="O1753" s="126"/>
      <c r="P1753" s="126"/>
      <c r="Q1753" s="126"/>
      <c r="R1753" s="127"/>
      <c r="S1753" s="127"/>
      <c r="T1753" s="127"/>
      <c r="U1753" s="127"/>
    </row>
    <row r="1754" spans="1:21" ht="15" customHeight="1">
      <c r="A1754" s="125"/>
      <c r="B1754" s="125"/>
      <c r="C1754" s="125"/>
      <c r="D1754" s="81"/>
      <c r="E1754" s="81"/>
      <c r="F1754" s="97"/>
      <c r="G1754" s="81"/>
      <c r="H1754" s="81"/>
      <c r="I1754" s="81"/>
      <c r="J1754" s="81"/>
      <c r="K1754" s="81"/>
      <c r="L1754" s="155"/>
      <c r="M1754" s="155"/>
      <c r="N1754" s="109"/>
      <c r="O1754" s="126"/>
      <c r="P1754" s="126"/>
      <c r="Q1754" s="126"/>
      <c r="R1754" s="127"/>
      <c r="S1754" s="127"/>
      <c r="T1754" s="127"/>
      <c r="U1754" s="127"/>
    </row>
    <row r="1755" spans="1:21" ht="15" customHeight="1">
      <c r="A1755" s="125"/>
      <c r="B1755" s="125"/>
      <c r="C1755" s="125"/>
      <c r="D1755" s="81"/>
      <c r="E1755" s="81"/>
      <c r="F1755" s="97"/>
      <c r="G1755" s="81"/>
      <c r="H1755" s="81"/>
      <c r="I1755" s="81"/>
      <c r="J1755" s="81"/>
      <c r="K1755" s="81"/>
      <c r="L1755" s="155"/>
      <c r="M1755" s="155"/>
      <c r="N1755" s="109"/>
      <c r="O1755" s="126"/>
      <c r="P1755" s="126"/>
      <c r="Q1755" s="126"/>
      <c r="R1755" s="127"/>
      <c r="S1755" s="127"/>
      <c r="T1755" s="127"/>
      <c r="U1755" s="127"/>
    </row>
    <row r="1756" spans="1:21" ht="15" customHeight="1">
      <c r="A1756" s="125"/>
      <c r="B1756" s="125"/>
      <c r="C1756" s="125"/>
      <c r="D1756" s="81"/>
      <c r="E1756" s="81"/>
      <c r="F1756" s="97"/>
      <c r="G1756" s="81"/>
      <c r="H1756" s="81"/>
      <c r="I1756" s="81"/>
      <c r="J1756" s="81"/>
      <c r="K1756" s="81"/>
      <c r="L1756" s="155"/>
      <c r="M1756" s="155"/>
      <c r="N1756" s="109"/>
      <c r="O1756" s="126"/>
      <c r="P1756" s="126"/>
      <c r="Q1756" s="126"/>
      <c r="R1756" s="127"/>
      <c r="S1756" s="127"/>
      <c r="T1756" s="127"/>
      <c r="U1756" s="127"/>
    </row>
    <row r="1757" spans="1:21" ht="15" customHeight="1">
      <c r="A1757" s="125"/>
      <c r="B1757" s="125"/>
      <c r="C1757" s="125"/>
      <c r="D1757" s="81"/>
      <c r="E1757" s="81"/>
      <c r="F1757" s="97"/>
      <c r="G1757" s="81"/>
      <c r="H1757" s="81"/>
      <c r="I1757" s="81"/>
      <c r="J1757" s="81"/>
      <c r="K1757" s="81"/>
      <c r="L1757" s="155"/>
      <c r="M1757" s="155"/>
      <c r="N1757" s="109"/>
      <c r="O1757" s="126"/>
      <c r="P1757" s="126"/>
      <c r="Q1757" s="126"/>
      <c r="R1757" s="127"/>
      <c r="S1757" s="127"/>
      <c r="T1757" s="127"/>
      <c r="U1757" s="127"/>
    </row>
    <row r="1758" spans="1:21" ht="15" customHeight="1">
      <c r="A1758" s="125"/>
      <c r="B1758" s="125"/>
      <c r="C1758" s="125"/>
      <c r="D1758" s="81"/>
      <c r="E1758" s="81"/>
      <c r="F1758" s="97"/>
      <c r="G1758" s="81"/>
      <c r="H1758" s="81"/>
      <c r="I1758" s="81"/>
      <c r="J1758" s="81"/>
      <c r="K1758" s="81"/>
      <c r="L1758" s="155"/>
      <c r="M1758" s="155"/>
      <c r="N1758" s="109"/>
      <c r="O1758" s="126"/>
      <c r="P1758" s="126"/>
      <c r="Q1758" s="126"/>
      <c r="R1758" s="127"/>
      <c r="S1758" s="127"/>
      <c r="T1758" s="127"/>
      <c r="U1758" s="127"/>
    </row>
    <row r="1759" spans="1:21" ht="15" customHeight="1">
      <c r="A1759" s="125"/>
      <c r="B1759" s="125"/>
      <c r="C1759" s="125"/>
      <c r="D1759" s="81"/>
      <c r="E1759" s="81"/>
      <c r="F1759" s="97"/>
      <c r="G1759" s="81"/>
      <c r="H1759" s="81"/>
      <c r="I1759" s="81"/>
      <c r="J1759" s="81"/>
      <c r="K1759" s="81"/>
      <c r="L1759" s="155"/>
      <c r="M1759" s="155"/>
      <c r="N1759" s="109"/>
      <c r="O1759" s="126"/>
      <c r="P1759" s="126"/>
      <c r="Q1759" s="126"/>
      <c r="R1759" s="127"/>
      <c r="S1759" s="127"/>
      <c r="T1759" s="127"/>
      <c r="U1759" s="127"/>
    </row>
    <row r="1760" spans="1:21" ht="15" customHeight="1">
      <c r="A1760" s="125"/>
      <c r="B1760" s="125"/>
      <c r="C1760" s="125"/>
      <c r="D1760" s="81"/>
      <c r="E1760" s="81"/>
      <c r="F1760" s="97"/>
      <c r="G1760" s="81"/>
      <c r="H1760" s="81"/>
      <c r="I1760" s="81"/>
      <c r="J1760" s="81"/>
      <c r="K1760" s="81"/>
      <c r="L1760" s="155"/>
      <c r="M1760" s="155"/>
      <c r="N1760" s="109"/>
      <c r="O1760" s="126"/>
      <c r="P1760" s="126"/>
      <c r="Q1760" s="126"/>
      <c r="R1760" s="127"/>
      <c r="S1760" s="127"/>
      <c r="T1760" s="127"/>
      <c r="U1760" s="127"/>
    </row>
    <row r="1761" spans="1:21" ht="15" customHeight="1">
      <c r="A1761" s="125"/>
      <c r="B1761" s="125"/>
      <c r="C1761" s="125"/>
      <c r="D1761" s="81"/>
      <c r="E1761" s="81"/>
      <c r="F1761" s="97"/>
      <c r="G1761" s="81"/>
      <c r="H1761" s="81"/>
      <c r="I1761" s="81"/>
      <c r="J1761" s="81"/>
      <c r="K1761" s="81"/>
      <c r="L1761" s="155"/>
      <c r="M1761" s="155"/>
      <c r="N1761" s="109"/>
      <c r="O1761" s="126"/>
      <c r="P1761" s="126"/>
      <c r="Q1761" s="126"/>
      <c r="R1761" s="127"/>
      <c r="S1761" s="127"/>
      <c r="T1761" s="127"/>
      <c r="U1761" s="127"/>
    </row>
    <row r="1762" spans="1:21" ht="15" customHeight="1">
      <c r="A1762" s="125"/>
      <c r="B1762" s="125"/>
      <c r="C1762" s="125"/>
      <c r="D1762" s="81"/>
      <c r="E1762" s="81"/>
      <c r="F1762" s="97"/>
      <c r="G1762" s="81"/>
      <c r="H1762" s="81"/>
      <c r="I1762" s="81"/>
      <c r="J1762" s="81"/>
      <c r="K1762" s="81"/>
      <c r="L1762" s="155"/>
      <c r="M1762" s="155"/>
      <c r="N1762" s="109"/>
      <c r="O1762" s="126"/>
      <c r="P1762" s="126"/>
      <c r="Q1762" s="126"/>
      <c r="R1762" s="127"/>
      <c r="S1762" s="127"/>
      <c r="T1762" s="127"/>
      <c r="U1762" s="127"/>
    </row>
    <row r="1763" spans="1:21" ht="15" customHeight="1">
      <c r="A1763" s="125"/>
      <c r="B1763" s="125"/>
      <c r="C1763" s="125"/>
      <c r="D1763" s="81"/>
      <c r="E1763" s="81"/>
      <c r="F1763" s="97"/>
      <c r="G1763" s="81"/>
      <c r="H1763" s="81"/>
      <c r="I1763" s="81"/>
      <c r="J1763" s="81"/>
      <c r="K1763" s="81"/>
      <c r="L1763" s="155"/>
      <c r="M1763" s="155"/>
      <c r="N1763" s="109"/>
      <c r="O1763" s="126"/>
      <c r="P1763" s="126"/>
      <c r="Q1763" s="126"/>
      <c r="R1763" s="127"/>
      <c r="S1763" s="127"/>
      <c r="T1763" s="127"/>
      <c r="U1763" s="127"/>
    </row>
    <row r="1764" spans="1:21" ht="15" customHeight="1">
      <c r="A1764" s="125"/>
      <c r="B1764" s="125"/>
      <c r="C1764" s="125"/>
      <c r="D1764" s="81"/>
      <c r="E1764" s="81"/>
      <c r="F1764" s="97"/>
      <c r="G1764" s="81"/>
      <c r="H1764" s="81"/>
      <c r="I1764" s="81"/>
      <c r="J1764" s="81"/>
      <c r="K1764" s="81"/>
      <c r="L1764" s="155"/>
      <c r="M1764" s="155"/>
      <c r="N1764" s="109"/>
      <c r="O1764" s="126"/>
      <c r="P1764" s="126"/>
      <c r="Q1764" s="126"/>
      <c r="R1764" s="127"/>
      <c r="S1764" s="127"/>
      <c r="T1764" s="127"/>
      <c r="U1764" s="127"/>
    </row>
    <row r="1765" spans="1:21" ht="15" customHeight="1">
      <c r="A1765" s="125"/>
      <c r="B1765" s="125"/>
      <c r="C1765" s="125"/>
      <c r="D1765" s="81"/>
      <c r="E1765" s="81"/>
      <c r="F1765" s="97"/>
      <c r="G1765" s="81"/>
      <c r="H1765" s="81"/>
      <c r="I1765" s="81"/>
      <c r="J1765" s="81"/>
      <c r="K1765" s="81"/>
      <c r="L1765" s="155"/>
      <c r="M1765" s="155"/>
      <c r="N1765" s="109"/>
      <c r="O1765" s="126"/>
      <c r="P1765" s="126"/>
      <c r="Q1765" s="126"/>
      <c r="R1765" s="127"/>
      <c r="S1765" s="127"/>
      <c r="T1765" s="127"/>
      <c r="U1765" s="127"/>
    </row>
    <row r="1766" spans="1:21" ht="15" customHeight="1">
      <c r="A1766" s="125"/>
      <c r="B1766" s="125"/>
      <c r="C1766" s="125"/>
      <c r="D1766" s="81"/>
      <c r="E1766" s="81"/>
      <c r="F1766" s="97"/>
      <c r="G1766" s="81"/>
      <c r="H1766" s="81"/>
      <c r="I1766" s="81"/>
      <c r="J1766" s="81"/>
      <c r="K1766" s="81"/>
      <c r="L1766" s="155"/>
      <c r="M1766" s="155"/>
      <c r="N1766" s="109"/>
      <c r="O1766" s="126"/>
      <c r="P1766" s="126"/>
      <c r="Q1766" s="126"/>
      <c r="R1766" s="127"/>
      <c r="S1766" s="127"/>
      <c r="T1766" s="127"/>
      <c r="U1766" s="127"/>
    </row>
    <row r="1767" spans="1:21" ht="15" customHeight="1">
      <c r="A1767" s="125"/>
      <c r="B1767" s="125"/>
      <c r="C1767" s="125"/>
      <c r="D1767" s="81"/>
      <c r="E1767" s="81"/>
      <c r="F1767" s="97"/>
      <c r="G1767" s="81"/>
      <c r="H1767" s="81"/>
      <c r="I1767" s="81"/>
      <c r="J1767" s="81"/>
      <c r="K1767" s="81"/>
      <c r="L1767" s="155"/>
      <c r="M1767" s="155"/>
      <c r="N1767" s="109"/>
      <c r="O1767" s="126"/>
      <c r="P1767" s="126"/>
      <c r="Q1767" s="126"/>
      <c r="R1767" s="127"/>
      <c r="S1767" s="127"/>
      <c r="T1767" s="127"/>
      <c r="U1767" s="127"/>
    </row>
    <row r="1768" spans="1:21" ht="15" customHeight="1">
      <c r="A1768" s="125"/>
      <c r="B1768" s="125"/>
      <c r="C1768" s="125"/>
      <c r="D1768" s="81"/>
      <c r="E1768" s="81"/>
      <c r="F1768" s="97"/>
      <c r="G1768" s="81"/>
      <c r="H1768" s="81"/>
      <c r="I1768" s="81"/>
      <c r="J1768" s="81"/>
      <c r="K1768" s="81"/>
      <c r="L1768" s="155"/>
      <c r="M1768" s="155"/>
      <c r="N1768" s="109"/>
      <c r="O1768" s="126"/>
      <c r="P1768" s="126"/>
      <c r="Q1768" s="126"/>
      <c r="R1768" s="127"/>
      <c r="S1768" s="127"/>
      <c r="T1768" s="127"/>
      <c r="U1768" s="127"/>
    </row>
    <row r="1769" spans="1:21" ht="15" customHeight="1">
      <c r="A1769" s="125"/>
      <c r="B1769" s="125"/>
      <c r="C1769" s="125"/>
      <c r="D1769" s="81"/>
      <c r="E1769" s="81"/>
      <c r="F1769" s="97"/>
      <c r="G1769" s="81"/>
      <c r="H1769" s="81"/>
      <c r="I1769" s="81"/>
      <c r="J1769" s="81"/>
      <c r="K1769" s="81"/>
      <c r="L1769" s="155"/>
      <c r="M1769" s="155"/>
      <c r="N1769" s="109"/>
      <c r="O1769" s="126"/>
      <c r="P1769" s="126"/>
      <c r="Q1769" s="126"/>
      <c r="R1769" s="127"/>
      <c r="S1769" s="127"/>
      <c r="T1769" s="127"/>
      <c r="U1769" s="127"/>
    </row>
    <row r="1770" spans="1:21" ht="15" customHeight="1">
      <c r="A1770" s="125"/>
      <c r="B1770" s="125"/>
      <c r="C1770" s="125"/>
      <c r="D1770" s="81"/>
      <c r="E1770" s="81"/>
      <c r="F1770" s="97"/>
      <c r="G1770" s="81"/>
      <c r="H1770" s="81"/>
      <c r="I1770" s="81"/>
      <c r="J1770" s="81"/>
      <c r="K1770" s="81"/>
      <c r="L1770" s="155"/>
      <c r="M1770" s="155"/>
      <c r="N1770" s="109"/>
      <c r="O1770" s="126"/>
      <c r="P1770" s="126"/>
      <c r="Q1770" s="126"/>
      <c r="R1770" s="127"/>
      <c r="S1770" s="127"/>
      <c r="T1770" s="127"/>
      <c r="U1770" s="127"/>
    </row>
    <row r="1771" spans="1:21" ht="15" customHeight="1">
      <c r="A1771" s="125"/>
      <c r="B1771" s="125"/>
      <c r="C1771" s="125"/>
      <c r="D1771" s="81"/>
      <c r="E1771" s="81"/>
      <c r="F1771" s="97"/>
      <c r="G1771" s="81"/>
      <c r="H1771" s="81"/>
      <c r="I1771" s="81"/>
      <c r="J1771" s="81"/>
      <c r="K1771" s="81"/>
      <c r="L1771" s="155"/>
      <c r="M1771" s="155"/>
      <c r="N1771" s="109"/>
      <c r="O1771" s="126"/>
      <c r="P1771" s="126"/>
      <c r="Q1771" s="126"/>
      <c r="R1771" s="127"/>
      <c r="S1771" s="127"/>
      <c r="T1771" s="127"/>
      <c r="U1771" s="127"/>
    </row>
    <row r="1772" spans="1:21" ht="15" customHeight="1">
      <c r="A1772" s="125"/>
      <c r="B1772" s="125"/>
      <c r="C1772" s="125"/>
      <c r="D1772" s="81"/>
      <c r="E1772" s="81"/>
      <c r="F1772" s="97"/>
      <c r="G1772" s="81"/>
      <c r="H1772" s="81"/>
      <c r="I1772" s="81"/>
      <c r="J1772" s="81"/>
      <c r="K1772" s="81"/>
      <c r="L1772" s="155"/>
      <c r="M1772" s="155"/>
      <c r="N1772" s="109"/>
      <c r="O1772" s="126"/>
      <c r="P1772" s="126"/>
      <c r="Q1772" s="126"/>
      <c r="R1772" s="127"/>
      <c r="S1772" s="127"/>
      <c r="T1772" s="127"/>
      <c r="U1772" s="127"/>
    </row>
    <row r="1773" spans="1:21" ht="15" customHeight="1">
      <c r="A1773" s="125"/>
      <c r="B1773" s="125"/>
      <c r="C1773" s="125"/>
      <c r="D1773" s="81"/>
      <c r="E1773" s="81"/>
      <c r="F1773" s="97"/>
      <c r="G1773" s="81"/>
      <c r="H1773" s="81"/>
      <c r="I1773" s="81"/>
      <c r="J1773" s="81"/>
      <c r="K1773" s="81"/>
      <c r="L1773" s="155"/>
      <c r="M1773" s="155"/>
      <c r="N1773" s="109"/>
      <c r="O1773" s="126"/>
      <c r="P1773" s="126"/>
      <c r="Q1773" s="126"/>
      <c r="R1773" s="127"/>
      <c r="S1773" s="127"/>
      <c r="T1773" s="127"/>
      <c r="U1773" s="127"/>
    </row>
    <row r="1774" spans="1:21" ht="15" customHeight="1">
      <c r="A1774" s="125"/>
      <c r="B1774" s="125"/>
      <c r="C1774" s="125"/>
      <c r="D1774" s="81"/>
      <c r="E1774" s="81"/>
      <c r="F1774" s="97"/>
      <c r="G1774" s="81"/>
      <c r="H1774" s="81"/>
      <c r="I1774" s="81"/>
      <c r="J1774" s="81"/>
      <c r="K1774" s="81"/>
      <c r="L1774" s="155"/>
      <c r="M1774" s="155"/>
      <c r="N1774" s="109"/>
      <c r="O1774" s="126"/>
      <c r="P1774" s="126"/>
      <c r="Q1774" s="126"/>
      <c r="R1774" s="127"/>
      <c r="S1774" s="127"/>
      <c r="T1774" s="127"/>
      <c r="U1774" s="127"/>
    </row>
    <row r="1775" spans="1:21" ht="15" customHeight="1">
      <c r="A1775" s="125"/>
      <c r="B1775" s="125"/>
      <c r="C1775" s="125"/>
      <c r="D1775" s="81"/>
      <c r="E1775" s="81"/>
      <c r="F1775" s="97"/>
      <c r="G1775" s="81"/>
      <c r="H1775" s="81"/>
      <c r="I1775" s="81"/>
      <c r="J1775" s="81"/>
      <c r="K1775" s="81"/>
      <c r="L1775" s="155"/>
      <c r="M1775" s="155"/>
      <c r="N1775" s="109"/>
      <c r="O1775" s="126"/>
      <c r="P1775" s="126"/>
      <c r="Q1775" s="126"/>
      <c r="R1775" s="127"/>
      <c r="S1775" s="127"/>
      <c r="T1775" s="127"/>
      <c r="U1775" s="127"/>
    </row>
    <row r="1776" spans="1:21" ht="15" customHeight="1">
      <c r="A1776" s="125"/>
      <c r="B1776" s="125"/>
      <c r="C1776" s="125"/>
      <c r="D1776" s="81"/>
      <c r="E1776" s="81"/>
      <c r="F1776" s="97"/>
      <c r="G1776" s="81"/>
      <c r="H1776" s="81"/>
      <c r="I1776" s="81"/>
      <c r="J1776" s="81"/>
      <c r="K1776" s="81"/>
      <c r="L1776" s="155"/>
      <c r="M1776" s="155"/>
      <c r="N1776" s="109"/>
      <c r="O1776" s="126"/>
      <c r="P1776" s="126"/>
      <c r="Q1776" s="126"/>
      <c r="R1776" s="127"/>
      <c r="S1776" s="127"/>
      <c r="T1776" s="127"/>
      <c r="U1776" s="127"/>
    </row>
    <row r="1777" spans="1:21" ht="15" customHeight="1">
      <c r="A1777" s="125"/>
      <c r="B1777" s="125"/>
      <c r="C1777" s="125"/>
      <c r="D1777" s="81"/>
      <c r="E1777" s="81"/>
      <c r="F1777" s="97"/>
      <c r="G1777" s="81"/>
      <c r="H1777" s="81"/>
      <c r="I1777" s="81"/>
      <c r="J1777" s="81"/>
      <c r="K1777" s="81"/>
      <c r="L1777" s="155"/>
      <c r="M1777" s="155"/>
      <c r="N1777" s="109"/>
      <c r="O1777" s="126"/>
      <c r="P1777" s="126"/>
      <c r="Q1777" s="126"/>
      <c r="R1777" s="127"/>
      <c r="S1777" s="127"/>
      <c r="T1777" s="127"/>
      <c r="U1777" s="127"/>
    </row>
    <row r="1778" spans="1:21" ht="15" customHeight="1">
      <c r="A1778" s="125"/>
      <c r="B1778" s="125"/>
      <c r="C1778" s="125"/>
      <c r="D1778" s="81"/>
      <c r="E1778" s="81"/>
      <c r="F1778" s="97"/>
      <c r="G1778" s="81"/>
      <c r="H1778" s="81"/>
      <c r="I1778" s="81"/>
      <c r="J1778" s="81"/>
      <c r="K1778" s="81"/>
      <c r="L1778" s="155"/>
      <c r="M1778" s="155"/>
      <c r="N1778" s="109"/>
      <c r="O1778" s="126"/>
      <c r="P1778" s="126"/>
      <c r="Q1778" s="126"/>
      <c r="R1778" s="127"/>
      <c r="S1778" s="127"/>
      <c r="T1778" s="127"/>
      <c r="U1778" s="127"/>
    </row>
    <row r="1779" spans="1:21" ht="15" customHeight="1">
      <c r="A1779" s="125"/>
      <c r="B1779" s="125"/>
      <c r="C1779" s="125"/>
      <c r="D1779" s="81"/>
      <c r="E1779" s="81"/>
      <c r="F1779" s="97"/>
      <c r="G1779" s="81"/>
      <c r="H1779" s="81"/>
      <c r="I1779" s="81"/>
      <c r="J1779" s="81"/>
      <c r="K1779" s="81"/>
      <c r="L1779" s="155"/>
      <c r="M1779" s="155"/>
      <c r="N1779" s="109"/>
      <c r="O1779" s="126"/>
      <c r="P1779" s="126"/>
      <c r="Q1779" s="126"/>
      <c r="R1779" s="127"/>
      <c r="S1779" s="127"/>
      <c r="T1779" s="127"/>
      <c r="U1779" s="127"/>
    </row>
    <row r="1780" spans="1:21" ht="15" customHeight="1">
      <c r="A1780" s="125"/>
      <c r="B1780" s="125"/>
      <c r="C1780" s="125"/>
      <c r="D1780" s="81"/>
      <c r="E1780" s="81"/>
      <c r="F1780" s="97"/>
      <c r="G1780" s="81"/>
      <c r="H1780" s="81"/>
      <c r="I1780" s="81"/>
      <c r="J1780" s="81"/>
      <c r="K1780" s="81"/>
      <c r="L1780" s="155"/>
      <c r="M1780" s="155"/>
      <c r="N1780" s="109"/>
      <c r="O1780" s="126"/>
      <c r="P1780" s="126"/>
      <c r="Q1780" s="126"/>
      <c r="R1780" s="127"/>
      <c r="S1780" s="127"/>
      <c r="T1780" s="127"/>
      <c r="U1780" s="127"/>
    </row>
    <row r="1781" spans="1:21" ht="15" customHeight="1">
      <c r="A1781" s="125"/>
      <c r="B1781" s="125"/>
      <c r="C1781" s="125"/>
      <c r="D1781" s="81"/>
      <c r="E1781" s="81"/>
      <c r="F1781" s="97"/>
      <c r="G1781" s="81"/>
      <c r="H1781" s="81"/>
      <c r="I1781" s="81"/>
      <c r="J1781" s="81"/>
      <c r="K1781" s="81"/>
      <c r="L1781" s="155"/>
      <c r="M1781" s="155"/>
      <c r="N1781" s="109"/>
      <c r="O1781" s="126"/>
      <c r="P1781" s="126"/>
      <c r="Q1781" s="126"/>
      <c r="R1781" s="127"/>
      <c r="S1781" s="127"/>
      <c r="T1781" s="127"/>
      <c r="U1781" s="127"/>
    </row>
    <row r="1782" spans="1:21" ht="15" customHeight="1">
      <c r="A1782" s="125"/>
      <c r="B1782" s="125"/>
      <c r="C1782" s="125"/>
      <c r="D1782" s="81"/>
      <c r="E1782" s="81"/>
      <c r="F1782" s="97"/>
      <c r="G1782" s="81"/>
      <c r="H1782" s="81"/>
      <c r="I1782" s="81"/>
      <c r="J1782" s="81"/>
      <c r="K1782" s="81"/>
      <c r="L1782" s="155"/>
      <c r="M1782" s="155"/>
      <c r="N1782" s="109"/>
      <c r="O1782" s="126"/>
      <c r="P1782" s="126"/>
      <c r="Q1782" s="126"/>
      <c r="R1782" s="127"/>
      <c r="S1782" s="127"/>
      <c r="T1782" s="127"/>
      <c r="U1782" s="127"/>
    </row>
    <row r="1783" spans="1:21" ht="15" customHeight="1">
      <c r="A1783" s="125"/>
      <c r="B1783" s="125"/>
      <c r="C1783" s="125"/>
      <c r="D1783" s="81"/>
      <c r="E1783" s="81"/>
      <c r="F1783" s="97"/>
      <c r="G1783" s="81"/>
      <c r="H1783" s="81"/>
      <c r="I1783" s="81"/>
      <c r="J1783" s="81"/>
      <c r="K1783" s="81"/>
      <c r="L1783" s="155"/>
      <c r="M1783" s="155"/>
      <c r="N1783" s="109"/>
      <c r="O1783" s="126"/>
      <c r="P1783" s="126"/>
      <c r="Q1783" s="126"/>
      <c r="R1783" s="127"/>
      <c r="S1783" s="127"/>
      <c r="T1783" s="127"/>
      <c r="U1783" s="127"/>
    </row>
    <row r="1784" spans="1:21" ht="15" customHeight="1">
      <c r="A1784" s="125"/>
      <c r="B1784" s="125"/>
      <c r="C1784" s="125"/>
      <c r="D1784" s="81"/>
      <c r="E1784" s="81"/>
      <c r="F1784" s="97"/>
      <c r="G1784" s="81"/>
      <c r="H1784" s="81"/>
      <c r="I1784" s="81"/>
      <c r="J1784" s="81"/>
      <c r="K1784" s="81"/>
      <c r="L1784" s="155"/>
      <c r="M1784" s="155"/>
      <c r="N1784" s="109"/>
      <c r="O1784" s="126"/>
      <c r="P1784" s="126"/>
      <c r="Q1784" s="126"/>
      <c r="R1784" s="127"/>
      <c r="S1784" s="127"/>
      <c r="T1784" s="127"/>
      <c r="U1784" s="127"/>
    </row>
    <row r="1785" spans="1:21" ht="15" customHeight="1">
      <c r="A1785" s="125"/>
      <c r="B1785" s="125"/>
      <c r="C1785" s="125"/>
      <c r="D1785" s="81"/>
      <c r="E1785" s="81"/>
      <c r="F1785" s="97"/>
      <c r="G1785" s="81"/>
      <c r="H1785" s="81"/>
      <c r="I1785" s="81"/>
      <c r="J1785" s="81"/>
      <c r="K1785" s="81"/>
      <c r="L1785" s="155"/>
      <c r="M1785" s="155"/>
      <c r="N1785" s="109"/>
      <c r="O1785" s="126"/>
      <c r="P1785" s="126"/>
      <c r="Q1785" s="126"/>
      <c r="R1785" s="127"/>
      <c r="S1785" s="127"/>
      <c r="T1785" s="127"/>
      <c r="U1785" s="127"/>
    </row>
    <row r="1786" spans="1:21" ht="15" customHeight="1">
      <c r="A1786" s="125"/>
      <c r="B1786" s="125"/>
      <c r="C1786" s="125"/>
      <c r="D1786" s="81"/>
      <c r="E1786" s="81"/>
      <c r="F1786" s="97"/>
      <c r="G1786" s="81"/>
      <c r="H1786" s="81"/>
      <c r="I1786" s="81"/>
      <c r="J1786" s="81"/>
      <c r="K1786" s="81"/>
      <c r="L1786" s="155"/>
      <c r="M1786" s="155"/>
      <c r="N1786" s="109"/>
      <c r="O1786" s="126"/>
      <c r="P1786" s="126"/>
      <c r="Q1786" s="126"/>
      <c r="R1786" s="127"/>
      <c r="S1786" s="127"/>
      <c r="T1786" s="127"/>
      <c r="U1786" s="127"/>
    </row>
    <row r="1787" spans="1:21" ht="15" customHeight="1">
      <c r="A1787" s="125"/>
      <c r="B1787" s="125"/>
      <c r="C1787" s="125"/>
      <c r="D1787" s="81"/>
      <c r="E1787" s="81"/>
      <c r="F1787" s="97"/>
      <c r="G1787" s="81"/>
      <c r="H1787" s="81"/>
      <c r="I1787" s="81"/>
      <c r="J1787" s="81"/>
      <c r="K1787" s="81"/>
      <c r="L1787" s="155"/>
      <c r="M1787" s="155"/>
      <c r="N1787" s="109"/>
      <c r="O1787" s="126"/>
      <c r="P1787" s="126"/>
      <c r="Q1787" s="126"/>
      <c r="R1787" s="127"/>
      <c r="S1787" s="127"/>
      <c r="T1787" s="127"/>
      <c r="U1787" s="127"/>
    </row>
    <row r="1788" spans="1:21" ht="15" customHeight="1">
      <c r="A1788" s="125"/>
      <c r="B1788" s="125"/>
      <c r="C1788" s="125"/>
      <c r="D1788" s="81"/>
      <c r="E1788" s="81"/>
      <c r="F1788" s="97"/>
      <c r="G1788" s="81"/>
      <c r="H1788" s="81"/>
      <c r="I1788" s="81"/>
      <c r="J1788" s="81"/>
      <c r="K1788" s="81"/>
      <c r="L1788" s="155"/>
      <c r="M1788" s="155"/>
      <c r="N1788" s="109"/>
      <c r="O1788" s="126"/>
      <c r="P1788" s="126"/>
      <c r="Q1788" s="126"/>
      <c r="R1788" s="127"/>
      <c r="S1788" s="127"/>
      <c r="T1788" s="127"/>
      <c r="U1788" s="127"/>
    </row>
    <row r="1789" spans="1:21" ht="15" customHeight="1">
      <c r="A1789" s="125"/>
      <c r="B1789" s="125"/>
      <c r="C1789" s="125"/>
      <c r="D1789" s="81"/>
      <c r="E1789" s="81"/>
      <c r="F1789" s="97"/>
      <c r="G1789" s="81"/>
      <c r="H1789" s="81"/>
      <c r="I1789" s="81"/>
      <c r="J1789" s="81"/>
      <c r="K1789" s="81"/>
      <c r="L1789" s="155"/>
      <c r="M1789" s="155"/>
      <c r="N1789" s="109"/>
      <c r="O1789" s="126"/>
      <c r="P1789" s="126"/>
      <c r="Q1789" s="126"/>
      <c r="R1789" s="127"/>
      <c r="S1789" s="127"/>
      <c r="T1789" s="127"/>
      <c r="U1789" s="127"/>
    </row>
    <row r="1790" spans="1:21" ht="15" customHeight="1">
      <c r="A1790" s="125"/>
      <c r="B1790" s="125"/>
      <c r="C1790" s="125"/>
      <c r="D1790" s="81"/>
      <c r="E1790" s="81"/>
      <c r="F1790" s="97"/>
      <c r="G1790" s="81"/>
      <c r="H1790" s="81"/>
      <c r="I1790" s="81"/>
      <c r="J1790" s="81"/>
      <c r="K1790" s="81"/>
      <c r="L1790" s="155"/>
      <c r="M1790" s="155"/>
      <c r="N1790" s="109"/>
      <c r="O1790" s="126"/>
      <c r="P1790" s="126"/>
      <c r="Q1790" s="126"/>
      <c r="R1790" s="127"/>
      <c r="S1790" s="127"/>
      <c r="T1790" s="127"/>
      <c r="U1790" s="127"/>
    </row>
    <row r="1791" spans="1:21" ht="15" customHeight="1">
      <c r="A1791" s="125"/>
      <c r="B1791" s="125"/>
      <c r="C1791" s="125"/>
      <c r="D1791" s="81"/>
      <c r="E1791" s="81"/>
      <c r="F1791" s="97"/>
      <c r="G1791" s="81"/>
      <c r="H1791" s="81"/>
      <c r="I1791" s="81"/>
      <c r="J1791" s="81"/>
      <c r="K1791" s="81"/>
      <c r="L1791" s="155"/>
      <c r="M1791" s="155"/>
      <c r="N1791" s="109"/>
      <c r="O1791" s="126"/>
      <c r="P1791" s="126"/>
      <c r="Q1791" s="126"/>
      <c r="R1791" s="127"/>
      <c r="S1791" s="127"/>
      <c r="T1791" s="127"/>
      <c r="U1791" s="127"/>
    </row>
    <row r="1792" spans="1:21" ht="15" customHeight="1">
      <c r="A1792" s="125"/>
      <c r="B1792" s="125"/>
      <c r="C1792" s="125"/>
      <c r="D1792" s="81"/>
      <c r="E1792" s="81"/>
      <c r="F1792" s="97"/>
      <c r="G1792" s="81"/>
      <c r="H1792" s="81"/>
      <c r="I1792" s="81"/>
      <c r="J1792" s="81"/>
      <c r="K1792" s="81"/>
      <c r="L1792" s="155"/>
      <c r="M1792" s="155"/>
      <c r="N1792" s="109"/>
      <c r="O1792" s="126"/>
      <c r="P1792" s="126"/>
      <c r="Q1792" s="126"/>
      <c r="R1792" s="127"/>
      <c r="S1792" s="127"/>
      <c r="T1792" s="127"/>
      <c r="U1792" s="127"/>
    </row>
    <row r="1793" spans="1:21" ht="15" customHeight="1">
      <c r="A1793" s="125"/>
      <c r="B1793" s="125"/>
      <c r="C1793" s="125"/>
      <c r="D1793" s="81"/>
      <c r="E1793" s="81"/>
      <c r="F1793" s="97"/>
      <c r="G1793" s="81"/>
      <c r="H1793" s="81"/>
      <c r="I1793" s="81"/>
      <c r="J1793" s="81"/>
      <c r="K1793" s="81"/>
      <c r="L1793" s="155"/>
      <c r="M1793" s="155"/>
      <c r="N1793" s="109"/>
      <c r="O1793" s="126"/>
      <c r="P1793" s="126"/>
      <c r="Q1793" s="126"/>
      <c r="R1793" s="127"/>
      <c r="S1793" s="127"/>
      <c r="T1793" s="127"/>
      <c r="U1793" s="127"/>
    </row>
    <row r="1794" spans="1:21" ht="15" customHeight="1">
      <c r="A1794" s="125"/>
      <c r="B1794" s="125"/>
      <c r="C1794" s="125"/>
      <c r="D1794" s="81"/>
      <c r="E1794" s="81"/>
      <c r="F1794" s="97"/>
      <c r="G1794" s="81"/>
      <c r="H1794" s="81"/>
      <c r="I1794" s="81"/>
      <c r="J1794" s="81"/>
      <c r="K1794" s="81"/>
      <c r="L1794" s="155"/>
      <c r="M1794" s="155"/>
      <c r="N1794" s="109"/>
      <c r="O1794" s="126"/>
      <c r="P1794" s="126"/>
      <c r="Q1794" s="126"/>
      <c r="R1794" s="127"/>
      <c r="S1794" s="127"/>
      <c r="T1794" s="127"/>
      <c r="U1794" s="127"/>
    </row>
    <row r="1795" spans="1:21" ht="15" customHeight="1">
      <c r="A1795" s="125"/>
      <c r="B1795" s="125"/>
      <c r="C1795" s="125"/>
      <c r="D1795" s="81"/>
      <c r="E1795" s="81"/>
      <c r="F1795" s="97"/>
      <c r="G1795" s="81"/>
      <c r="H1795" s="81"/>
      <c r="I1795" s="81"/>
      <c r="J1795" s="81"/>
      <c r="K1795" s="81"/>
      <c r="L1795" s="155"/>
      <c r="M1795" s="155"/>
      <c r="N1795" s="109"/>
      <c r="O1795" s="126"/>
      <c r="P1795" s="126"/>
      <c r="Q1795" s="126"/>
      <c r="R1795" s="127"/>
      <c r="S1795" s="127"/>
      <c r="T1795" s="127"/>
      <c r="U1795" s="127"/>
    </row>
    <row r="1796" spans="1:21" ht="15" customHeight="1">
      <c r="A1796" s="125"/>
      <c r="B1796" s="125"/>
      <c r="C1796" s="125"/>
      <c r="D1796" s="81"/>
      <c r="E1796" s="81"/>
      <c r="F1796" s="97"/>
      <c r="G1796" s="81"/>
      <c r="H1796" s="81"/>
      <c r="I1796" s="81"/>
      <c r="J1796" s="81"/>
      <c r="K1796" s="81"/>
      <c r="L1796" s="155"/>
      <c r="M1796" s="155"/>
      <c r="N1796" s="109"/>
      <c r="O1796" s="126"/>
      <c r="P1796" s="126"/>
      <c r="Q1796" s="126"/>
      <c r="R1796" s="127"/>
      <c r="S1796" s="127"/>
      <c r="T1796" s="127"/>
      <c r="U1796" s="127"/>
    </row>
    <row r="1797" spans="1:21" ht="15" customHeight="1">
      <c r="A1797" s="125"/>
      <c r="B1797" s="125"/>
      <c r="C1797" s="125"/>
      <c r="D1797" s="81"/>
      <c r="E1797" s="81"/>
      <c r="F1797" s="97"/>
      <c r="G1797" s="81"/>
      <c r="H1797" s="81"/>
      <c r="I1797" s="81"/>
      <c r="J1797" s="81"/>
      <c r="K1797" s="81"/>
      <c r="L1797" s="155"/>
      <c r="M1797" s="155"/>
      <c r="N1797" s="109"/>
      <c r="O1797" s="126"/>
      <c r="P1797" s="126"/>
      <c r="Q1797" s="126"/>
      <c r="R1797" s="127"/>
      <c r="S1797" s="127"/>
      <c r="T1797" s="127"/>
      <c r="U1797" s="127"/>
    </row>
    <row r="1798" spans="1:21" ht="15" customHeight="1">
      <c r="A1798" s="125"/>
      <c r="B1798" s="125"/>
      <c r="C1798" s="125"/>
      <c r="D1798" s="81"/>
      <c r="E1798" s="81"/>
      <c r="F1798" s="97"/>
      <c r="G1798" s="81"/>
      <c r="H1798" s="81"/>
      <c r="I1798" s="81"/>
      <c r="J1798" s="81"/>
      <c r="K1798" s="81"/>
      <c r="L1798" s="155"/>
      <c r="M1798" s="155"/>
      <c r="N1798" s="109"/>
      <c r="O1798" s="126"/>
      <c r="P1798" s="126"/>
      <c r="Q1798" s="126"/>
      <c r="R1798" s="127"/>
      <c r="S1798" s="127"/>
      <c r="T1798" s="127"/>
      <c r="U1798" s="127"/>
    </row>
    <row r="1799" spans="1:21" ht="15" customHeight="1">
      <c r="A1799" s="125"/>
      <c r="B1799" s="125"/>
      <c r="C1799" s="125"/>
      <c r="D1799" s="81"/>
      <c r="E1799" s="81"/>
      <c r="F1799" s="97"/>
      <c r="G1799" s="81"/>
      <c r="H1799" s="81"/>
      <c r="I1799" s="81"/>
      <c r="J1799" s="81"/>
      <c r="K1799" s="81"/>
      <c r="L1799" s="155"/>
      <c r="M1799" s="155"/>
      <c r="N1799" s="109"/>
      <c r="O1799" s="126"/>
      <c r="P1799" s="126"/>
      <c r="Q1799" s="126"/>
      <c r="R1799" s="127"/>
      <c r="S1799" s="127"/>
      <c r="T1799" s="127"/>
      <c r="U1799" s="127"/>
    </row>
    <row r="1800" spans="1:21" ht="15" customHeight="1">
      <c r="A1800" s="125"/>
      <c r="B1800" s="125"/>
      <c r="C1800" s="125"/>
      <c r="D1800" s="81"/>
      <c r="E1800" s="81"/>
      <c r="F1800" s="97"/>
      <c r="G1800" s="81"/>
      <c r="H1800" s="81"/>
      <c r="I1800" s="81"/>
      <c r="J1800" s="81"/>
      <c r="K1800" s="81"/>
      <c r="L1800" s="155"/>
      <c r="M1800" s="155"/>
      <c r="N1800" s="109"/>
      <c r="O1800" s="126"/>
      <c r="P1800" s="126"/>
      <c r="Q1800" s="126"/>
      <c r="R1800" s="127"/>
      <c r="S1800" s="127"/>
      <c r="T1800" s="127"/>
      <c r="U1800" s="127"/>
    </row>
    <row r="1801" spans="1:21" ht="15" customHeight="1">
      <c r="A1801" s="125"/>
      <c r="B1801" s="125"/>
      <c r="C1801" s="125"/>
      <c r="D1801" s="81"/>
      <c r="E1801" s="81"/>
      <c r="F1801" s="97"/>
      <c r="G1801" s="81"/>
      <c r="H1801" s="81"/>
      <c r="I1801" s="81"/>
      <c r="J1801" s="81"/>
      <c r="K1801" s="81"/>
      <c r="L1801" s="155"/>
      <c r="M1801" s="155"/>
      <c r="N1801" s="109"/>
      <c r="O1801" s="126"/>
      <c r="P1801" s="126"/>
      <c r="Q1801" s="126"/>
      <c r="R1801" s="127"/>
      <c r="S1801" s="127"/>
      <c r="T1801" s="127"/>
      <c r="U1801" s="127"/>
    </row>
    <row r="1802" spans="1:21" ht="15" customHeight="1">
      <c r="A1802" s="125"/>
      <c r="B1802" s="125"/>
      <c r="C1802" s="125"/>
      <c r="D1802" s="81"/>
      <c r="E1802" s="81"/>
      <c r="F1802" s="97"/>
      <c r="G1802" s="81"/>
      <c r="H1802" s="81"/>
      <c r="I1802" s="81"/>
      <c r="J1802" s="81"/>
      <c r="K1802" s="81"/>
      <c r="L1802" s="155"/>
      <c r="M1802" s="155"/>
      <c r="N1802" s="109"/>
      <c r="O1802" s="126"/>
      <c r="P1802" s="126"/>
      <c r="Q1802" s="126"/>
      <c r="R1802" s="127"/>
      <c r="S1802" s="127"/>
      <c r="T1802" s="127"/>
      <c r="U1802" s="127"/>
    </row>
    <row r="1803" spans="1:21" ht="15" customHeight="1">
      <c r="A1803" s="125"/>
      <c r="B1803" s="125"/>
      <c r="C1803" s="125"/>
      <c r="D1803" s="81"/>
      <c r="E1803" s="81"/>
      <c r="F1803" s="97"/>
      <c r="G1803" s="81"/>
      <c r="H1803" s="81"/>
      <c r="I1803" s="81"/>
      <c r="J1803" s="81"/>
      <c r="K1803" s="81"/>
      <c r="L1803" s="155"/>
      <c r="M1803" s="155"/>
      <c r="N1803" s="109"/>
      <c r="O1803" s="126"/>
      <c r="P1803" s="126"/>
      <c r="Q1803" s="126"/>
      <c r="R1803" s="127"/>
      <c r="S1803" s="127"/>
      <c r="T1803" s="127"/>
      <c r="U1803" s="127"/>
    </row>
    <row r="1804" spans="1:21" ht="15" customHeight="1">
      <c r="A1804" s="125"/>
      <c r="B1804" s="125"/>
      <c r="C1804" s="125"/>
      <c r="D1804" s="81"/>
      <c r="E1804" s="81"/>
      <c r="F1804" s="97"/>
      <c r="G1804" s="81"/>
      <c r="H1804" s="81"/>
      <c r="I1804" s="81"/>
      <c r="J1804" s="81"/>
      <c r="K1804" s="81"/>
      <c r="L1804" s="155"/>
      <c r="M1804" s="155"/>
      <c r="N1804" s="109"/>
      <c r="O1804" s="126"/>
      <c r="P1804" s="126"/>
      <c r="Q1804" s="126"/>
      <c r="R1804" s="127"/>
      <c r="S1804" s="127"/>
      <c r="T1804" s="127"/>
      <c r="U1804" s="127"/>
    </row>
    <row r="1805" spans="1:21" ht="15" customHeight="1">
      <c r="A1805" s="125"/>
      <c r="B1805" s="125"/>
      <c r="C1805" s="125"/>
      <c r="D1805" s="81"/>
      <c r="E1805" s="81"/>
      <c r="F1805" s="97"/>
      <c r="G1805" s="81"/>
      <c r="H1805" s="81"/>
      <c r="I1805" s="81"/>
      <c r="J1805" s="81"/>
      <c r="K1805" s="81"/>
      <c r="L1805" s="155"/>
      <c r="M1805" s="155"/>
      <c r="N1805" s="109"/>
      <c r="O1805" s="126"/>
      <c r="P1805" s="126"/>
      <c r="Q1805" s="126"/>
      <c r="R1805" s="127"/>
      <c r="S1805" s="127"/>
      <c r="T1805" s="127"/>
      <c r="U1805" s="127"/>
    </row>
    <row r="1806" spans="1:21" ht="15" customHeight="1">
      <c r="A1806" s="125"/>
      <c r="B1806" s="125"/>
      <c r="C1806" s="125"/>
      <c r="D1806" s="81"/>
      <c r="E1806" s="81"/>
      <c r="F1806" s="97"/>
      <c r="G1806" s="81"/>
      <c r="H1806" s="81"/>
      <c r="I1806" s="81"/>
      <c r="J1806" s="81"/>
      <c r="K1806" s="81"/>
      <c r="L1806" s="155"/>
      <c r="M1806" s="155"/>
      <c r="N1806" s="109"/>
      <c r="O1806" s="126"/>
      <c r="P1806" s="126"/>
      <c r="Q1806" s="126"/>
      <c r="R1806" s="127"/>
      <c r="S1806" s="127"/>
      <c r="T1806" s="127"/>
      <c r="U1806" s="127"/>
    </row>
    <row r="1807" spans="1:21" ht="15" customHeight="1">
      <c r="A1807" s="125"/>
      <c r="B1807" s="125"/>
      <c r="C1807" s="125"/>
      <c r="D1807" s="81"/>
      <c r="E1807" s="81"/>
      <c r="F1807" s="97"/>
      <c r="G1807" s="81"/>
      <c r="H1807" s="81"/>
      <c r="I1807" s="81"/>
      <c r="J1807" s="81"/>
      <c r="K1807" s="81"/>
      <c r="L1807" s="155"/>
      <c r="M1807" s="155"/>
      <c r="N1807" s="109"/>
      <c r="O1807" s="126"/>
      <c r="P1807" s="126"/>
      <c r="Q1807" s="126"/>
      <c r="R1807" s="127"/>
      <c r="S1807" s="127"/>
      <c r="T1807" s="127"/>
      <c r="U1807" s="127"/>
    </row>
    <row r="1808" spans="1:21" ht="15" customHeight="1">
      <c r="A1808" s="125"/>
      <c r="B1808" s="125"/>
      <c r="C1808" s="125"/>
      <c r="D1808" s="81"/>
      <c r="E1808" s="81"/>
      <c r="F1808" s="97"/>
      <c r="G1808" s="81"/>
      <c r="H1808" s="81"/>
      <c r="I1808" s="81"/>
      <c r="J1808" s="81"/>
      <c r="K1808" s="81"/>
      <c r="L1808" s="155"/>
      <c r="M1808" s="155"/>
      <c r="N1808" s="109"/>
      <c r="O1808" s="126"/>
      <c r="P1808" s="126"/>
      <c r="Q1808" s="126"/>
      <c r="R1808" s="127"/>
      <c r="S1808" s="127"/>
      <c r="T1808" s="127"/>
      <c r="U1808" s="127"/>
    </row>
    <row r="1809" spans="1:21" ht="15" customHeight="1">
      <c r="A1809" s="125"/>
      <c r="B1809" s="125"/>
      <c r="C1809" s="125"/>
      <c r="D1809" s="81"/>
      <c r="E1809" s="81"/>
      <c r="F1809" s="97"/>
      <c r="G1809" s="81"/>
      <c r="H1809" s="81"/>
      <c r="I1809" s="81"/>
      <c r="J1809" s="81"/>
      <c r="K1809" s="81"/>
      <c r="L1809" s="155"/>
      <c r="M1809" s="155"/>
      <c r="N1809" s="109"/>
      <c r="O1809" s="126"/>
      <c r="P1809" s="126"/>
      <c r="Q1809" s="126"/>
      <c r="R1809" s="127"/>
      <c r="S1809" s="127"/>
      <c r="T1809" s="127"/>
      <c r="U1809" s="127"/>
    </row>
    <row r="1810" spans="1:21" ht="15" customHeight="1">
      <c r="A1810" s="125"/>
      <c r="B1810" s="125"/>
      <c r="C1810" s="125"/>
      <c r="D1810" s="81"/>
      <c r="E1810" s="81"/>
      <c r="F1810" s="97"/>
      <c r="G1810" s="81"/>
      <c r="H1810" s="81"/>
      <c r="I1810" s="81"/>
      <c r="J1810" s="81"/>
      <c r="K1810" s="81"/>
      <c r="L1810" s="155"/>
      <c r="M1810" s="155"/>
      <c r="N1810" s="109"/>
      <c r="O1810" s="126"/>
      <c r="P1810" s="126"/>
      <c r="Q1810" s="126"/>
      <c r="R1810" s="127"/>
      <c r="S1810" s="127"/>
      <c r="T1810" s="127"/>
      <c r="U1810" s="127"/>
    </row>
    <row r="1811" spans="1:21" ht="15" customHeight="1">
      <c r="A1811" s="125"/>
      <c r="B1811" s="125"/>
      <c r="C1811" s="125"/>
      <c r="D1811" s="81"/>
      <c r="E1811" s="81"/>
      <c r="F1811" s="97"/>
      <c r="G1811" s="81"/>
      <c r="H1811" s="81"/>
      <c r="I1811" s="81"/>
      <c r="J1811" s="81"/>
      <c r="K1811" s="81"/>
      <c r="L1811" s="155"/>
      <c r="M1811" s="155"/>
      <c r="N1811" s="109"/>
      <c r="O1811" s="126"/>
      <c r="P1811" s="126"/>
      <c r="Q1811" s="126"/>
      <c r="R1811" s="127"/>
      <c r="S1811" s="127"/>
      <c r="T1811" s="127"/>
      <c r="U1811" s="127"/>
    </row>
    <row r="1812" spans="1:21" ht="15" customHeight="1">
      <c r="A1812" s="125"/>
      <c r="B1812" s="125"/>
      <c r="C1812" s="125"/>
      <c r="D1812" s="81"/>
      <c r="E1812" s="81"/>
      <c r="F1812" s="97"/>
      <c r="G1812" s="81"/>
      <c r="H1812" s="81"/>
      <c r="I1812" s="81"/>
      <c r="J1812" s="81"/>
      <c r="K1812" s="81"/>
      <c r="L1812" s="155"/>
      <c r="M1812" s="155"/>
      <c r="N1812" s="109"/>
      <c r="O1812" s="126"/>
      <c r="P1812" s="126"/>
      <c r="Q1812" s="126"/>
      <c r="R1812" s="127"/>
      <c r="S1812" s="127"/>
      <c r="T1812" s="127"/>
      <c r="U1812" s="127"/>
    </row>
    <row r="1813" spans="1:21" ht="15" customHeight="1">
      <c r="A1813" s="125"/>
      <c r="B1813" s="125"/>
      <c r="C1813" s="125"/>
      <c r="D1813" s="81"/>
      <c r="E1813" s="81"/>
      <c r="F1813" s="97"/>
      <c r="G1813" s="81"/>
      <c r="H1813" s="81"/>
      <c r="I1813" s="81"/>
      <c r="J1813" s="81"/>
      <c r="K1813" s="81"/>
      <c r="L1813" s="155"/>
      <c r="M1813" s="155"/>
      <c r="N1813" s="109"/>
      <c r="O1813" s="126"/>
      <c r="P1813" s="126"/>
      <c r="Q1813" s="126"/>
      <c r="R1813" s="127"/>
      <c r="S1813" s="127"/>
      <c r="T1813" s="127"/>
      <c r="U1813" s="127"/>
    </row>
    <row r="1814" spans="1:21" ht="15" customHeight="1">
      <c r="A1814" s="125"/>
      <c r="B1814" s="125"/>
      <c r="C1814" s="125"/>
      <c r="D1814" s="81"/>
      <c r="E1814" s="81"/>
      <c r="F1814" s="97"/>
      <c r="G1814" s="81"/>
      <c r="H1814" s="81"/>
      <c r="I1814" s="81"/>
      <c r="J1814" s="81"/>
      <c r="K1814" s="81"/>
      <c r="L1814" s="155"/>
      <c r="M1814" s="155"/>
      <c r="N1814" s="109"/>
      <c r="O1814" s="126"/>
      <c r="P1814" s="126"/>
      <c r="Q1814" s="126"/>
      <c r="R1814" s="127"/>
      <c r="S1814" s="127"/>
      <c r="T1814" s="127"/>
      <c r="U1814" s="127"/>
    </row>
    <row r="1815" spans="1:21" ht="15" customHeight="1">
      <c r="A1815" s="125"/>
      <c r="B1815" s="125"/>
      <c r="C1815" s="125"/>
      <c r="D1815" s="81"/>
      <c r="E1815" s="81"/>
      <c r="F1815" s="97"/>
      <c r="G1815" s="81"/>
      <c r="H1815" s="81"/>
      <c r="I1815" s="81"/>
      <c r="J1815" s="81"/>
      <c r="K1815" s="81"/>
      <c r="L1815" s="155"/>
      <c r="M1815" s="155"/>
      <c r="N1815" s="109"/>
      <c r="O1815" s="126"/>
      <c r="P1815" s="126"/>
      <c r="Q1815" s="126"/>
      <c r="R1815" s="127"/>
      <c r="S1815" s="127"/>
      <c r="T1815" s="127"/>
      <c r="U1815" s="127"/>
    </row>
    <row r="1816" spans="1:21" ht="15" customHeight="1">
      <c r="A1816" s="125"/>
      <c r="B1816" s="125"/>
      <c r="C1816" s="125"/>
      <c r="D1816" s="81"/>
      <c r="E1816" s="81"/>
      <c r="F1816" s="97"/>
      <c r="G1816" s="81"/>
      <c r="H1816" s="81"/>
      <c r="I1816" s="81"/>
      <c r="J1816" s="81"/>
      <c r="K1816" s="81"/>
      <c r="L1816" s="155"/>
      <c r="M1816" s="155"/>
      <c r="N1816" s="109"/>
      <c r="O1816" s="126"/>
      <c r="P1816" s="126"/>
      <c r="Q1816" s="126"/>
      <c r="R1816" s="127"/>
      <c r="S1816" s="127"/>
      <c r="T1816" s="127"/>
      <c r="U1816" s="127"/>
    </row>
    <row r="1817" spans="1:21" ht="15" customHeight="1">
      <c r="A1817" s="125"/>
      <c r="B1817" s="125"/>
      <c r="C1817" s="125"/>
      <c r="D1817" s="81"/>
      <c r="E1817" s="81"/>
      <c r="F1817" s="97"/>
      <c r="G1817" s="81"/>
      <c r="H1817" s="81"/>
      <c r="I1817" s="81"/>
      <c r="J1817" s="81"/>
      <c r="K1817" s="81"/>
      <c r="L1817" s="155"/>
      <c r="M1817" s="155"/>
      <c r="N1817" s="109"/>
      <c r="O1817" s="126"/>
      <c r="P1817" s="126"/>
      <c r="Q1817" s="126"/>
      <c r="R1817" s="127"/>
      <c r="S1817" s="127"/>
      <c r="T1817" s="127"/>
      <c r="U1817" s="127"/>
    </row>
    <row r="1818" spans="1:21" ht="15" customHeight="1">
      <c r="A1818" s="125"/>
      <c r="B1818" s="125"/>
      <c r="C1818" s="125"/>
      <c r="D1818" s="81"/>
      <c r="E1818" s="81"/>
      <c r="F1818" s="97"/>
      <c r="G1818" s="81"/>
      <c r="H1818" s="81"/>
      <c r="I1818" s="81"/>
      <c r="J1818" s="81"/>
      <c r="K1818" s="81"/>
      <c r="L1818" s="155"/>
      <c r="M1818" s="155"/>
      <c r="N1818" s="109"/>
      <c r="O1818" s="126"/>
      <c r="P1818" s="126"/>
      <c r="Q1818" s="126"/>
      <c r="R1818" s="127"/>
      <c r="S1818" s="127"/>
      <c r="T1818" s="127"/>
      <c r="U1818" s="127"/>
    </row>
    <row r="1819" spans="1:21" ht="15" customHeight="1">
      <c r="A1819" s="125"/>
      <c r="B1819" s="125"/>
      <c r="C1819" s="125"/>
      <c r="D1819" s="81"/>
      <c r="E1819" s="81"/>
      <c r="F1819" s="97"/>
      <c r="G1819" s="81"/>
      <c r="H1819" s="81"/>
      <c r="I1819" s="81"/>
      <c r="J1819" s="81"/>
      <c r="K1819" s="81"/>
      <c r="L1819" s="155"/>
      <c r="M1819" s="155"/>
      <c r="N1819" s="109"/>
      <c r="O1819" s="126"/>
      <c r="P1819" s="126"/>
      <c r="Q1819" s="126"/>
      <c r="R1819" s="127"/>
      <c r="S1819" s="127"/>
      <c r="T1819" s="127"/>
      <c r="U1819" s="127"/>
    </row>
    <row r="1820" spans="1:21" ht="15" customHeight="1">
      <c r="A1820" s="125"/>
      <c r="B1820" s="125"/>
      <c r="C1820" s="125"/>
      <c r="D1820" s="81"/>
      <c r="E1820" s="81"/>
      <c r="F1820" s="97"/>
      <c r="G1820" s="81"/>
      <c r="H1820" s="81"/>
      <c r="I1820" s="81"/>
      <c r="J1820" s="81"/>
      <c r="K1820" s="81"/>
      <c r="L1820" s="155"/>
      <c r="M1820" s="155"/>
      <c r="N1820" s="109"/>
      <c r="O1820" s="126"/>
      <c r="P1820" s="126"/>
      <c r="Q1820" s="126"/>
      <c r="R1820" s="127"/>
      <c r="S1820" s="127"/>
      <c r="T1820" s="127"/>
      <c r="U1820" s="127"/>
    </row>
    <row r="1821" spans="1:21" ht="15" customHeight="1">
      <c r="A1821" s="125"/>
      <c r="B1821" s="125"/>
      <c r="C1821" s="125"/>
      <c r="D1821" s="81"/>
      <c r="E1821" s="81"/>
      <c r="F1821" s="97"/>
      <c r="G1821" s="81"/>
      <c r="H1821" s="81"/>
      <c r="I1821" s="81"/>
      <c r="J1821" s="81"/>
      <c r="K1821" s="81"/>
      <c r="L1821" s="155"/>
      <c r="M1821" s="155"/>
      <c r="N1821" s="109"/>
      <c r="O1821" s="126"/>
      <c r="P1821" s="126"/>
      <c r="Q1821" s="126"/>
      <c r="R1821" s="127"/>
      <c r="S1821" s="127"/>
      <c r="T1821" s="127"/>
      <c r="U1821" s="127"/>
    </row>
    <row r="1822" spans="1:21" ht="15" customHeight="1">
      <c r="A1822" s="125"/>
      <c r="B1822" s="125"/>
      <c r="C1822" s="125"/>
      <c r="D1822" s="81"/>
      <c r="E1822" s="81"/>
      <c r="F1822" s="97"/>
      <c r="G1822" s="81"/>
      <c r="H1822" s="81"/>
      <c r="I1822" s="81"/>
      <c r="J1822" s="81"/>
      <c r="K1822" s="81"/>
      <c r="L1822" s="155"/>
      <c r="M1822" s="155"/>
      <c r="N1822" s="109"/>
      <c r="O1822" s="126"/>
      <c r="P1822" s="126"/>
      <c r="Q1822" s="126"/>
      <c r="R1822" s="127"/>
      <c r="S1822" s="127"/>
      <c r="T1822" s="127"/>
      <c r="U1822" s="127"/>
    </row>
    <row r="1823" spans="1:21" ht="15" customHeight="1">
      <c r="A1823" s="125"/>
      <c r="B1823" s="125"/>
      <c r="C1823" s="125"/>
      <c r="D1823" s="81"/>
      <c r="E1823" s="81"/>
      <c r="F1823" s="97"/>
      <c r="G1823" s="81"/>
      <c r="H1823" s="81"/>
      <c r="I1823" s="81"/>
      <c r="J1823" s="81"/>
      <c r="K1823" s="81"/>
      <c r="L1823" s="155"/>
      <c r="M1823" s="155"/>
      <c r="N1823" s="109"/>
      <c r="O1823" s="126"/>
      <c r="P1823" s="126"/>
      <c r="Q1823" s="126"/>
      <c r="R1823" s="127"/>
      <c r="S1823" s="127"/>
      <c r="T1823" s="127"/>
      <c r="U1823" s="127"/>
    </row>
    <row r="1824" spans="1:21" ht="15" customHeight="1">
      <c r="A1824" s="125"/>
      <c r="B1824" s="125"/>
      <c r="C1824" s="125"/>
      <c r="D1824" s="81"/>
      <c r="E1824" s="81"/>
      <c r="F1824" s="97"/>
      <c r="G1824" s="81"/>
      <c r="H1824" s="81"/>
      <c r="I1824" s="81"/>
      <c r="J1824" s="81"/>
      <c r="K1824" s="81"/>
      <c r="L1824" s="155"/>
      <c r="M1824" s="155"/>
      <c r="N1824" s="109"/>
      <c r="O1824" s="126"/>
      <c r="P1824" s="126"/>
      <c r="Q1824" s="126"/>
      <c r="R1824" s="127"/>
      <c r="S1824" s="127"/>
      <c r="T1824" s="127"/>
      <c r="U1824" s="127"/>
    </row>
    <row r="1825" spans="1:21" ht="15" customHeight="1">
      <c r="A1825" s="125"/>
      <c r="B1825" s="125"/>
      <c r="C1825" s="125"/>
      <c r="D1825" s="81"/>
      <c r="E1825" s="81"/>
      <c r="F1825" s="97"/>
      <c r="G1825" s="81"/>
      <c r="H1825" s="81"/>
      <c r="I1825" s="81"/>
      <c r="J1825" s="81"/>
      <c r="K1825" s="81"/>
      <c r="L1825" s="155"/>
      <c r="M1825" s="155"/>
      <c r="N1825" s="109"/>
      <c r="O1825" s="126"/>
      <c r="P1825" s="126"/>
      <c r="Q1825" s="126"/>
      <c r="R1825" s="127"/>
      <c r="S1825" s="127"/>
      <c r="T1825" s="127"/>
      <c r="U1825" s="127"/>
    </row>
    <row r="1826" spans="1:21" ht="15" customHeight="1">
      <c r="A1826" s="125"/>
      <c r="B1826" s="125"/>
      <c r="C1826" s="125"/>
      <c r="D1826" s="81"/>
      <c r="E1826" s="81"/>
      <c r="F1826" s="97"/>
      <c r="G1826" s="81"/>
      <c r="H1826" s="81"/>
      <c r="I1826" s="81"/>
      <c r="J1826" s="81"/>
      <c r="K1826" s="81"/>
      <c r="L1826" s="155"/>
      <c r="M1826" s="155"/>
      <c r="N1826" s="109"/>
      <c r="O1826" s="126"/>
      <c r="P1826" s="126"/>
      <c r="Q1826" s="126"/>
      <c r="R1826" s="127"/>
      <c r="S1826" s="127"/>
      <c r="T1826" s="127"/>
      <c r="U1826" s="127"/>
    </row>
    <row r="1827" spans="1:21" ht="15" customHeight="1">
      <c r="A1827" s="125"/>
      <c r="B1827" s="125"/>
      <c r="C1827" s="125"/>
      <c r="D1827" s="81"/>
      <c r="E1827" s="81"/>
      <c r="F1827" s="97"/>
      <c r="G1827" s="81"/>
      <c r="H1827" s="81"/>
      <c r="I1827" s="81"/>
      <c r="J1827" s="81"/>
      <c r="K1827" s="81"/>
      <c r="L1827" s="155"/>
      <c r="M1827" s="155"/>
      <c r="N1827" s="109"/>
      <c r="O1827" s="126"/>
      <c r="P1827" s="126"/>
      <c r="Q1827" s="126"/>
      <c r="R1827" s="127"/>
      <c r="S1827" s="127"/>
      <c r="T1827" s="127"/>
      <c r="U1827" s="127"/>
    </row>
    <row r="1828" spans="1:21" ht="15" customHeight="1">
      <c r="A1828" s="125"/>
      <c r="B1828" s="125"/>
      <c r="C1828" s="125"/>
      <c r="D1828" s="81"/>
      <c r="E1828" s="81"/>
      <c r="F1828" s="97"/>
      <c r="G1828" s="81"/>
      <c r="H1828" s="81"/>
      <c r="I1828" s="81"/>
      <c r="J1828" s="81"/>
      <c r="K1828" s="81"/>
      <c r="L1828" s="155"/>
      <c r="M1828" s="155"/>
      <c r="N1828" s="109"/>
      <c r="O1828" s="126"/>
      <c r="P1828" s="126"/>
      <c r="Q1828" s="126"/>
      <c r="R1828" s="127"/>
      <c r="S1828" s="127"/>
      <c r="T1828" s="127"/>
      <c r="U1828" s="127"/>
    </row>
    <row r="1829" spans="1:21" ht="15" customHeight="1">
      <c r="A1829" s="125"/>
      <c r="B1829" s="125"/>
      <c r="C1829" s="125"/>
      <c r="D1829" s="81"/>
      <c r="E1829" s="81"/>
      <c r="F1829" s="97"/>
      <c r="G1829" s="81"/>
      <c r="H1829" s="81"/>
      <c r="I1829" s="81"/>
      <c r="J1829" s="81"/>
      <c r="K1829" s="81"/>
      <c r="L1829" s="155"/>
      <c r="M1829" s="155"/>
      <c r="N1829" s="109"/>
      <c r="O1829" s="126"/>
      <c r="P1829" s="126"/>
      <c r="Q1829" s="126"/>
      <c r="R1829" s="127"/>
      <c r="S1829" s="127"/>
      <c r="T1829" s="127"/>
      <c r="U1829" s="127"/>
    </row>
    <row r="1830" spans="1:21" ht="15" customHeight="1">
      <c r="A1830" s="125"/>
      <c r="B1830" s="125"/>
      <c r="C1830" s="125"/>
      <c r="D1830" s="81"/>
      <c r="E1830" s="81"/>
      <c r="F1830" s="97"/>
      <c r="G1830" s="81"/>
      <c r="H1830" s="81"/>
      <c r="I1830" s="81"/>
      <c r="J1830" s="81"/>
      <c r="K1830" s="81"/>
      <c r="L1830" s="155"/>
      <c r="M1830" s="155"/>
      <c r="N1830" s="109"/>
      <c r="O1830" s="126"/>
      <c r="P1830" s="126"/>
      <c r="Q1830" s="126"/>
      <c r="R1830" s="127"/>
      <c r="S1830" s="127"/>
      <c r="T1830" s="127"/>
      <c r="U1830" s="127"/>
    </row>
    <row r="1831" spans="1:21" ht="15" customHeight="1">
      <c r="A1831" s="125"/>
      <c r="B1831" s="125"/>
      <c r="C1831" s="125"/>
      <c r="D1831" s="81"/>
      <c r="E1831" s="81"/>
      <c r="F1831" s="97"/>
      <c r="G1831" s="81"/>
      <c r="H1831" s="81"/>
      <c r="I1831" s="81"/>
      <c r="J1831" s="81"/>
      <c r="K1831" s="81"/>
      <c r="L1831" s="155"/>
      <c r="M1831" s="155"/>
      <c r="N1831" s="109"/>
      <c r="O1831" s="126"/>
      <c r="P1831" s="126"/>
      <c r="Q1831" s="126"/>
      <c r="R1831" s="127"/>
      <c r="S1831" s="127"/>
      <c r="T1831" s="127"/>
      <c r="U1831" s="127"/>
    </row>
    <row r="1832" spans="1:21" ht="15" customHeight="1">
      <c r="A1832" s="125"/>
      <c r="B1832" s="125"/>
      <c r="C1832" s="125"/>
      <c r="D1832" s="81"/>
      <c r="E1832" s="81"/>
      <c r="F1832" s="97"/>
      <c r="G1832" s="81"/>
      <c r="H1832" s="81"/>
      <c r="I1832" s="81"/>
      <c r="J1832" s="81"/>
      <c r="K1832" s="81"/>
      <c r="L1832" s="155"/>
      <c r="M1832" s="155"/>
      <c r="N1832" s="109"/>
      <c r="O1832" s="126"/>
      <c r="P1832" s="126"/>
      <c r="Q1832" s="126"/>
      <c r="R1832" s="127"/>
      <c r="S1832" s="127"/>
      <c r="T1832" s="127"/>
      <c r="U1832" s="127"/>
    </row>
    <row r="1833" spans="1:21" ht="15" customHeight="1">
      <c r="A1833" s="125"/>
      <c r="B1833" s="125"/>
      <c r="C1833" s="125"/>
      <c r="D1833" s="81"/>
      <c r="E1833" s="81"/>
      <c r="F1833" s="97"/>
      <c r="G1833" s="81"/>
      <c r="H1833" s="81"/>
      <c r="I1833" s="81"/>
      <c r="J1833" s="81"/>
      <c r="K1833" s="81"/>
      <c r="L1833" s="155"/>
      <c r="M1833" s="155"/>
      <c r="N1833" s="109"/>
      <c r="O1833" s="126"/>
      <c r="P1833" s="126"/>
      <c r="Q1833" s="126"/>
      <c r="R1833" s="127"/>
      <c r="S1833" s="127"/>
      <c r="T1833" s="127"/>
      <c r="U1833" s="127"/>
    </row>
    <row r="1834" spans="1:21" ht="15" customHeight="1">
      <c r="A1834" s="125"/>
      <c r="B1834" s="125"/>
      <c r="C1834" s="125"/>
      <c r="D1834" s="81"/>
      <c r="E1834" s="81"/>
      <c r="F1834" s="97"/>
      <c r="G1834" s="81"/>
      <c r="H1834" s="81"/>
      <c r="I1834" s="81"/>
      <c r="J1834" s="81"/>
      <c r="K1834" s="81"/>
      <c r="L1834" s="155"/>
      <c r="M1834" s="155"/>
      <c r="N1834" s="109"/>
      <c r="O1834" s="126"/>
      <c r="P1834" s="126"/>
      <c r="Q1834" s="126"/>
      <c r="R1834" s="127"/>
      <c r="S1834" s="127"/>
      <c r="T1834" s="127"/>
      <c r="U1834" s="127"/>
    </row>
    <row r="1835" spans="1:21" ht="15" customHeight="1">
      <c r="A1835" s="125"/>
      <c r="B1835" s="125"/>
      <c r="C1835" s="125"/>
      <c r="D1835" s="81"/>
      <c r="E1835" s="81"/>
      <c r="F1835" s="97"/>
      <c r="G1835" s="81"/>
      <c r="H1835" s="81"/>
      <c r="I1835" s="81"/>
      <c r="J1835" s="81"/>
      <c r="K1835" s="81"/>
      <c r="L1835" s="155"/>
      <c r="M1835" s="155"/>
      <c r="N1835" s="109"/>
      <c r="O1835" s="126"/>
      <c r="P1835" s="126"/>
      <c r="Q1835" s="126"/>
      <c r="R1835" s="127"/>
      <c r="S1835" s="127"/>
      <c r="T1835" s="127"/>
      <c r="U1835" s="127"/>
    </row>
    <row r="1836" spans="1:21" ht="15" customHeight="1">
      <c r="A1836" s="125"/>
      <c r="B1836" s="125"/>
      <c r="C1836" s="125"/>
      <c r="D1836" s="81"/>
      <c r="E1836" s="81"/>
      <c r="F1836" s="97"/>
      <c r="G1836" s="81"/>
      <c r="H1836" s="81"/>
      <c r="I1836" s="81"/>
      <c r="J1836" s="81"/>
      <c r="K1836" s="81"/>
      <c r="L1836" s="155"/>
      <c r="M1836" s="155"/>
      <c r="N1836" s="109"/>
      <c r="O1836" s="126"/>
      <c r="P1836" s="126"/>
      <c r="Q1836" s="126"/>
      <c r="R1836" s="127"/>
      <c r="S1836" s="127"/>
      <c r="T1836" s="127"/>
      <c r="U1836" s="127"/>
    </row>
    <row r="1837" spans="1:21" ht="15" customHeight="1">
      <c r="A1837" s="125"/>
      <c r="B1837" s="125"/>
      <c r="C1837" s="125"/>
      <c r="D1837" s="81"/>
      <c r="E1837" s="81"/>
      <c r="F1837" s="97"/>
      <c r="G1837" s="81"/>
      <c r="H1837" s="81"/>
      <c r="I1837" s="81"/>
      <c r="J1837" s="81"/>
      <c r="K1837" s="81"/>
      <c r="L1837" s="155"/>
      <c r="M1837" s="155"/>
      <c r="N1837" s="109"/>
      <c r="O1837" s="126"/>
      <c r="P1837" s="126"/>
      <c r="Q1837" s="126"/>
      <c r="R1837" s="127"/>
      <c r="S1837" s="127"/>
      <c r="T1837" s="127"/>
      <c r="U1837" s="127"/>
    </row>
    <row r="1838" spans="1:21" ht="15" customHeight="1">
      <c r="A1838" s="125"/>
      <c r="B1838" s="125"/>
      <c r="C1838" s="125"/>
      <c r="D1838" s="81"/>
      <c r="E1838" s="81"/>
      <c r="F1838" s="97"/>
      <c r="G1838" s="81"/>
      <c r="H1838" s="81"/>
      <c r="I1838" s="81"/>
      <c r="J1838" s="81"/>
      <c r="K1838" s="81"/>
      <c r="L1838" s="155"/>
      <c r="M1838" s="155"/>
      <c r="N1838" s="109"/>
      <c r="O1838" s="126"/>
      <c r="P1838" s="126"/>
      <c r="Q1838" s="126"/>
      <c r="R1838" s="127"/>
      <c r="S1838" s="127"/>
      <c r="T1838" s="127"/>
      <c r="U1838" s="127"/>
    </row>
    <row r="1839" spans="1:21" ht="15" customHeight="1">
      <c r="A1839" s="125"/>
      <c r="B1839" s="125"/>
      <c r="C1839" s="125"/>
      <c r="D1839" s="81"/>
      <c r="E1839" s="81"/>
      <c r="F1839" s="97"/>
      <c r="G1839" s="81"/>
      <c r="H1839" s="81"/>
      <c r="I1839" s="81"/>
      <c r="J1839" s="81"/>
      <c r="K1839" s="81"/>
      <c r="L1839" s="155"/>
      <c r="M1839" s="155"/>
      <c r="N1839" s="109"/>
      <c r="O1839" s="126"/>
      <c r="P1839" s="126"/>
      <c r="Q1839" s="126"/>
      <c r="R1839" s="127"/>
      <c r="S1839" s="127"/>
      <c r="T1839" s="127"/>
      <c r="U1839" s="127"/>
    </row>
    <row r="1840" spans="1:21" ht="15" customHeight="1">
      <c r="A1840" s="125"/>
      <c r="B1840" s="125"/>
      <c r="C1840" s="125"/>
      <c r="D1840" s="81"/>
      <c r="E1840" s="81"/>
      <c r="F1840" s="97"/>
      <c r="G1840" s="81"/>
      <c r="H1840" s="81"/>
      <c r="I1840" s="81"/>
      <c r="J1840" s="81"/>
      <c r="K1840" s="81"/>
      <c r="L1840" s="155"/>
      <c r="M1840" s="155"/>
      <c r="N1840" s="109"/>
      <c r="O1840" s="126"/>
      <c r="P1840" s="126"/>
      <c r="Q1840" s="126"/>
      <c r="R1840" s="127"/>
      <c r="S1840" s="127"/>
      <c r="T1840" s="127"/>
      <c r="U1840" s="127"/>
    </row>
    <row r="1841" spans="1:21" ht="15" customHeight="1">
      <c r="A1841" s="125"/>
      <c r="B1841" s="125"/>
      <c r="C1841" s="125"/>
      <c r="D1841" s="81"/>
      <c r="E1841" s="81"/>
      <c r="F1841" s="97"/>
      <c r="G1841" s="81"/>
      <c r="H1841" s="81"/>
      <c r="I1841" s="81"/>
      <c r="J1841" s="81"/>
      <c r="K1841" s="81"/>
      <c r="L1841" s="155"/>
      <c r="M1841" s="155"/>
      <c r="N1841" s="109"/>
      <c r="O1841" s="126"/>
      <c r="P1841" s="126"/>
      <c r="Q1841" s="126"/>
      <c r="R1841" s="127"/>
      <c r="S1841" s="127"/>
      <c r="T1841" s="127"/>
      <c r="U1841" s="127"/>
    </row>
    <row r="1842" spans="1:21" ht="15" customHeight="1">
      <c r="A1842" s="125"/>
      <c r="B1842" s="125"/>
      <c r="C1842" s="125"/>
      <c r="D1842" s="81"/>
      <c r="E1842" s="81"/>
      <c r="F1842" s="97"/>
      <c r="G1842" s="81"/>
      <c r="H1842" s="81"/>
      <c r="I1842" s="81"/>
      <c r="J1842" s="81"/>
      <c r="K1842" s="81"/>
      <c r="L1842" s="155"/>
      <c r="M1842" s="155"/>
      <c r="N1842" s="109"/>
      <c r="O1842" s="126"/>
      <c r="P1842" s="126"/>
      <c r="Q1842" s="126"/>
      <c r="R1842" s="127"/>
      <c r="S1842" s="127"/>
      <c r="T1842" s="127"/>
      <c r="U1842" s="127"/>
    </row>
    <row r="1843" spans="1:21" ht="15" customHeight="1">
      <c r="A1843" s="125"/>
      <c r="B1843" s="125"/>
      <c r="C1843" s="125"/>
      <c r="D1843" s="81"/>
      <c r="E1843" s="81"/>
      <c r="F1843" s="97"/>
      <c r="G1843" s="81"/>
      <c r="H1843" s="81"/>
      <c r="I1843" s="81"/>
      <c r="J1843" s="81"/>
      <c r="K1843" s="81"/>
      <c r="L1843" s="155"/>
      <c r="M1843" s="155"/>
      <c r="N1843" s="109"/>
      <c r="O1843" s="126"/>
      <c r="P1843" s="126"/>
      <c r="Q1843" s="126"/>
      <c r="R1843" s="127"/>
      <c r="S1843" s="127"/>
      <c r="T1843" s="127"/>
      <c r="U1843" s="127"/>
    </row>
    <row r="1844" spans="1:21" ht="15" customHeight="1">
      <c r="A1844" s="125"/>
      <c r="B1844" s="125"/>
      <c r="C1844" s="125"/>
      <c r="D1844" s="81"/>
      <c r="E1844" s="81"/>
      <c r="F1844" s="97"/>
      <c r="G1844" s="81"/>
      <c r="H1844" s="81"/>
      <c r="I1844" s="81"/>
      <c r="J1844" s="81"/>
      <c r="K1844" s="81"/>
      <c r="L1844" s="155"/>
      <c r="M1844" s="155"/>
      <c r="N1844" s="109"/>
      <c r="O1844" s="126"/>
      <c r="P1844" s="126"/>
      <c r="Q1844" s="126"/>
      <c r="R1844" s="127"/>
      <c r="S1844" s="127"/>
      <c r="T1844" s="127"/>
      <c r="U1844" s="127"/>
    </row>
    <row r="1845" spans="1:21" ht="15" customHeight="1">
      <c r="A1845" s="125"/>
      <c r="B1845" s="125"/>
      <c r="C1845" s="125"/>
      <c r="D1845" s="81"/>
      <c r="E1845" s="81"/>
      <c r="F1845" s="97"/>
      <c r="G1845" s="81"/>
      <c r="H1845" s="81"/>
      <c r="I1845" s="81"/>
      <c r="J1845" s="81"/>
      <c r="K1845" s="81"/>
      <c r="L1845" s="155"/>
      <c r="M1845" s="155"/>
      <c r="N1845" s="109"/>
      <c r="O1845" s="126"/>
      <c r="P1845" s="126"/>
      <c r="Q1845" s="126"/>
      <c r="R1845" s="127"/>
      <c r="S1845" s="127"/>
      <c r="T1845" s="127"/>
      <c r="U1845" s="127"/>
    </row>
    <row r="1846" spans="1:21" ht="15" customHeight="1">
      <c r="A1846" s="125"/>
      <c r="B1846" s="125"/>
      <c r="C1846" s="125"/>
      <c r="D1846" s="81"/>
      <c r="E1846" s="81"/>
      <c r="F1846" s="97"/>
      <c r="G1846" s="81"/>
      <c r="H1846" s="81"/>
      <c r="I1846" s="81"/>
      <c r="J1846" s="81"/>
      <c r="K1846" s="81"/>
      <c r="L1846" s="155"/>
      <c r="M1846" s="155"/>
      <c r="N1846" s="109"/>
      <c r="O1846" s="126"/>
      <c r="P1846" s="126"/>
      <c r="Q1846" s="126"/>
      <c r="R1846" s="127"/>
      <c r="S1846" s="127"/>
      <c r="T1846" s="127"/>
      <c r="U1846" s="127"/>
    </row>
    <row r="1847" spans="1:21" ht="15" customHeight="1">
      <c r="A1847" s="125"/>
      <c r="B1847" s="125"/>
      <c r="C1847" s="125"/>
      <c r="D1847" s="81"/>
      <c r="E1847" s="81"/>
      <c r="F1847" s="97"/>
      <c r="G1847" s="81"/>
      <c r="H1847" s="81"/>
      <c r="I1847" s="81"/>
      <c r="J1847" s="81"/>
      <c r="K1847" s="81"/>
      <c r="L1847" s="155"/>
      <c r="M1847" s="155"/>
      <c r="N1847" s="109"/>
      <c r="O1847" s="126"/>
      <c r="P1847" s="126"/>
      <c r="Q1847" s="126"/>
      <c r="R1847" s="127"/>
      <c r="S1847" s="127"/>
      <c r="T1847" s="127"/>
      <c r="U1847" s="127"/>
    </row>
    <row r="1848" spans="1:21" ht="15" customHeight="1">
      <c r="A1848" s="125"/>
      <c r="B1848" s="125"/>
      <c r="C1848" s="125"/>
      <c r="D1848" s="81"/>
      <c r="E1848" s="81"/>
      <c r="F1848" s="97"/>
      <c r="G1848" s="81"/>
      <c r="H1848" s="81"/>
      <c r="I1848" s="81"/>
      <c r="J1848" s="81"/>
      <c r="K1848" s="81"/>
      <c r="L1848" s="155"/>
      <c r="M1848" s="155"/>
      <c r="N1848" s="109"/>
      <c r="O1848" s="126"/>
      <c r="P1848" s="126"/>
      <c r="Q1848" s="126"/>
      <c r="R1848" s="127"/>
      <c r="S1848" s="127"/>
      <c r="T1848" s="127"/>
      <c r="U1848" s="127"/>
    </row>
    <row r="1849" spans="1:21" ht="15" customHeight="1">
      <c r="A1849" s="125"/>
      <c r="B1849" s="125"/>
      <c r="C1849" s="125"/>
      <c r="D1849" s="81"/>
      <c r="E1849" s="81"/>
      <c r="F1849" s="97"/>
      <c r="G1849" s="81"/>
      <c r="H1849" s="81"/>
      <c r="I1849" s="81"/>
      <c r="J1849" s="81"/>
      <c r="K1849" s="81"/>
      <c r="L1849" s="155"/>
      <c r="M1849" s="155"/>
      <c r="N1849" s="109"/>
      <c r="O1849" s="126"/>
      <c r="P1849" s="126"/>
      <c r="Q1849" s="126"/>
      <c r="R1849" s="127"/>
      <c r="S1849" s="127"/>
      <c r="T1849" s="127"/>
      <c r="U1849" s="127"/>
    </row>
    <row r="1850" spans="1:21" ht="15" customHeight="1">
      <c r="A1850" s="125"/>
      <c r="B1850" s="125"/>
      <c r="C1850" s="125"/>
      <c r="D1850" s="81"/>
      <c r="E1850" s="81"/>
      <c r="F1850" s="97"/>
      <c r="G1850" s="81"/>
      <c r="H1850" s="81"/>
      <c r="I1850" s="81"/>
      <c r="J1850" s="81"/>
      <c r="K1850" s="81"/>
      <c r="L1850" s="155"/>
      <c r="M1850" s="155"/>
      <c r="N1850" s="109"/>
      <c r="O1850" s="126"/>
      <c r="P1850" s="126"/>
      <c r="Q1850" s="126"/>
      <c r="R1850" s="127"/>
      <c r="S1850" s="127"/>
      <c r="T1850" s="127"/>
      <c r="U1850" s="127"/>
    </row>
    <row r="1851" spans="1:21" ht="15" customHeight="1">
      <c r="A1851" s="125"/>
      <c r="B1851" s="125"/>
      <c r="C1851" s="125"/>
      <c r="D1851" s="81"/>
      <c r="E1851" s="81"/>
      <c r="F1851" s="97"/>
      <c r="G1851" s="81"/>
      <c r="H1851" s="81"/>
      <c r="I1851" s="81"/>
      <c r="J1851" s="81"/>
      <c r="K1851" s="81"/>
      <c r="L1851" s="155"/>
      <c r="M1851" s="155"/>
      <c r="N1851" s="109"/>
      <c r="O1851" s="126"/>
      <c r="P1851" s="126"/>
      <c r="Q1851" s="126"/>
      <c r="R1851" s="127"/>
      <c r="S1851" s="127"/>
      <c r="T1851" s="127"/>
      <c r="U1851" s="127"/>
    </row>
    <row r="1852" spans="1:21" ht="15" customHeight="1">
      <c r="A1852" s="125"/>
      <c r="B1852" s="125"/>
      <c r="C1852" s="125"/>
      <c r="D1852" s="81"/>
      <c r="E1852" s="81"/>
      <c r="F1852" s="97"/>
      <c r="G1852" s="81"/>
      <c r="H1852" s="81"/>
      <c r="I1852" s="81"/>
      <c r="J1852" s="81"/>
      <c r="K1852" s="81"/>
      <c r="L1852" s="155"/>
      <c r="M1852" s="155"/>
      <c r="N1852" s="109"/>
      <c r="O1852" s="126"/>
      <c r="P1852" s="126"/>
      <c r="Q1852" s="126"/>
      <c r="R1852" s="127"/>
      <c r="S1852" s="127"/>
      <c r="T1852" s="127"/>
      <c r="U1852" s="127"/>
    </row>
    <row r="1853" spans="1:21" ht="15" customHeight="1">
      <c r="A1853" s="125"/>
      <c r="B1853" s="125"/>
      <c r="C1853" s="125"/>
      <c r="D1853" s="81"/>
      <c r="E1853" s="81"/>
      <c r="F1853" s="97"/>
      <c r="G1853" s="81"/>
      <c r="H1853" s="81"/>
      <c r="I1853" s="81"/>
      <c r="J1853" s="81"/>
      <c r="K1853" s="81"/>
      <c r="L1853" s="155"/>
      <c r="M1853" s="155"/>
      <c r="N1853" s="109"/>
      <c r="O1853" s="126"/>
      <c r="P1853" s="126"/>
      <c r="Q1853" s="126"/>
      <c r="R1853" s="127"/>
      <c r="S1853" s="127"/>
      <c r="T1853" s="127"/>
      <c r="U1853" s="127"/>
    </row>
    <row r="1854" spans="1:21" ht="15" customHeight="1">
      <c r="A1854" s="125"/>
      <c r="B1854" s="125"/>
      <c r="C1854" s="125"/>
      <c r="D1854" s="81"/>
      <c r="E1854" s="81"/>
      <c r="F1854" s="97"/>
      <c r="G1854" s="81"/>
      <c r="H1854" s="81"/>
      <c r="I1854" s="81"/>
      <c r="J1854" s="81"/>
      <c r="K1854" s="81"/>
      <c r="L1854" s="155"/>
      <c r="M1854" s="155"/>
      <c r="N1854" s="109"/>
      <c r="O1854" s="126"/>
      <c r="P1854" s="126"/>
      <c r="Q1854" s="126"/>
      <c r="R1854" s="127"/>
      <c r="S1854" s="127"/>
      <c r="T1854" s="127"/>
      <c r="U1854" s="127"/>
    </row>
    <row r="1855" spans="1:21" ht="15" customHeight="1">
      <c r="A1855" s="125"/>
      <c r="B1855" s="125"/>
      <c r="C1855" s="125"/>
      <c r="D1855" s="81"/>
      <c r="E1855" s="81"/>
      <c r="F1855" s="97"/>
      <c r="G1855" s="81"/>
      <c r="H1855" s="81"/>
      <c r="I1855" s="81"/>
      <c r="J1855" s="81"/>
      <c r="K1855" s="81"/>
      <c r="L1855" s="155"/>
      <c r="M1855" s="155"/>
      <c r="N1855" s="109"/>
      <c r="O1855" s="126"/>
      <c r="P1855" s="126"/>
      <c r="Q1855" s="126"/>
      <c r="R1855" s="127"/>
      <c r="S1855" s="127"/>
      <c r="T1855" s="127"/>
      <c r="U1855" s="127"/>
    </row>
    <row r="1856" spans="1:21" ht="15" customHeight="1">
      <c r="A1856" s="125"/>
      <c r="B1856" s="125"/>
      <c r="C1856" s="125"/>
      <c r="D1856" s="81"/>
      <c r="E1856" s="81"/>
      <c r="F1856" s="97"/>
      <c r="G1856" s="81"/>
      <c r="H1856" s="81"/>
      <c r="I1856" s="81"/>
      <c r="J1856" s="81"/>
      <c r="K1856" s="81"/>
      <c r="L1856" s="155"/>
      <c r="M1856" s="155"/>
      <c r="N1856" s="109"/>
      <c r="O1856" s="126"/>
      <c r="P1856" s="126"/>
      <c r="Q1856" s="126"/>
      <c r="R1856" s="127"/>
      <c r="S1856" s="127"/>
      <c r="T1856" s="127"/>
      <c r="U1856" s="127"/>
    </row>
    <row r="1857" spans="1:21" ht="15" customHeight="1">
      <c r="A1857" s="125"/>
      <c r="B1857" s="125"/>
      <c r="C1857" s="125"/>
      <c r="D1857" s="81"/>
      <c r="E1857" s="81"/>
      <c r="F1857" s="97"/>
      <c r="G1857" s="81"/>
      <c r="H1857" s="81"/>
      <c r="I1857" s="81"/>
      <c r="J1857" s="81"/>
      <c r="K1857" s="81"/>
      <c r="L1857" s="155"/>
      <c r="M1857" s="155"/>
      <c r="N1857" s="109"/>
      <c r="O1857" s="126"/>
      <c r="P1857" s="126"/>
      <c r="Q1857" s="126"/>
      <c r="R1857" s="127"/>
      <c r="S1857" s="127"/>
      <c r="T1857" s="127"/>
      <c r="U1857" s="127"/>
    </row>
    <row r="1858" spans="1:21" ht="15" customHeight="1">
      <c r="A1858" s="125"/>
      <c r="B1858" s="125"/>
      <c r="C1858" s="125"/>
      <c r="D1858" s="81"/>
      <c r="E1858" s="81"/>
      <c r="F1858" s="97"/>
      <c r="G1858" s="81"/>
      <c r="H1858" s="81"/>
      <c r="I1858" s="81"/>
      <c r="J1858" s="81"/>
      <c r="K1858" s="81"/>
      <c r="L1858" s="155"/>
      <c r="M1858" s="155"/>
      <c r="N1858" s="109"/>
      <c r="O1858" s="126"/>
      <c r="P1858" s="126"/>
      <c r="Q1858" s="126"/>
      <c r="R1858" s="127"/>
      <c r="S1858" s="127"/>
      <c r="T1858" s="127"/>
      <c r="U1858" s="127"/>
    </row>
    <row r="1859" spans="1:21" ht="15" customHeight="1">
      <c r="A1859" s="125"/>
      <c r="B1859" s="125"/>
      <c r="C1859" s="125"/>
      <c r="D1859" s="81"/>
      <c r="E1859" s="81"/>
      <c r="F1859" s="97"/>
      <c r="G1859" s="81"/>
      <c r="H1859" s="81"/>
      <c r="I1859" s="81"/>
      <c r="J1859" s="81"/>
      <c r="K1859" s="81"/>
      <c r="L1859" s="155"/>
      <c r="M1859" s="155"/>
      <c r="N1859" s="109"/>
      <c r="O1859" s="126"/>
      <c r="P1859" s="126"/>
      <c r="Q1859" s="126"/>
      <c r="R1859" s="127"/>
      <c r="S1859" s="127"/>
      <c r="T1859" s="127"/>
      <c r="U1859" s="127"/>
    </row>
    <row r="1860" spans="1:21" ht="15" customHeight="1">
      <c r="A1860" s="125"/>
      <c r="B1860" s="125"/>
      <c r="C1860" s="125"/>
      <c r="D1860" s="81"/>
      <c r="E1860" s="81"/>
      <c r="F1860" s="97"/>
      <c r="G1860" s="81"/>
      <c r="H1860" s="81"/>
      <c r="I1860" s="81"/>
      <c r="J1860" s="81"/>
      <c r="K1860" s="81"/>
      <c r="L1860" s="155"/>
      <c r="M1860" s="155"/>
      <c r="N1860" s="109"/>
      <c r="O1860" s="126"/>
      <c r="P1860" s="126"/>
      <c r="Q1860" s="126"/>
      <c r="R1860" s="127"/>
      <c r="S1860" s="127"/>
      <c r="T1860" s="127"/>
      <c r="U1860" s="127"/>
    </row>
    <row r="1861" spans="1:21" ht="15" customHeight="1">
      <c r="A1861" s="125"/>
      <c r="B1861" s="125"/>
      <c r="C1861" s="125"/>
      <c r="D1861" s="81"/>
      <c r="E1861" s="81"/>
      <c r="F1861" s="97"/>
      <c r="G1861" s="81"/>
      <c r="H1861" s="81"/>
      <c r="I1861" s="81"/>
      <c r="J1861" s="81"/>
      <c r="K1861" s="81"/>
      <c r="L1861" s="155"/>
      <c r="M1861" s="155"/>
      <c r="N1861" s="109"/>
      <c r="O1861" s="126"/>
      <c r="P1861" s="126"/>
      <c r="Q1861" s="126"/>
      <c r="R1861" s="127"/>
      <c r="S1861" s="127"/>
      <c r="T1861" s="127"/>
      <c r="U1861" s="127"/>
    </row>
    <row r="1862" spans="1:21" ht="15" customHeight="1">
      <c r="A1862" s="125"/>
      <c r="B1862" s="125"/>
      <c r="C1862" s="125"/>
      <c r="D1862" s="81"/>
      <c r="E1862" s="81"/>
      <c r="F1862" s="97"/>
      <c r="G1862" s="81"/>
      <c r="H1862" s="81"/>
      <c r="I1862" s="81"/>
      <c r="J1862" s="81"/>
      <c r="K1862" s="81"/>
      <c r="L1862" s="155"/>
      <c r="M1862" s="155"/>
      <c r="N1862" s="109"/>
      <c r="O1862" s="126"/>
      <c r="P1862" s="126"/>
      <c r="Q1862" s="126"/>
      <c r="R1862" s="127"/>
      <c r="S1862" s="127"/>
      <c r="T1862" s="127"/>
      <c r="U1862" s="127"/>
    </row>
    <row r="1863" spans="1:21" ht="15" customHeight="1">
      <c r="A1863" s="125"/>
      <c r="B1863" s="125"/>
      <c r="C1863" s="125"/>
      <c r="D1863" s="81"/>
      <c r="E1863" s="81"/>
      <c r="F1863" s="97"/>
      <c r="G1863" s="81"/>
      <c r="H1863" s="81"/>
      <c r="I1863" s="81"/>
      <c r="J1863" s="81"/>
      <c r="K1863" s="81"/>
      <c r="L1863" s="155"/>
      <c r="M1863" s="155"/>
      <c r="N1863" s="109"/>
      <c r="O1863" s="126"/>
      <c r="P1863" s="126"/>
      <c r="Q1863" s="126"/>
      <c r="R1863" s="127"/>
      <c r="S1863" s="127"/>
      <c r="T1863" s="127"/>
      <c r="U1863" s="127"/>
    </row>
    <row r="1864" spans="1:21" ht="15" customHeight="1">
      <c r="A1864" s="125"/>
      <c r="B1864" s="125"/>
      <c r="C1864" s="125"/>
      <c r="D1864" s="81"/>
      <c r="E1864" s="81"/>
      <c r="F1864" s="97"/>
      <c r="G1864" s="81"/>
      <c r="H1864" s="81"/>
      <c r="I1864" s="81"/>
      <c r="J1864" s="81"/>
      <c r="K1864" s="81"/>
      <c r="L1864" s="155"/>
      <c r="M1864" s="155"/>
      <c r="N1864" s="109"/>
      <c r="O1864" s="126"/>
      <c r="P1864" s="126"/>
      <c r="Q1864" s="126"/>
      <c r="R1864" s="127"/>
      <c r="S1864" s="127"/>
      <c r="T1864" s="127"/>
      <c r="U1864" s="127"/>
    </row>
    <row r="1865" spans="1:21" ht="15" customHeight="1">
      <c r="A1865" s="125"/>
      <c r="B1865" s="125"/>
      <c r="C1865" s="125"/>
      <c r="D1865" s="81"/>
      <c r="E1865" s="81"/>
      <c r="F1865" s="97"/>
      <c r="G1865" s="81"/>
      <c r="H1865" s="81"/>
      <c r="I1865" s="81"/>
      <c r="J1865" s="81"/>
      <c r="K1865" s="81"/>
      <c r="L1865" s="155"/>
      <c r="M1865" s="155"/>
      <c r="N1865" s="109"/>
      <c r="O1865" s="126"/>
      <c r="P1865" s="126"/>
      <c r="Q1865" s="126"/>
      <c r="R1865" s="127"/>
      <c r="S1865" s="127"/>
      <c r="T1865" s="127"/>
      <c r="U1865" s="127"/>
    </row>
    <row r="1866" spans="1:21" ht="15" customHeight="1">
      <c r="A1866" s="125"/>
      <c r="B1866" s="125"/>
      <c r="C1866" s="125"/>
      <c r="D1866" s="81"/>
      <c r="E1866" s="81"/>
      <c r="F1866" s="97"/>
      <c r="G1866" s="81"/>
      <c r="H1866" s="81"/>
      <c r="I1866" s="81"/>
      <c r="J1866" s="81"/>
      <c r="K1866" s="81"/>
      <c r="L1866" s="155"/>
      <c r="M1866" s="155"/>
      <c r="N1866" s="109"/>
      <c r="O1866" s="126"/>
      <c r="P1866" s="126"/>
      <c r="Q1866" s="126"/>
      <c r="R1866" s="127"/>
      <c r="S1866" s="127"/>
      <c r="T1866" s="127"/>
      <c r="U1866" s="127"/>
    </row>
    <row r="1867" spans="1:21" ht="15" customHeight="1">
      <c r="A1867" s="125"/>
      <c r="B1867" s="125"/>
      <c r="C1867" s="125"/>
      <c r="D1867" s="81"/>
      <c r="E1867" s="81"/>
      <c r="F1867" s="97"/>
      <c r="G1867" s="81"/>
      <c r="H1867" s="81"/>
      <c r="I1867" s="81"/>
      <c r="J1867" s="81"/>
      <c r="K1867" s="81"/>
      <c r="L1867" s="155"/>
      <c r="M1867" s="155"/>
      <c r="N1867" s="109"/>
      <c r="O1867" s="126"/>
      <c r="P1867" s="126"/>
      <c r="Q1867" s="126"/>
      <c r="R1867" s="127"/>
      <c r="S1867" s="127"/>
      <c r="T1867" s="127"/>
      <c r="U1867" s="127"/>
    </row>
    <row r="1868" spans="1:21" ht="15" customHeight="1">
      <c r="A1868" s="125"/>
      <c r="B1868" s="125"/>
      <c r="C1868" s="125"/>
      <c r="D1868" s="81"/>
      <c r="E1868" s="81"/>
      <c r="F1868" s="97"/>
      <c r="G1868" s="81"/>
      <c r="H1868" s="81"/>
      <c r="I1868" s="81"/>
      <c r="J1868" s="81"/>
      <c r="K1868" s="81"/>
      <c r="L1868" s="155"/>
      <c r="M1868" s="155"/>
      <c r="N1868" s="109"/>
      <c r="O1868" s="126"/>
      <c r="P1868" s="126"/>
      <c r="Q1868" s="126"/>
      <c r="R1868" s="127"/>
      <c r="S1868" s="127"/>
      <c r="T1868" s="127"/>
      <c r="U1868" s="127"/>
    </row>
    <row r="1869" spans="1:21" ht="15" customHeight="1">
      <c r="A1869" s="125"/>
      <c r="B1869" s="125"/>
      <c r="C1869" s="125"/>
      <c r="D1869" s="81"/>
      <c r="E1869" s="81"/>
      <c r="F1869" s="97"/>
      <c r="G1869" s="81"/>
      <c r="H1869" s="81"/>
      <c r="I1869" s="81"/>
      <c r="J1869" s="81"/>
      <c r="K1869" s="81"/>
      <c r="L1869" s="155"/>
      <c r="M1869" s="155"/>
      <c r="N1869" s="109"/>
      <c r="O1869" s="126"/>
      <c r="P1869" s="126"/>
      <c r="Q1869" s="126"/>
      <c r="R1869" s="127"/>
      <c r="S1869" s="127"/>
      <c r="T1869" s="127"/>
      <c r="U1869" s="127"/>
    </row>
    <row r="1870" spans="1:21" ht="15" customHeight="1">
      <c r="A1870" s="125"/>
      <c r="B1870" s="125"/>
      <c r="C1870" s="125"/>
      <c r="D1870" s="81"/>
      <c r="E1870" s="81"/>
      <c r="F1870" s="97"/>
      <c r="G1870" s="81"/>
      <c r="H1870" s="81"/>
      <c r="I1870" s="81"/>
      <c r="J1870" s="81"/>
      <c r="K1870" s="81"/>
      <c r="L1870" s="155"/>
      <c r="M1870" s="155"/>
      <c r="N1870" s="109"/>
      <c r="O1870" s="126"/>
      <c r="P1870" s="126"/>
      <c r="Q1870" s="126"/>
      <c r="R1870" s="127"/>
      <c r="S1870" s="127"/>
      <c r="T1870" s="127"/>
      <c r="U1870" s="127"/>
    </row>
    <row r="1871" spans="1:21" ht="15" customHeight="1">
      <c r="A1871" s="125"/>
      <c r="B1871" s="125"/>
      <c r="C1871" s="125"/>
      <c r="D1871" s="81"/>
      <c r="E1871" s="81"/>
      <c r="F1871" s="97"/>
      <c r="G1871" s="81"/>
      <c r="H1871" s="81"/>
      <c r="I1871" s="81"/>
      <c r="J1871" s="81"/>
      <c r="K1871" s="81"/>
      <c r="L1871" s="155"/>
      <c r="M1871" s="155"/>
      <c r="N1871" s="109"/>
      <c r="O1871" s="126"/>
      <c r="P1871" s="126"/>
      <c r="Q1871" s="126"/>
      <c r="R1871" s="127"/>
      <c r="S1871" s="127"/>
      <c r="T1871" s="127"/>
      <c r="U1871" s="127"/>
    </row>
    <row r="1872" spans="1:21" ht="15" customHeight="1">
      <c r="A1872" s="125"/>
      <c r="B1872" s="125"/>
      <c r="C1872" s="125"/>
      <c r="D1872" s="81"/>
      <c r="E1872" s="81"/>
      <c r="F1872" s="97"/>
      <c r="G1872" s="81"/>
      <c r="H1872" s="81"/>
      <c r="I1872" s="81"/>
      <c r="J1872" s="81"/>
      <c r="K1872" s="81"/>
      <c r="L1872" s="155"/>
      <c r="M1872" s="155"/>
      <c r="N1872" s="109"/>
      <c r="O1872" s="126"/>
      <c r="P1872" s="126"/>
      <c r="Q1872" s="126"/>
      <c r="R1872" s="127"/>
      <c r="S1872" s="127"/>
      <c r="T1872" s="127"/>
      <c r="U1872" s="127"/>
    </row>
    <row r="1873" spans="1:21" ht="15" customHeight="1">
      <c r="A1873" s="125"/>
      <c r="B1873" s="125"/>
      <c r="C1873" s="125"/>
      <c r="D1873" s="81"/>
      <c r="E1873" s="81"/>
      <c r="F1873" s="97"/>
      <c r="G1873" s="81"/>
      <c r="H1873" s="81"/>
      <c r="I1873" s="81"/>
      <c r="J1873" s="81"/>
      <c r="K1873" s="81"/>
      <c r="L1873" s="155"/>
      <c r="M1873" s="155"/>
      <c r="N1873" s="109"/>
      <c r="O1873" s="126"/>
      <c r="P1873" s="126"/>
      <c r="Q1873" s="126"/>
      <c r="R1873" s="127"/>
      <c r="S1873" s="127"/>
      <c r="T1873" s="127"/>
      <c r="U1873" s="127"/>
    </row>
    <row r="1874" spans="1:21" ht="15" customHeight="1">
      <c r="A1874" s="125"/>
      <c r="B1874" s="125"/>
      <c r="C1874" s="125"/>
      <c r="D1874" s="81"/>
      <c r="E1874" s="81"/>
      <c r="F1874" s="97"/>
      <c r="G1874" s="81"/>
      <c r="H1874" s="81"/>
      <c r="I1874" s="81"/>
      <c r="J1874" s="81"/>
      <c r="K1874" s="81"/>
      <c r="L1874" s="155"/>
      <c r="M1874" s="155"/>
      <c r="N1874" s="109"/>
      <c r="O1874" s="126"/>
      <c r="P1874" s="126"/>
      <c r="Q1874" s="126"/>
      <c r="R1874" s="127"/>
      <c r="S1874" s="127"/>
      <c r="T1874" s="127"/>
      <c r="U1874" s="127"/>
    </row>
    <row r="1875" spans="1:21" ht="15" customHeight="1">
      <c r="A1875" s="125"/>
      <c r="B1875" s="125"/>
      <c r="C1875" s="125"/>
      <c r="D1875" s="81"/>
      <c r="E1875" s="81"/>
      <c r="F1875" s="97"/>
      <c r="G1875" s="81"/>
      <c r="H1875" s="81"/>
      <c r="I1875" s="81"/>
      <c r="J1875" s="81"/>
      <c r="K1875" s="81"/>
      <c r="L1875" s="155"/>
      <c r="M1875" s="155"/>
      <c r="N1875" s="109"/>
      <c r="O1875" s="126"/>
      <c r="P1875" s="126"/>
      <c r="Q1875" s="126"/>
      <c r="R1875" s="127"/>
      <c r="S1875" s="127"/>
      <c r="T1875" s="127"/>
      <c r="U1875" s="127"/>
    </row>
    <row r="1876" spans="1:21" ht="15" customHeight="1">
      <c r="A1876" s="125"/>
      <c r="B1876" s="125"/>
      <c r="C1876" s="125"/>
      <c r="D1876" s="81"/>
      <c r="E1876" s="81"/>
      <c r="F1876" s="97"/>
      <c r="G1876" s="81"/>
      <c r="H1876" s="81"/>
      <c r="I1876" s="81"/>
      <c r="J1876" s="81"/>
      <c r="K1876" s="81"/>
      <c r="L1876" s="155"/>
      <c r="M1876" s="155"/>
      <c r="N1876" s="109"/>
      <c r="O1876" s="126"/>
      <c r="P1876" s="126"/>
      <c r="Q1876" s="126"/>
      <c r="R1876" s="127"/>
      <c r="S1876" s="127"/>
      <c r="T1876" s="127"/>
      <c r="U1876" s="127"/>
    </row>
    <row r="1877" spans="1:21" ht="15" customHeight="1">
      <c r="A1877" s="125"/>
      <c r="B1877" s="125"/>
      <c r="C1877" s="125"/>
      <c r="D1877" s="81"/>
      <c r="E1877" s="81"/>
      <c r="F1877" s="97"/>
      <c r="G1877" s="81"/>
      <c r="H1877" s="81"/>
      <c r="I1877" s="81"/>
      <c r="J1877" s="81"/>
      <c r="K1877" s="81"/>
      <c r="L1877" s="155"/>
      <c r="M1877" s="155"/>
      <c r="N1877" s="109"/>
      <c r="O1877" s="126"/>
      <c r="P1877" s="126"/>
      <c r="Q1877" s="126"/>
      <c r="R1877" s="127"/>
      <c r="S1877" s="127"/>
      <c r="T1877" s="127"/>
      <c r="U1877" s="127"/>
    </row>
    <row r="1878" spans="1:21" ht="15" customHeight="1">
      <c r="A1878" s="125"/>
      <c r="B1878" s="125"/>
      <c r="C1878" s="125"/>
      <c r="D1878" s="81"/>
      <c r="E1878" s="81"/>
      <c r="F1878" s="97"/>
      <c r="G1878" s="81"/>
      <c r="H1878" s="81"/>
      <c r="I1878" s="81"/>
      <c r="J1878" s="81"/>
      <c r="K1878" s="81"/>
      <c r="L1878" s="155"/>
      <c r="M1878" s="155"/>
      <c r="N1878" s="109"/>
      <c r="O1878" s="126"/>
      <c r="P1878" s="126"/>
      <c r="Q1878" s="126"/>
      <c r="R1878" s="127"/>
      <c r="S1878" s="127"/>
      <c r="T1878" s="127"/>
      <c r="U1878" s="127"/>
    </row>
    <row r="1879" spans="1:21" ht="15" customHeight="1">
      <c r="A1879" s="125"/>
      <c r="B1879" s="125"/>
      <c r="C1879" s="125"/>
      <c r="D1879" s="81"/>
      <c r="E1879" s="81"/>
      <c r="F1879" s="97"/>
      <c r="G1879" s="81"/>
      <c r="H1879" s="81"/>
      <c r="I1879" s="81"/>
      <c r="J1879" s="81"/>
      <c r="K1879" s="81"/>
      <c r="L1879" s="155"/>
      <c r="M1879" s="155"/>
      <c r="N1879" s="109"/>
      <c r="O1879" s="126"/>
      <c r="P1879" s="126"/>
      <c r="Q1879" s="126"/>
      <c r="R1879" s="127"/>
      <c r="S1879" s="127"/>
      <c r="T1879" s="127"/>
      <c r="U1879" s="127"/>
    </row>
    <row r="1880" spans="1:21" ht="15" customHeight="1">
      <c r="A1880" s="125"/>
      <c r="B1880" s="125"/>
      <c r="C1880" s="125"/>
      <c r="D1880" s="81"/>
      <c r="E1880" s="81"/>
      <c r="F1880" s="97"/>
      <c r="G1880" s="81"/>
      <c r="H1880" s="81"/>
      <c r="I1880" s="81"/>
      <c r="J1880" s="81"/>
      <c r="K1880" s="81"/>
      <c r="L1880" s="155"/>
      <c r="M1880" s="155"/>
      <c r="N1880" s="109"/>
      <c r="O1880" s="126"/>
      <c r="P1880" s="126"/>
      <c r="Q1880" s="126"/>
      <c r="R1880" s="127"/>
      <c r="S1880" s="127"/>
      <c r="T1880" s="127"/>
      <c r="U1880" s="127"/>
    </row>
    <row r="1881" spans="1:21" ht="15" customHeight="1">
      <c r="A1881" s="125"/>
      <c r="B1881" s="125"/>
      <c r="C1881" s="125"/>
      <c r="D1881" s="81"/>
      <c r="E1881" s="81"/>
      <c r="F1881" s="97"/>
      <c r="G1881" s="81"/>
      <c r="H1881" s="81"/>
      <c r="I1881" s="81"/>
      <c r="J1881" s="81"/>
      <c r="K1881" s="81"/>
      <c r="L1881" s="155"/>
      <c r="M1881" s="155"/>
      <c r="N1881" s="109"/>
      <c r="O1881" s="126"/>
      <c r="P1881" s="126"/>
      <c r="Q1881" s="126"/>
      <c r="R1881" s="127"/>
      <c r="S1881" s="127"/>
      <c r="T1881" s="127"/>
      <c r="U1881" s="127"/>
    </row>
    <row r="1882" spans="1:21" ht="15" customHeight="1">
      <c r="A1882" s="125"/>
      <c r="B1882" s="125"/>
      <c r="C1882" s="125"/>
      <c r="D1882" s="81"/>
      <c r="E1882" s="81"/>
      <c r="F1882" s="97"/>
      <c r="G1882" s="81"/>
      <c r="H1882" s="81"/>
      <c r="I1882" s="81"/>
      <c r="J1882" s="81"/>
      <c r="K1882" s="81"/>
      <c r="L1882" s="155"/>
      <c r="M1882" s="155"/>
      <c r="N1882" s="109"/>
      <c r="O1882" s="126"/>
      <c r="P1882" s="126"/>
      <c r="Q1882" s="126"/>
      <c r="R1882" s="127"/>
      <c r="S1882" s="127"/>
      <c r="T1882" s="127"/>
      <c r="U1882" s="127"/>
    </row>
    <row r="1883" spans="1:21" ht="15" customHeight="1">
      <c r="A1883" s="125"/>
      <c r="B1883" s="125"/>
      <c r="C1883" s="125"/>
      <c r="D1883" s="81"/>
      <c r="E1883" s="81"/>
      <c r="F1883" s="97"/>
      <c r="G1883" s="81"/>
      <c r="H1883" s="81"/>
      <c r="I1883" s="81"/>
      <c r="J1883" s="81"/>
      <c r="K1883" s="81"/>
      <c r="L1883" s="155"/>
      <c r="M1883" s="155"/>
      <c r="N1883" s="109"/>
      <c r="O1883" s="126"/>
      <c r="P1883" s="126"/>
      <c r="Q1883" s="126"/>
      <c r="R1883" s="127"/>
      <c r="S1883" s="127"/>
      <c r="T1883" s="127"/>
      <c r="U1883" s="127"/>
    </row>
    <row r="1884" spans="1:21" ht="15" customHeight="1">
      <c r="A1884" s="125"/>
      <c r="B1884" s="125"/>
      <c r="C1884" s="125"/>
      <c r="D1884" s="81"/>
      <c r="E1884" s="81"/>
      <c r="F1884" s="97"/>
      <c r="G1884" s="81"/>
      <c r="H1884" s="81"/>
      <c r="I1884" s="81"/>
      <c r="J1884" s="81"/>
      <c r="K1884" s="81"/>
      <c r="L1884" s="155"/>
      <c r="M1884" s="155"/>
      <c r="N1884" s="109"/>
      <c r="O1884" s="126"/>
      <c r="P1884" s="126"/>
      <c r="Q1884" s="126"/>
      <c r="R1884" s="127"/>
      <c r="S1884" s="127"/>
      <c r="T1884" s="127"/>
      <c r="U1884" s="127"/>
    </row>
    <row r="1885" spans="1:21" ht="15" customHeight="1">
      <c r="A1885" s="125"/>
      <c r="B1885" s="125"/>
      <c r="C1885" s="125"/>
      <c r="D1885" s="81"/>
      <c r="E1885" s="81"/>
      <c r="F1885" s="97"/>
      <c r="G1885" s="81"/>
      <c r="H1885" s="81"/>
      <c r="I1885" s="81"/>
      <c r="J1885" s="81"/>
      <c r="K1885" s="81"/>
      <c r="L1885" s="155"/>
      <c r="M1885" s="155"/>
      <c r="N1885" s="109"/>
      <c r="O1885" s="126"/>
      <c r="P1885" s="126"/>
      <c r="Q1885" s="126"/>
      <c r="R1885" s="127"/>
      <c r="S1885" s="127"/>
      <c r="T1885" s="127"/>
      <c r="U1885" s="127"/>
    </row>
    <row r="1886" spans="1:21" ht="15" customHeight="1">
      <c r="A1886" s="125"/>
      <c r="B1886" s="125"/>
      <c r="C1886" s="125"/>
      <c r="D1886" s="81"/>
      <c r="E1886" s="81"/>
      <c r="F1886" s="97"/>
      <c r="G1886" s="81"/>
      <c r="H1886" s="81"/>
      <c r="I1886" s="81"/>
      <c r="J1886" s="81"/>
      <c r="K1886" s="81"/>
      <c r="L1886" s="155"/>
      <c r="M1886" s="155"/>
      <c r="N1886" s="109"/>
      <c r="O1886" s="126"/>
      <c r="P1886" s="126"/>
      <c r="Q1886" s="126"/>
      <c r="R1886" s="127"/>
      <c r="S1886" s="127"/>
      <c r="T1886" s="127"/>
      <c r="U1886" s="127"/>
    </row>
    <row r="1887" spans="1:21" ht="15" customHeight="1">
      <c r="A1887" s="125"/>
      <c r="B1887" s="125"/>
      <c r="C1887" s="125"/>
      <c r="D1887" s="81"/>
      <c r="E1887" s="81"/>
      <c r="F1887" s="97"/>
      <c r="G1887" s="81"/>
      <c r="H1887" s="81"/>
      <c r="I1887" s="81"/>
      <c r="J1887" s="81"/>
      <c r="K1887" s="81"/>
      <c r="L1887" s="155"/>
      <c r="M1887" s="155"/>
      <c r="N1887" s="109"/>
      <c r="O1887" s="126"/>
      <c r="P1887" s="126"/>
      <c r="Q1887" s="126"/>
      <c r="R1887" s="127"/>
      <c r="S1887" s="127"/>
      <c r="T1887" s="127"/>
      <c r="U1887" s="127"/>
    </row>
    <row r="1888" spans="1:21" ht="15" customHeight="1">
      <c r="A1888" s="125"/>
      <c r="B1888" s="125"/>
      <c r="C1888" s="125"/>
      <c r="D1888" s="81"/>
      <c r="E1888" s="81"/>
      <c r="F1888" s="97"/>
      <c r="G1888" s="81"/>
      <c r="H1888" s="81"/>
      <c r="I1888" s="81"/>
      <c r="J1888" s="81"/>
      <c r="K1888" s="81"/>
      <c r="L1888" s="155"/>
      <c r="M1888" s="155"/>
      <c r="N1888" s="109"/>
      <c r="O1888" s="126"/>
      <c r="P1888" s="126"/>
      <c r="Q1888" s="126"/>
      <c r="R1888" s="127"/>
      <c r="S1888" s="127"/>
      <c r="T1888" s="127"/>
      <c r="U1888" s="127"/>
    </row>
    <row r="1889" spans="1:21" ht="15" customHeight="1">
      <c r="A1889" s="125"/>
      <c r="B1889" s="125"/>
      <c r="C1889" s="125"/>
      <c r="D1889" s="81"/>
      <c r="E1889" s="81"/>
      <c r="F1889" s="97"/>
      <c r="G1889" s="81"/>
      <c r="H1889" s="81"/>
      <c r="I1889" s="81"/>
      <c r="J1889" s="81"/>
      <c r="K1889" s="81"/>
      <c r="L1889" s="155"/>
      <c r="M1889" s="155"/>
      <c r="N1889" s="109"/>
      <c r="O1889" s="126"/>
      <c r="P1889" s="126"/>
      <c r="Q1889" s="126"/>
      <c r="R1889" s="127"/>
      <c r="S1889" s="127"/>
      <c r="T1889" s="127"/>
      <c r="U1889" s="127"/>
    </row>
    <row r="1890" spans="1:21" ht="15" customHeight="1">
      <c r="A1890" s="125"/>
      <c r="B1890" s="125"/>
      <c r="C1890" s="125"/>
      <c r="D1890" s="81"/>
      <c r="E1890" s="81"/>
      <c r="F1890" s="97"/>
      <c r="G1890" s="81"/>
      <c r="H1890" s="81"/>
      <c r="I1890" s="81"/>
      <c r="J1890" s="81"/>
      <c r="K1890" s="81"/>
      <c r="L1890" s="155"/>
      <c r="M1890" s="155"/>
      <c r="N1890" s="109"/>
      <c r="O1890" s="126"/>
      <c r="P1890" s="126"/>
      <c r="Q1890" s="126"/>
      <c r="R1890" s="127"/>
      <c r="S1890" s="127"/>
      <c r="T1890" s="127"/>
      <c r="U1890" s="127"/>
    </row>
    <row r="1891" spans="1:21" ht="15" customHeight="1">
      <c r="A1891" s="125"/>
      <c r="B1891" s="125"/>
      <c r="C1891" s="125"/>
      <c r="D1891" s="81"/>
      <c r="E1891" s="81"/>
      <c r="F1891" s="97"/>
      <c r="G1891" s="81"/>
      <c r="H1891" s="81"/>
      <c r="I1891" s="81"/>
      <c r="J1891" s="81"/>
      <c r="K1891" s="81"/>
      <c r="L1891" s="155"/>
      <c r="M1891" s="155"/>
      <c r="N1891" s="109"/>
      <c r="O1891" s="126"/>
      <c r="P1891" s="126"/>
      <c r="Q1891" s="126"/>
      <c r="R1891" s="127"/>
      <c r="S1891" s="127"/>
      <c r="T1891" s="127"/>
      <c r="U1891" s="127"/>
    </row>
    <row r="1892" spans="1:21" ht="15" customHeight="1">
      <c r="A1892" s="125"/>
      <c r="B1892" s="125"/>
      <c r="C1892" s="125"/>
      <c r="D1892" s="81"/>
      <c r="E1892" s="81"/>
      <c r="F1892" s="97"/>
      <c r="G1892" s="81"/>
      <c r="H1892" s="81"/>
      <c r="I1892" s="81"/>
      <c r="J1892" s="81"/>
      <c r="K1892" s="81"/>
      <c r="L1892" s="155"/>
      <c r="M1892" s="155"/>
      <c r="N1892" s="109"/>
      <c r="O1892" s="126"/>
      <c r="P1892" s="126"/>
      <c r="Q1892" s="126"/>
      <c r="R1892" s="127"/>
      <c r="S1892" s="127"/>
      <c r="T1892" s="127"/>
      <c r="U1892" s="127"/>
    </row>
    <row r="1893" spans="1:21" ht="15" customHeight="1">
      <c r="A1893" s="125"/>
      <c r="B1893" s="125"/>
      <c r="C1893" s="125"/>
      <c r="D1893" s="81"/>
      <c r="E1893" s="81"/>
      <c r="F1893" s="97"/>
      <c r="G1893" s="81"/>
      <c r="H1893" s="81"/>
      <c r="I1893" s="81"/>
      <c r="J1893" s="81"/>
      <c r="K1893" s="81"/>
      <c r="L1893" s="155"/>
      <c r="M1893" s="155"/>
      <c r="N1893" s="109"/>
      <c r="O1893" s="126"/>
      <c r="P1893" s="126"/>
      <c r="Q1893" s="126"/>
      <c r="R1893" s="127"/>
      <c r="S1893" s="127"/>
      <c r="T1893" s="127"/>
      <c r="U1893" s="127"/>
    </row>
    <row r="1894" spans="1:21" ht="15" customHeight="1">
      <c r="A1894" s="125"/>
      <c r="B1894" s="125"/>
      <c r="C1894" s="125"/>
      <c r="D1894" s="81"/>
      <c r="E1894" s="81"/>
      <c r="F1894" s="97"/>
      <c r="G1894" s="81"/>
      <c r="H1894" s="81"/>
      <c r="I1894" s="81"/>
      <c r="J1894" s="81"/>
      <c r="K1894" s="81"/>
      <c r="L1894" s="155"/>
      <c r="M1894" s="155"/>
      <c r="N1894" s="109"/>
      <c r="O1894" s="126"/>
      <c r="P1894" s="126"/>
      <c r="Q1894" s="126"/>
      <c r="R1894" s="127"/>
      <c r="S1894" s="127"/>
      <c r="T1894" s="127"/>
      <c r="U1894" s="127"/>
    </row>
    <row r="1895" spans="1:21" ht="15" customHeight="1">
      <c r="A1895" s="125"/>
      <c r="B1895" s="125"/>
      <c r="C1895" s="125"/>
      <c r="D1895" s="81"/>
      <c r="E1895" s="81"/>
      <c r="F1895" s="97"/>
      <c r="G1895" s="81"/>
      <c r="H1895" s="81"/>
      <c r="I1895" s="81"/>
      <c r="J1895" s="81"/>
      <c r="K1895" s="81"/>
      <c r="L1895" s="155"/>
      <c r="M1895" s="155"/>
      <c r="N1895" s="109"/>
      <c r="O1895" s="126"/>
      <c r="P1895" s="126"/>
      <c r="Q1895" s="126"/>
      <c r="R1895" s="127"/>
      <c r="S1895" s="127"/>
      <c r="T1895" s="127"/>
      <c r="U1895" s="127"/>
    </row>
    <row r="1896" spans="1:21" ht="15" customHeight="1">
      <c r="A1896" s="125"/>
      <c r="B1896" s="125"/>
      <c r="C1896" s="125"/>
      <c r="D1896" s="81"/>
      <c r="E1896" s="81"/>
      <c r="F1896" s="97"/>
      <c r="G1896" s="81"/>
      <c r="H1896" s="81"/>
      <c r="I1896" s="81"/>
      <c r="J1896" s="81"/>
      <c r="K1896" s="81"/>
      <c r="L1896" s="155"/>
      <c r="M1896" s="155"/>
      <c r="N1896" s="109"/>
      <c r="O1896" s="126"/>
      <c r="P1896" s="126"/>
      <c r="Q1896" s="126"/>
      <c r="R1896" s="127"/>
      <c r="S1896" s="127"/>
      <c r="T1896" s="127"/>
      <c r="U1896" s="127"/>
    </row>
    <row r="1897" spans="1:21" ht="15" customHeight="1">
      <c r="A1897" s="125"/>
      <c r="B1897" s="125"/>
      <c r="C1897" s="125"/>
      <c r="D1897" s="81"/>
      <c r="E1897" s="81"/>
      <c r="F1897" s="97"/>
      <c r="G1897" s="81"/>
      <c r="H1897" s="81"/>
      <c r="I1897" s="81"/>
      <c r="J1897" s="81"/>
      <c r="K1897" s="81"/>
      <c r="L1897" s="155"/>
      <c r="M1897" s="155"/>
      <c r="N1897" s="109"/>
      <c r="O1897" s="126"/>
      <c r="P1897" s="126"/>
      <c r="Q1897" s="126"/>
      <c r="R1897" s="127"/>
      <c r="S1897" s="127"/>
      <c r="T1897" s="127"/>
      <c r="U1897" s="127"/>
    </row>
    <row r="1898" spans="1:21" ht="15" customHeight="1">
      <c r="A1898" s="125"/>
      <c r="B1898" s="125"/>
      <c r="C1898" s="125"/>
      <c r="D1898" s="81"/>
      <c r="E1898" s="81"/>
      <c r="F1898" s="97"/>
      <c r="G1898" s="81"/>
      <c r="H1898" s="81"/>
      <c r="I1898" s="81"/>
      <c r="J1898" s="81"/>
      <c r="K1898" s="81"/>
      <c r="L1898" s="155"/>
      <c r="M1898" s="155"/>
      <c r="N1898" s="109"/>
      <c r="O1898" s="126"/>
      <c r="P1898" s="126"/>
      <c r="Q1898" s="126"/>
      <c r="R1898" s="127"/>
      <c r="S1898" s="127"/>
      <c r="T1898" s="127"/>
      <c r="U1898" s="127"/>
    </row>
    <row r="1899" spans="1:21" ht="15" customHeight="1">
      <c r="A1899" s="125"/>
      <c r="B1899" s="125"/>
      <c r="C1899" s="125"/>
      <c r="D1899" s="81"/>
      <c r="E1899" s="81"/>
      <c r="F1899" s="97"/>
      <c r="G1899" s="81"/>
      <c r="H1899" s="81"/>
      <c r="I1899" s="81"/>
      <c r="J1899" s="81"/>
      <c r="K1899" s="81"/>
      <c r="L1899" s="155"/>
      <c r="M1899" s="155"/>
      <c r="N1899" s="109"/>
      <c r="O1899" s="126"/>
      <c r="P1899" s="126"/>
      <c r="Q1899" s="126"/>
      <c r="R1899" s="127"/>
      <c r="S1899" s="127"/>
      <c r="T1899" s="127"/>
      <c r="U1899" s="127"/>
    </row>
    <row r="1900" spans="1:21" ht="15" customHeight="1">
      <c r="A1900" s="125"/>
      <c r="B1900" s="125"/>
      <c r="C1900" s="125"/>
      <c r="D1900" s="81"/>
      <c r="E1900" s="81"/>
      <c r="F1900" s="97"/>
      <c r="G1900" s="81"/>
      <c r="H1900" s="81"/>
      <c r="I1900" s="81"/>
      <c r="J1900" s="81"/>
      <c r="K1900" s="81"/>
      <c r="L1900" s="155"/>
      <c r="M1900" s="155"/>
      <c r="N1900" s="109"/>
      <c r="O1900" s="126"/>
      <c r="P1900" s="126"/>
      <c r="Q1900" s="126"/>
      <c r="R1900" s="127"/>
      <c r="S1900" s="127"/>
      <c r="T1900" s="127"/>
      <c r="U1900" s="127"/>
    </row>
    <row r="1901" spans="1:21" ht="15" customHeight="1">
      <c r="A1901" s="125"/>
      <c r="B1901" s="125"/>
      <c r="C1901" s="125"/>
      <c r="D1901" s="81"/>
      <c r="E1901" s="81"/>
      <c r="F1901" s="97"/>
      <c r="G1901" s="81"/>
      <c r="H1901" s="81"/>
      <c r="I1901" s="81"/>
      <c r="J1901" s="81"/>
      <c r="K1901" s="81"/>
      <c r="L1901" s="155"/>
      <c r="M1901" s="155"/>
      <c r="N1901" s="109"/>
      <c r="O1901" s="126"/>
      <c r="P1901" s="126"/>
      <c r="Q1901" s="126"/>
      <c r="R1901" s="127"/>
      <c r="S1901" s="127"/>
      <c r="T1901" s="127"/>
      <c r="U1901" s="127"/>
    </row>
    <row r="1902" spans="1:21" ht="15" customHeight="1">
      <c r="A1902" s="125"/>
      <c r="B1902" s="125"/>
      <c r="C1902" s="125"/>
      <c r="D1902" s="81"/>
      <c r="E1902" s="81"/>
      <c r="F1902" s="97"/>
      <c r="G1902" s="81"/>
      <c r="H1902" s="81"/>
      <c r="I1902" s="81"/>
      <c r="J1902" s="81"/>
      <c r="K1902" s="81"/>
      <c r="L1902" s="155"/>
      <c r="M1902" s="155"/>
      <c r="N1902" s="109"/>
      <c r="O1902" s="126"/>
      <c r="P1902" s="126"/>
      <c r="Q1902" s="126"/>
      <c r="R1902" s="127"/>
      <c r="S1902" s="127"/>
      <c r="T1902" s="127"/>
      <c r="U1902" s="127"/>
    </row>
    <row r="1903" spans="1:21" ht="15" customHeight="1">
      <c r="A1903" s="125"/>
      <c r="B1903" s="125"/>
      <c r="C1903" s="125"/>
      <c r="D1903" s="81"/>
      <c r="E1903" s="81"/>
      <c r="F1903" s="97"/>
      <c r="G1903" s="81"/>
      <c r="H1903" s="81"/>
      <c r="I1903" s="81"/>
      <c r="J1903" s="81"/>
      <c r="K1903" s="81"/>
      <c r="L1903" s="155"/>
      <c r="M1903" s="155"/>
      <c r="N1903" s="109"/>
      <c r="O1903" s="126"/>
      <c r="P1903" s="126"/>
      <c r="Q1903" s="126"/>
      <c r="R1903" s="127"/>
      <c r="S1903" s="127"/>
      <c r="T1903" s="127"/>
      <c r="U1903" s="127"/>
    </row>
    <row r="1904" spans="1:21" ht="15" customHeight="1">
      <c r="A1904" s="125"/>
      <c r="B1904" s="125"/>
      <c r="C1904" s="125"/>
      <c r="D1904" s="81"/>
      <c r="E1904" s="81"/>
      <c r="F1904" s="97"/>
      <c r="G1904" s="81"/>
      <c r="H1904" s="81"/>
      <c r="I1904" s="81"/>
      <c r="J1904" s="81"/>
      <c r="K1904" s="81"/>
      <c r="L1904" s="155"/>
      <c r="M1904" s="155"/>
      <c r="N1904" s="109"/>
      <c r="O1904" s="126"/>
      <c r="P1904" s="126"/>
      <c r="Q1904" s="126"/>
      <c r="R1904" s="127"/>
      <c r="S1904" s="127"/>
      <c r="T1904" s="127"/>
      <c r="U1904" s="127"/>
    </row>
    <row r="1905" spans="1:21" ht="15" customHeight="1">
      <c r="A1905" s="125"/>
      <c r="B1905" s="125"/>
      <c r="C1905" s="125"/>
      <c r="D1905" s="81"/>
      <c r="E1905" s="81"/>
      <c r="F1905" s="97"/>
      <c r="G1905" s="81"/>
      <c r="H1905" s="81"/>
      <c r="I1905" s="81"/>
      <c r="J1905" s="81"/>
      <c r="K1905" s="81"/>
      <c r="L1905" s="155"/>
      <c r="M1905" s="155"/>
      <c r="N1905" s="109"/>
      <c r="O1905" s="126"/>
      <c r="P1905" s="126"/>
      <c r="Q1905" s="126"/>
      <c r="R1905" s="127"/>
      <c r="S1905" s="127"/>
      <c r="T1905" s="127"/>
      <c r="U1905" s="127"/>
    </row>
    <row r="1906" spans="1:21" ht="15" customHeight="1">
      <c r="A1906" s="125"/>
      <c r="B1906" s="125"/>
      <c r="C1906" s="125"/>
      <c r="D1906" s="81"/>
      <c r="E1906" s="81"/>
      <c r="F1906" s="97"/>
      <c r="G1906" s="81"/>
      <c r="H1906" s="81"/>
      <c r="I1906" s="81"/>
      <c r="J1906" s="81"/>
      <c r="K1906" s="81"/>
      <c r="L1906" s="155"/>
      <c r="M1906" s="155"/>
      <c r="N1906" s="109"/>
      <c r="O1906" s="126"/>
      <c r="P1906" s="126"/>
      <c r="Q1906" s="126"/>
      <c r="R1906" s="127"/>
      <c r="S1906" s="127"/>
      <c r="T1906" s="127"/>
      <c r="U1906" s="127"/>
    </row>
    <row r="1907" spans="1:21" ht="15" customHeight="1">
      <c r="A1907" s="125"/>
      <c r="B1907" s="125"/>
      <c r="C1907" s="125"/>
      <c r="D1907" s="81"/>
      <c r="E1907" s="81"/>
      <c r="F1907" s="97"/>
      <c r="G1907" s="81"/>
      <c r="H1907" s="81"/>
      <c r="I1907" s="81"/>
      <c r="J1907" s="81"/>
      <c r="K1907" s="81"/>
      <c r="L1907" s="155"/>
      <c r="M1907" s="155"/>
      <c r="N1907" s="109"/>
      <c r="O1907" s="126"/>
      <c r="P1907" s="126"/>
      <c r="Q1907" s="126"/>
      <c r="R1907" s="127"/>
      <c r="S1907" s="127"/>
      <c r="T1907" s="127"/>
      <c r="U1907" s="127"/>
    </row>
    <row r="1908" spans="1:21" ht="15" customHeight="1">
      <c r="A1908" s="125"/>
      <c r="B1908" s="125"/>
      <c r="C1908" s="125"/>
      <c r="D1908" s="81"/>
      <c r="E1908" s="81"/>
      <c r="F1908" s="97"/>
      <c r="G1908" s="81"/>
      <c r="H1908" s="81"/>
      <c r="I1908" s="81"/>
      <c r="J1908" s="81"/>
      <c r="K1908" s="81"/>
      <c r="L1908" s="155"/>
      <c r="M1908" s="155"/>
      <c r="N1908" s="109"/>
      <c r="O1908" s="126"/>
      <c r="P1908" s="126"/>
      <c r="Q1908" s="126"/>
      <c r="R1908" s="127"/>
      <c r="S1908" s="127"/>
      <c r="T1908" s="127"/>
      <c r="U1908" s="127"/>
    </row>
    <row r="1909" spans="1:21" ht="15" customHeight="1">
      <c r="A1909" s="125"/>
      <c r="B1909" s="125"/>
      <c r="C1909" s="125"/>
      <c r="D1909" s="81"/>
      <c r="E1909" s="81"/>
      <c r="F1909" s="97"/>
      <c r="G1909" s="81"/>
      <c r="H1909" s="81"/>
      <c r="I1909" s="81"/>
      <c r="J1909" s="81"/>
      <c r="K1909" s="81"/>
      <c r="L1909" s="155"/>
      <c r="M1909" s="155"/>
      <c r="N1909" s="109"/>
      <c r="O1909" s="126"/>
      <c r="P1909" s="126"/>
      <c r="Q1909" s="126"/>
      <c r="R1909" s="127"/>
      <c r="S1909" s="127"/>
      <c r="T1909" s="127"/>
      <c r="U1909" s="127"/>
    </row>
    <row r="1910" spans="1:21" ht="15" customHeight="1">
      <c r="A1910" s="125"/>
      <c r="B1910" s="125"/>
      <c r="C1910" s="125"/>
      <c r="D1910" s="81"/>
      <c r="E1910" s="81"/>
      <c r="F1910" s="97"/>
      <c r="G1910" s="81"/>
      <c r="H1910" s="81"/>
      <c r="I1910" s="81"/>
      <c r="J1910" s="81"/>
      <c r="K1910" s="81"/>
      <c r="L1910" s="155"/>
      <c r="M1910" s="155"/>
      <c r="N1910" s="109"/>
      <c r="O1910" s="126"/>
      <c r="P1910" s="126"/>
      <c r="Q1910" s="126"/>
      <c r="R1910" s="127"/>
      <c r="S1910" s="127"/>
      <c r="T1910" s="127"/>
      <c r="U1910" s="127"/>
    </row>
    <row r="1911" spans="1:21" ht="15" customHeight="1">
      <c r="A1911" s="125"/>
      <c r="B1911" s="125"/>
      <c r="C1911" s="125"/>
      <c r="D1911" s="81"/>
      <c r="E1911" s="81"/>
      <c r="F1911" s="97"/>
      <c r="G1911" s="81"/>
      <c r="H1911" s="81"/>
      <c r="I1911" s="81"/>
      <c r="J1911" s="81"/>
      <c r="K1911" s="81"/>
      <c r="L1911" s="155"/>
      <c r="M1911" s="155"/>
      <c r="N1911" s="109"/>
      <c r="O1911" s="126"/>
      <c r="P1911" s="126"/>
      <c r="Q1911" s="126"/>
      <c r="R1911" s="127"/>
      <c r="S1911" s="127"/>
      <c r="T1911" s="127"/>
      <c r="U1911" s="127"/>
    </row>
    <row r="1912" spans="1:21" ht="15" customHeight="1">
      <c r="A1912" s="125"/>
      <c r="B1912" s="125"/>
      <c r="C1912" s="125"/>
      <c r="D1912" s="81"/>
      <c r="E1912" s="81"/>
      <c r="F1912" s="97"/>
      <c r="G1912" s="81"/>
      <c r="H1912" s="81"/>
      <c r="I1912" s="81"/>
      <c r="J1912" s="81"/>
      <c r="K1912" s="81"/>
      <c r="L1912" s="155"/>
      <c r="M1912" s="155"/>
      <c r="N1912" s="109"/>
      <c r="O1912" s="126"/>
      <c r="P1912" s="126"/>
      <c r="Q1912" s="126"/>
      <c r="R1912" s="127"/>
      <c r="S1912" s="127"/>
      <c r="T1912" s="127"/>
      <c r="U1912" s="127"/>
    </row>
    <row r="1913" spans="1:21" ht="15" customHeight="1">
      <c r="A1913" s="125"/>
      <c r="B1913" s="125"/>
      <c r="C1913" s="125"/>
      <c r="D1913" s="81"/>
      <c r="E1913" s="81"/>
      <c r="F1913" s="97"/>
      <c r="G1913" s="81"/>
      <c r="H1913" s="81"/>
      <c r="I1913" s="81"/>
      <c r="J1913" s="81"/>
      <c r="K1913" s="81"/>
      <c r="L1913" s="155"/>
      <c r="M1913" s="155"/>
      <c r="N1913" s="109"/>
      <c r="O1913" s="126"/>
      <c r="P1913" s="126"/>
      <c r="Q1913" s="126"/>
      <c r="R1913" s="127"/>
      <c r="S1913" s="127"/>
      <c r="T1913" s="127"/>
      <c r="U1913" s="127"/>
    </row>
    <row r="1914" spans="1:21" ht="15" customHeight="1">
      <c r="A1914" s="125"/>
      <c r="B1914" s="125"/>
      <c r="C1914" s="125"/>
      <c r="D1914" s="81"/>
      <c r="E1914" s="81"/>
      <c r="F1914" s="97"/>
      <c r="G1914" s="81"/>
      <c r="H1914" s="81"/>
      <c r="I1914" s="81"/>
      <c r="J1914" s="81"/>
      <c r="K1914" s="81"/>
      <c r="L1914" s="155"/>
      <c r="M1914" s="155"/>
      <c r="N1914" s="109"/>
      <c r="O1914" s="126"/>
      <c r="P1914" s="126"/>
      <c r="Q1914" s="126"/>
      <c r="R1914" s="127"/>
      <c r="S1914" s="127"/>
      <c r="T1914" s="127"/>
      <c r="U1914" s="127"/>
    </row>
    <row r="1915" spans="1:21" ht="15" customHeight="1">
      <c r="A1915" s="125"/>
      <c r="B1915" s="125"/>
      <c r="C1915" s="125"/>
      <c r="D1915" s="81"/>
      <c r="E1915" s="81"/>
      <c r="F1915" s="97"/>
      <c r="G1915" s="81"/>
      <c r="H1915" s="81"/>
      <c r="I1915" s="81"/>
      <c r="J1915" s="81"/>
      <c r="K1915" s="81"/>
      <c r="L1915" s="155"/>
      <c r="M1915" s="155"/>
      <c r="N1915" s="109"/>
      <c r="O1915" s="126"/>
      <c r="P1915" s="126"/>
      <c r="Q1915" s="126"/>
      <c r="R1915" s="127"/>
      <c r="S1915" s="127"/>
      <c r="T1915" s="127"/>
      <c r="U1915" s="127"/>
    </row>
    <row r="1916" spans="1:21" ht="15" customHeight="1">
      <c r="A1916" s="125"/>
      <c r="B1916" s="125"/>
      <c r="C1916" s="125"/>
      <c r="D1916" s="81"/>
      <c r="E1916" s="81"/>
      <c r="F1916" s="97"/>
      <c r="G1916" s="81"/>
      <c r="H1916" s="81"/>
      <c r="I1916" s="81"/>
      <c r="J1916" s="81"/>
      <c r="K1916" s="81"/>
      <c r="L1916" s="155"/>
      <c r="M1916" s="155"/>
      <c r="N1916" s="109"/>
      <c r="O1916" s="126"/>
      <c r="P1916" s="126"/>
      <c r="Q1916" s="126"/>
      <c r="R1916" s="127"/>
      <c r="S1916" s="127"/>
      <c r="T1916" s="127"/>
      <c r="U1916" s="127"/>
    </row>
    <row r="1917" spans="1:21" ht="15" customHeight="1">
      <c r="A1917" s="125"/>
      <c r="B1917" s="125"/>
      <c r="C1917" s="125"/>
      <c r="D1917" s="81"/>
      <c r="E1917" s="81"/>
      <c r="F1917" s="97"/>
      <c r="G1917" s="81"/>
      <c r="H1917" s="81"/>
      <c r="I1917" s="81"/>
      <c r="J1917" s="81"/>
      <c r="K1917" s="81"/>
      <c r="L1917" s="155"/>
      <c r="M1917" s="155"/>
      <c r="N1917" s="109"/>
      <c r="O1917" s="126"/>
      <c r="P1917" s="126"/>
      <c r="Q1917" s="126"/>
      <c r="R1917" s="127"/>
      <c r="S1917" s="127"/>
      <c r="T1917" s="127"/>
      <c r="U1917" s="127"/>
    </row>
    <row r="1918" spans="1:21" ht="15" customHeight="1">
      <c r="A1918" s="125"/>
      <c r="B1918" s="125"/>
      <c r="C1918" s="125"/>
      <c r="D1918" s="81"/>
      <c r="E1918" s="81"/>
      <c r="F1918" s="97"/>
      <c r="G1918" s="81"/>
      <c r="H1918" s="81"/>
      <c r="I1918" s="81"/>
      <c r="J1918" s="81"/>
      <c r="K1918" s="81"/>
      <c r="L1918" s="155"/>
      <c r="M1918" s="155"/>
      <c r="N1918" s="109"/>
      <c r="O1918" s="126"/>
      <c r="P1918" s="126"/>
      <c r="Q1918" s="126"/>
      <c r="R1918" s="127"/>
      <c r="S1918" s="127"/>
      <c r="T1918" s="127"/>
      <c r="U1918" s="127"/>
    </row>
    <row r="1919" spans="1:21" ht="15" customHeight="1">
      <c r="A1919" s="125"/>
      <c r="B1919" s="125"/>
      <c r="C1919" s="125"/>
      <c r="D1919" s="81"/>
      <c r="E1919" s="81"/>
      <c r="F1919" s="97"/>
      <c r="G1919" s="81"/>
      <c r="H1919" s="81"/>
      <c r="I1919" s="81"/>
      <c r="J1919" s="81"/>
      <c r="K1919" s="81"/>
      <c r="L1919" s="155"/>
      <c r="M1919" s="155"/>
      <c r="N1919" s="109"/>
      <c r="O1919" s="126"/>
      <c r="P1919" s="126"/>
      <c r="Q1919" s="126"/>
      <c r="R1919" s="127"/>
      <c r="S1919" s="127"/>
      <c r="T1919" s="127"/>
      <c r="U1919" s="127"/>
    </row>
    <row r="1920" spans="1:21" ht="15" customHeight="1">
      <c r="A1920" s="125"/>
      <c r="B1920" s="125"/>
      <c r="C1920" s="125"/>
      <c r="D1920" s="81"/>
      <c r="E1920" s="81"/>
      <c r="F1920" s="97"/>
      <c r="G1920" s="81"/>
      <c r="H1920" s="81"/>
      <c r="I1920" s="81"/>
      <c r="J1920" s="81"/>
      <c r="K1920" s="81"/>
      <c r="L1920" s="155"/>
      <c r="M1920" s="155"/>
      <c r="N1920" s="109"/>
      <c r="O1920" s="126"/>
      <c r="P1920" s="126"/>
      <c r="Q1920" s="126"/>
      <c r="R1920" s="127"/>
      <c r="S1920" s="127"/>
      <c r="T1920" s="127"/>
      <c r="U1920" s="127"/>
    </row>
    <row r="1921" spans="1:21" ht="15" customHeight="1">
      <c r="A1921" s="125"/>
      <c r="B1921" s="125"/>
      <c r="C1921" s="125"/>
      <c r="D1921" s="81"/>
      <c r="E1921" s="81"/>
      <c r="F1921" s="97"/>
      <c r="G1921" s="81"/>
      <c r="H1921" s="81"/>
      <c r="I1921" s="81"/>
      <c r="J1921" s="81"/>
      <c r="K1921" s="81"/>
      <c r="L1921" s="155"/>
      <c r="M1921" s="155"/>
      <c r="N1921" s="109"/>
      <c r="O1921" s="126"/>
      <c r="P1921" s="126"/>
      <c r="Q1921" s="126"/>
      <c r="R1921" s="127"/>
      <c r="S1921" s="127"/>
      <c r="T1921" s="127"/>
      <c r="U1921" s="127"/>
    </row>
    <row r="1922" spans="1:21" ht="15" customHeight="1">
      <c r="A1922" s="125"/>
      <c r="B1922" s="125"/>
      <c r="C1922" s="125"/>
      <c r="D1922" s="81"/>
      <c r="E1922" s="81"/>
      <c r="F1922" s="97"/>
      <c r="G1922" s="81"/>
      <c r="H1922" s="81"/>
      <c r="I1922" s="81"/>
      <c r="J1922" s="81"/>
      <c r="K1922" s="81"/>
      <c r="L1922" s="155"/>
      <c r="M1922" s="155"/>
      <c r="N1922" s="109"/>
      <c r="O1922" s="126"/>
      <c r="P1922" s="126"/>
      <c r="Q1922" s="126"/>
      <c r="R1922" s="127"/>
      <c r="S1922" s="127"/>
      <c r="T1922" s="127"/>
      <c r="U1922" s="127"/>
    </row>
    <row r="1923" spans="1:21" ht="15" customHeight="1">
      <c r="A1923" s="125"/>
      <c r="B1923" s="125"/>
      <c r="C1923" s="125"/>
      <c r="D1923" s="81"/>
      <c r="E1923" s="81"/>
      <c r="F1923" s="97"/>
      <c r="G1923" s="81"/>
      <c r="H1923" s="81"/>
      <c r="I1923" s="81"/>
      <c r="J1923" s="81"/>
      <c r="K1923" s="81"/>
      <c r="L1923" s="155"/>
      <c r="M1923" s="155"/>
      <c r="N1923" s="109"/>
      <c r="O1923" s="126"/>
      <c r="P1923" s="126"/>
      <c r="Q1923" s="126"/>
      <c r="R1923" s="127"/>
      <c r="S1923" s="127"/>
      <c r="T1923" s="127"/>
      <c r="U1923" s="127"/>
    </row>
    <row r="1924" spans="1:21" ht="15" customHeight="1">
      <c r="A1924" s="125"/>
      <c r="B1924" s="125"/>
      <c r="C1924" s="125"/>
      <c r="D1924" s="81"/>
      <c r="E1924" s="81"/>
      <c r="F1924" s="97"/>
      <c r="G1924" s="81"/>
      <c r="H1924" s="81"/>
      <c r="I1924" s="81"/>
      <c r="J1924" s="81"/>
      <c r="K1924" s="81"/>
      <c r="L1924" s="155"/>
      <c r="M1924" s="155"/>
      <c r="N1924" s="109"/>
      <c r="O1924" s="126"/>
      <c r="P1924" s="126"/>
      <c r="Q1924" s="126"/>
      <c r="R1924" s="127"/>
      <c r="S1924" s="127"/>
      <c r="T1924" s="127"/>
      <c r="U1924" s="127"/>
    </row>
    <row r="1925" spans="1:21" ht="15" customHeight="1">
      <c r="A1925" s="125"/>
      <c r="B1925" s="125"/>
      <c r="C1925" s="125"/>
      <c r="D1925" s="81"/>
      <c r="E1925" s="81"/>
      <c r="F1925" s="97"/>
      <c r="G1925" s="81"/>
      <c r="H1925" s="81"/>
      <c r="I1925" s="81"/>
      <c r="J1925" s="81"/>
      <c r="K1925" s="81"/>
      <c r="L1925" s="155"/>
      <c r="M1925" s="155"/>
      <c r="N1925" s="109"/>
      <c r="O1925" s="126"/>
      <c r="P1925" s="126"/>
      <c r="Q1925" s="126"/>
      <c r="R1925" s="127"/>
      <c r="S1925" s="127"/>
      <c r="T1925" s="127"/>
      <c r="U1925" s="127"/>
    </row>
    <row r="1926" spans="1:21" ht="15" customHeight="1">
      <c r="A1926" s="125"/>
      <c r="B1926" s="125"/>
      <c r="C1926" s="125"/>
      <c r="D1926" s="81"/>
      <c r="E1926" s="81"/>
      <c r="F1926" s="97"/>
      <c r="G1926" s="81"/>
      <c r="H1926" s="81"/>
      <c r="I1926" s="81"/>
      <c r="J1926" s="81"/>
      <c r="K1926" s="81"/>
      <c r="L1926" s="155"/>
      <c r="M1926" s="155"/>
      <c r="N1926" s="109"/>
      <c r="O1926" s="126"/>
      <c r="P1926" s="126"/>
      <c r="Q1926" s="126"/>
      <c r="R1926" s="127"/>
      <c r="S1926" s="127"/>
      <c r="T1926" s="127"/>
      <c r="U1926" s="127"/>
    </row>
    <row r="1927" spans="1:21" ht="15" customHeight="1">
      <c r="A1927" s="125"/>
      <c r="B1927" s="125"/>
      <c r="C1927" s="125"/>
      <c r="D1927" s="81"/>
      <c r="E1927" s="81"/>
      <c r="F1927" s="97"/>
      <c r="G1927" s="81"/>
      <c r="H1927" s="81"/>
      <c r="I1927" s="81"/>
      <c r="J1927" s="81"/>
      <c r="K1927" s="81"/>
      <c r="L1927" s="155"/>
      <c r="M1927" s="155"/>
      <c r="N1927" s="109"/>
      <c r="O1927" s="126"/>
      <c r="P1927" s="126"/>
      <c r="Q1927" s="126"/>
      <c r="R1927" s="127"/>
      <c r="S1927" s="127"/>
      <c r="T1927" s="127"/>
      <c r="U1927" s="127"/>
    </row>
    <row r="1928" spans="1:21" ht="15" customHeight="1">
      <c r="A1928" s="125"/>
      <c r="B1928" s="125"/>
      <c r="C1928" s="125"/>
      <c r="D1928" s="81"/>
      <c r="E1928" s="81"/>
      <c r="F1928" s="97"/>
      <c r="G1928" s="81"/>
      <c r="H1928" s="81"/>
      <c r="I1928" s="81"/>
      <c r="J1928" s="81"/>
      <c r="K1928" s="81"/>
      <c r="L1928" s="155"/>
      <c r="M1928" s="155"/>
      <c r="N1928" s="109"/>
      <c r="O1928" s="126"/>
      <c r="P1928" s="126"/>
      <c r="Q1928" s="126"/>
      <c r="R1928" s="127"/>
      <c r="S1928" s="127"/>
      <c r="T1928" s="127"/>
      <c r="U1928" s="127"/>
    </row>
    <row r="1929" spans="1:21" ht="15" customHeight="1">
      <c r="A1929" s="125"/>
      <c r="B1929" s="125"/>
      <c r="C1929" s="125"/>
      <c r="D1929" s="81"/>
      <c r="E1929" s="81"/>
      <c r="F1929" s="97"/>
      <c r="G1929" s="81"/>
      <c r="H1929" s="81"/>
      <c r="I1929" s="81"/>
      <c r="J1929" s="81"/>
      <c r="K1929" s="81"/>
      <c r="L1929" s="155"/>
      <c r="M1929" s="155"/>
      <c r="N1929" s="109"/>
      <c r="O1929" s="126"/>
      <c r="P1929" s="126"/>
      <c r="Q1929" s="126"/>
      <c r="R1929" s="127"/>
      <c r="S1929" s="127"/>
      <c r="T1929" s="127"/>
      <c r="U1929" s="127"/>
    </row>
    <row r="1930" spans="1:21" ht="15" customHeight="1">
      <c r="A1930" s="125"/>
      <c r="B1930" s="125"/>
      <c r="C1930" s="125"/>
      <c r="D1930" s="81"/>
      <c r="E1930" s="81"/>
      <c r="F1930" s="97"/>
      <c r="G1930" s="81"/>
      <c r="H1930" s="81"/>
      <c r="I1930" s="81"/>
      <c r="J1930" s="81"/>
      <c r="K1930" s="81"/>
      <c r="L1930" s="155"/>
      <c r="M1930" s="155"/>
      <c r="N1930" s="109"/>
      <c r="O1930" s="126"/>
      <c r="P1930" s="126"/>
      <c r="Q1930" s="126"/>
      <c r="R1930" s="127"/>
      <c r="S1930" s="127"/>
      <c r="T1930" s="127"/>
      <c r="U1930" s="127"/>
    </row>
    <row r="1931" spans="1:21" ht="15" customHeight="1">
      <c r="A1931" s="125"/>
      <c r="B1931" s="125"/>
      <c r="C1931" s="125"/>
      <c r="D1931" s="81"/>
      <c r="E1931" s="81"/>
      <c r="F1931" s="97"/>
      <c r="G1931" s="81"/>
      <c r="H1931" s="81"/>
      <c r="I1931" s="81"/>
      <c r="J1931" s="81"/>
      <c r="K1931" s="81"/>
      <c r="L1931" s="155"/>
      <c r="M1931" s="155"/>
      <c r="N1931" s="109"/>
      <c r="O1931" s="126"/>
      <c r="P1931" s="126"/>
      <c r="Q1931" s="126"/>
      <c r="R1931" s="127"/>
      <c r="S1931" s="127"/>
      <c r="T1931" s="127"/>
      <c r="U1931" s="127"/>
    </row>
    <row r="1932" spans="1:21" ht="15" customHeight="1">
      <c r="A1932" s="125"/>
      <c r="B1932" s="125"/>
      <c r="C1932" s="125"/>
      <c r="D1932" s="81"/>
      <c r="E1932" s="81"/>
      <c r="F1932" s="97"/>
      <c r="G1932" s="81"/>
      <c r="H1932" s="81"/>
      <c r="I1932" s="81"/>
      <c r="J1932" s="81"/>
      <c r="K1932" s="81"/>
      <c r="L1932" s="155"/>
      <c r="M1932" s="155"/>
      <c r="N1932" s="109"/>
      <c r="O1932" s="126"/>
      <c r="P1932" s="126"/>
      <c r="Q1932" s="126"/>
      <c r="R1932" s="127"/>
      <c r="S1932" s="127"/>
      <c r="T1932" s="127"/>
      <c r="U1932" s="127"/>
    </row>
    <row r="1933" spans="1:21" ht="15" customHeight="1">
      <c r="A1933" s="125"/>
      <c r="B1933" s="125"/>
      <c r="C1933" s="125"/>
      <c r="D1933" s="81"/>
      <c r="E1933" s="81"/>
      <c r="F1933" s="97"/>
      <c r="G1933" s="81"/>
      <c r="H1933" s="81"/>
      <c r="I1933" s="81"/>
      <c r="J1933" s="81"/>
      <c r="K1933" s="81"/>
      <c r="L1933" s="155"/>
      <c r="M1933" s="155"/>
      <c r="N1933" s="109"/>
      <c r="O1933" s="126"/>
      <c r="P1933" s="126"/>
      <c r="Q1933" s="126"/>
      <c r="R1933" s="127"/>
      <c r="S1933" s="127"/>
      <c r="T1933" s="127"/>
      <c r="U1933" s="127"/>
    </row>
    <row r="1934" spans="1:21" ht="15" customHeight="1">
      <c r="A1934" s="125"/>
      <c r="B1934" s="125"/>
      <c r="C1934" s="125"/>
      <c r="D1934" s="81"/>
      <c r="E1934" s="81"/>
      <c r="F1934" s="97"/>
      <c r="G1934" s="81"/>
      <c r="H1934" s="81"/>
      <c r="I1934" s="81"/>
      <c r="J1934" s="81"/>
      <c r="K1934" s="81"/>
      <c r="L1934" s="155"/>
      <c r="M1934" s="155"/>
      <c r="N1934" s="109"/>
      <c r="O1934" s="126"/>
      <c r="P1934" s="126"/>
      <c r="Q1934" s="126"/>
      <c r="R1934" s="127"/>
      <c r="S1934" s="127"/>
      <c r="T1934" s="127"/>
      <c r="U1934" s="127"/>
    </row>
    <row r="1935" spans="1:21" ht="15" customHeight="1">
      <c r="A1935" s="125"/>
      <c r="B1935" s="125"/>
      <c r="C1935" s="125"/>
      <c r="D1935" s="81"/>
      <c r="E1935" s="81"/>
      <c r="F1935" s="97"/>
      <c r="G1935" s="81"/>
      <c r="H1935" s="81"/>
      <c r="I1935" s="81"/>
      <c r="J1935" s="81"/>
      <c r="K1935" s="81"/>
      <c r="L1935" s="155"/>
      <c r="M1935" s="155"/>
      <c r="N1935" s="109"/>
      <c r="O1935" s="126"/>
      <c r="P1935" s="126"/>
      <c r="Q1935" s="126"/>
      <c r="R1935" s="127"/>
      <c r="S1935" s="127"/>
      <c r="T1935" s="127"/>
      <c r="U1935" s="127"/>
    </row>
    <row r="1936" spans="1:21" ht="15" customHeight="1">
      <c r="A1936" s="125"/>
      <c r="B1936" s="125"/>
      <c r="C1936" s="125"/>
      <c r="D1936" s="81"/>
      <c r="E1936" s="81"/>
      <c r="F1936" s="97"/>
      <c r="G1936" s="81"/>
      <c r="H1936" s="81"/>
      <c r="I1936" s="81"/>
      <c r="J1936" s="81"/>
      <c r="K1936" s="81"/>
      <c r="L1936" s="155"/>
      <c r="M1936" s="155"/>
      <c r="N1936" s="109"/>
      <c r="O1936" s="126"/>
      <c r="P1936" s="126"/>
      <c r="Q1936" s="126"/>
      <c r="R1936" s="127"/>
      <c r="S1936" s="127"/>
      <c r="T1936" s="127"/>
      <c r="U1936" s="127"/>
    </row>
    <row r="1937" spans="1:21" ht="15" customHeight="1">
      <c r="A1937" s="125"/>
      <c r="B1937" s="125"/>
      <c r="C1937" s="125"/>
      <c r="D1937" s="81"/>
      <c r="E1937" s="81"/>
      <c r="F1937" s="97"/>
      <c r="G1937" s="81"/>
      <c r="H1937" s="81"/>
      <c r="I1937" s="81"/>
      <c r="J1937" s="81"/>
      <c r="K1937" s="81"/>
      <c r="L1937" s="155"/>
      <c r="M1937" s="155"/>
      <c r="N1937" s="109"/>
      <c r="O1937" s="126"/>
      <c r="P1937" s="126"/>
      <c r="Q1937" s="126"/>
      <c r="R1937" s="127"/>
      <c r="S1937" s="127"/>
      <c r="T1937" s="127"/>
      <c r="U1937" s="127"/>
    </row>
    <row r="1938" spans="1:21" ht="15" customHeight="1">
      <c r="A1938" s="125"/>
      <c r="B1938" s="125"/>
      <c r="C1938" s="125"/>
      <c r="D1938" s="81"/>
      <c r="E1938" s="81"/>
      <c r="F1938" s="97"/>
      <c r="G1938" s="81"/>
      <c r="H1938" s="81"/>
      <c r="I1938" s="81"/>
      <c r="J1938" s="81"/>
      <c r="K1938" s="81"/>
      <c r="L1938" s="155"/>
      <c r="M1938" s="155"/>
      <c r="N1938" s="109"/>
      <c r="O1938" s="126"/>
      <c r="P1938" s="126"/>
      <c r="Q1938" s="126"/>
      <c r="R1938" s="127"/>
      <c r="S1938" s="127"/>
      <c r="T1938" s="127"/>
      <c r="U1938" s="127"/>
    </row>
    <row r="1939" spans="1:21" ht="15" customHeight="1">
      <c r="A1939" s="125"/>
      <c r="B1939" s="125"/>
      <c r="C1939" s="125"/>
      <c r="D1939" s="81"/>
      <c r="E1939" s="81"/>
      <c r="F1939" s="97"/>
      <c r="G1939" s="81"/>
      <c r="H1939" s="81"/>
      <c r="I1939" s="81"/>
      <c r="J1939" s="81"/>
      <c r="K1939" s="81"/>
      <c r="L1939" s="155"/>
      <c r="M1939" s="155"/>
      <c r="N1939" s="109"/>
      <c r="O1939" s="126"/>
      <c r="P1939" s="126"/>
      <c r="Q1939" s="126"/>
      <c r="R1939" s="127"/>
      <c r="S1939" s="127"/>
      <c r="T1939" s="127"/>
      <c r="U1939" s="127"/>
    </row>
    <row r="1940" spans="1:21" ht="15" customHeight="1">
      <c r="A1940" s="125"/>
      <c r="B1940" s="125"/>
      <c r="C1940" s="125"/>
      <c r="D1940" s="81"/>
      <c r="E1940" s="81"/>
      <c r="F1940" s="97"/>
      <c r="G1940" s="81"/>
      <c r="H1940" s="81"/>
      <c r="I1940" s="81"/>
      <c r="J1940" s="81"/>
      <c r="K1940" s="81"/>
      <c r="L1940" s="155"/>
      <c r="M1940" s="155"/>
      <c r="N1940" s="109"/>
      <c r="O1940" s="126"/>
      <c r="P1940" s="126"/>
      <c r="Q1940" s="126"/>
      <c r="R1940" s="127"/>
      <c r="S1940" s="127"/>
      <c r="T1940" s="127"/>
      <c r="U1940" s="127"/>
    </row>
    <row r="1941" spans="1:21" ht="15" customHeight="1">
      <c r="A1941" s="125"/>
      <c r="B1941" s="125"/>
      <c r="C1941" s="125"/>
      <c r="D1941" s="81"/>
      <c r="E1941" s="81"/>
      <c r="F1941" s="97"/>
      <c r="G1941" s="81"/>
      <c r="H1941" s="81"/>
      <c r="I1941" s="81"/>
      <c r="J1941" s="81"/>
      <c r="K1941" s="81"/>
      <c r="L1941" s="155"/>
      <c r="M1941" s="155"/>
      <c r="N1941" s="109"/>
      <c r="O1941" s="126"/>
      <c r="P1941" s="126"/>
      <c r="Q1941" s="126"/>
      <c r="R1941" s="127"/>
      <c r="S1941" s="127"/>
      <c r="T1941" s="127"/>
      <c r="U1941" s="127"/>
    </row>
    <row r="1942" spans="1:21" ht="15" customHeight="1">
      <c r="A1942" s="125"/>
      <c r="B1942" s="125"/>
      <c r="C1942" s="125"/>
      <c r="D1942" s="81"/>
      <c r="E1942" s="81"/>
      <c r="F1942" s="97"/>
      <c r="G1942" s="81"/>
      <c r="H1942" s="81"/>
      <c r="I1942" s="81"/>
      <c r="J1942" s="81"/>
      <c r="K1942" s="81"/>
      <c r="L1942" s="155"/>
      <c r="M1942" s="155"/>
      <c r="N1942" s="109"/>
      <c r="O1942" s="126"/>
      <c r="P1942" s="126"/>
      <c r="Q1942" s="126"/>
      <c r="R1942" s="127"/>
      <c r="S1942" s="127"/>
      <c r="T1942" s="127"/>
      <c r="U1942" s="127"/>
    </row>
    <row r="1943" spans="1:21" ht="15" customHeight="1">
      <c r="A1943" s="125"/>
      <c r="B1943" s="125"/>
      <c r="C1943" s="125"/>
      <c r="D1943" s="81"/>
      <c r="E1943" s="81"/>
      <c r="F1943" s="97"/>
      <c r="G1943" s="81"/>
      <c r="H1943" s="81"/>
      <c r="I1943" s="81"/>
      <c r="J1943" s="81"/>
      <c r="K1943" s="81"/>
      <c r="L1943" s="155"/>
      <c r="M1943" s="155"/>
      <c r="N1943" s="109"/>
      <c r="O1943" s="126"/>
      <c r="P1943" s="126"/>
      <c r="Q1943" s="126"/>
      <c r="R1943" s="127"/>
      <c r="S1943" s="127"/>
      <c r="T1943" s="127"/>
      <c r="U1943" s="127"/>
    </row>
    <row r="1944" spans="1:21" ht="15" customHeight="1">
      <c r="A1944" s="125"/>
      <c r="B1944" s="125"/>
      <c r="C1944" s="125"/>
      <c r="D1944" s="81"/>
      <c r="E1944" s="81"/>
      <c r="F1944" s="97"/>
      <c r="G1944" s="81"/>
      <c r="H1944" s="81"/>
      <c r="I1944" s="81"/>
      <c r="J1944" s="81"/>
      <c r="K1944" s="81"/>
      <c r="L1944" s="155"/>
      <c r="M1944" s="155"/>
      <c r="N1944" s="109"/>
      <c r="O1944" s="126"/>
      <c r="P1944" s="126"/>
      <c r="Q1944" s="126"/>
      <c r="R1944" s="127"/>
      <c r="S1944" s="127"/>
      <c r="T1944" s="127"/>
      <c r="U1944" s="127"/>
    </row>
    <row r="1945" spans="1:21" ht="15" customHeight="1">
      <c r="A1945" s="125"/>
      <c r="B1945" s="125"/>
      <c r="C1945" s="125"/>
      <c r="D1945" s="81"/>
      <c r="E1945" s="81"/>
      <c r="F1945" s="97"/>
      <c r="G1945" s="81"/>
      <c r="H1945" s="81"/>
      <c r="I1945" s="81"/>
      <c r="J1945" s="81"/>
      <c r="K1945" s="81"/>
      <c r="L1945" s="155"/>
      <c r="M1945" s="155"/>
      <c r="N1945" s="109"/>
      <c r="O1945" s="126"/>
      <c r="P1945" s="126"/>
      <c r="Q1945" s="126"/>
      <c r="R1945" s="127"/>
      <c r="S1945" s="127"/>
      <c r="T1945" s="127"/>
      <c r="U1945" s="127"/>
    </row>
    <row r="1946" spans="1:21" ht="15" customHeight="1">
      <c r="A1946" s="125"/>
      <c r="B1946" s="125"/>
      <c r="C1946" s="125"/>
      <c r="D1946" s="81"/>
      <c r="E1946" s="81"/>
      <c r="F1946" s="97"/>
      <c r="G1946" s="81"/>
      <c r="H1946" s="81"/>
      <c r="I1946" s="81"/>
      <c r="J1946" s="81"/>
      <c r="K1946" s="81"/>
      <c r="L1946" s="155"/>
      <c r="M1946" s="155"/>
      <c r="N1946" s="109"/>
      <c r="O1946" s="126"/>
      <c r="P1946" s="126"/>
      <c r="Q1946" s="126"/>
      <c r="R1946" s="127"/>
      <c r="S1946" s="127"/>
      <c r="T1946" s="127"/>
      <c r="U1946" s="127"/>
    </row>
    <row r="1947" spans="1:21" ht="15" customHeight="1">
      <c r="A1947" s="125"/>
      <c r="B1947" s="125"/>
      <c r="C1947" s="125"/>
      <c r="D1947" s="81"/>
      <c r="E1947" s="81"/>
      <c r="F1947" s="97"/>
      <c r="G1947" s="81"/>
      <c r="H1947" s="81"/>
      <c r="I1947" s="81"/>
      <c r="J1947" s="81"/>
      <c r="K1947" s="81"/>
      <c r="L1947" s="155"/>
      <c r="M1947" s="155"/>
      <c r="N1947" s="109"/>
      <c r="O1947" s="126"/>
      <c r="P1947" s="126"/>
      <c r="Q1947" s="126"/>
      <c r="R1947" s="127"/>
      <c r="S1947" s="127"/>
      <c r="T1947" s="127"/>
      <c r="U1947" s="127"/>
    </row>
    <row r="1948" spans="1:21" ht="15" customHeight="1">
      <c r="A1948" s="125"/>
      <c r="B1948" s="125"/>
      <c r="C1948" s="125"/>
      <c r="D1948" s="81"/>
      <c r="E1948" s="81"/>
      <c r="F1948" s="97"/>
      <c r="G1948" s="81"/>
      <c r="H1948" s="81"/>
      <c r="I1948" s="81"/>
      <c r="J1948" s="81"/>
      <c r="K1948" s="81"/>
      <c r="L1948" s="155"/>
      <c r="M1948" s="155"/>
      <c r="N1948" s="109"/>
      <c r="O1948" s="126"/>
      <c r="P1948" s="126"/>
      <c r="Q1948" s="126"/>
      <c r="R1948" s="127"/>
      <c r="S1948" s="127"/>
      <c r="T1948" s="127"/>
      <c r="U1948" s="127"/>
    </row>
    <row r="1949" spans="1:21" ht="15" customHeight="1">
      <c r="A1949" s="125"/>
      <c r="B1949" s="125"/>
      <c r="C1949" s="125"/>
      <c r="D1949" s="81"/>
      <c r="E1949" s="81"/>
      <c r="F1949" s="97"/>
      <c r="G1949" s="81"/>
      <c r="H1949" s="81"/>
      <c r="I1949" s="81"/>
      <c r="J1949" s="81"/>
      <c r="K1949" s="81"/>
      <c r="L1949" s="155"/>
      <c r="M1949" s="155"/>
      <c r="N1949" s="109"/>
      <c r="O1949" s="126"/>
      <c r="P1949" s="126"/>
      <c r="Q1949" s="126"/>
      <c r="R1949" s="127"/>
      <c r="S1949" s="127"/>
      <c r="T1949" s="127"/>
      <c r="U1949" s="127"/>
    </row>
    <row r="1950" spans="1:21" ht="15" customHeight="1">
      <c r="A1950" s="125"/>
      <c r="B1950" s="125"/>
      <c r="C1950" s="125"/>
      <c r="D1950" s="81"/>
      <c r="E1950" s="81"/>
      <c r="F1950" s="97"/>
      <c r="G1950" s="81"/>
      <c r="H1950" s="81"/>
      <c r="I1950" s="81"/>
      <c r="J1950" s="81"/>
      <c r="K1950" s="81"/>
      <c r="L1950" s="155"/>
      <c r="M1950" s="155"/>
      <c r="N1950" s="109"/>
      <c r="O1950" s="126"/>
      <c r="P1950" s="126"/>
      <c r="Q1950" s="126"/>
      <c r="R1950" s="127"/>
      <c r="S1950" s="127"/>
      <c r="T1950" s="127"/>
      <c r="U1950" s="127"/>
    </row>
    <row r="1951" spans="1:21" ht="15" customHeight="1">
      <c r="A1951" s="125"/>
      <c r="B1951" s="125"/>
      <c r="C1951" s="125"/>
      <c r="D1951" s="81"/>
      <c r="E1951" s="81"/>
      <c r="F1951" s="97"/>
      <c r="G1951" s="81"/>
      <c r="H1951" s="81"/>
      <c r="I1951" s="81"/>
      <c r="J1951" s="81"/>
      <c r="K1951" s="81"/>
      <c r="L1951" s="155"/>
      <c r="M1951" s="155"/>
      <c r="N1951" s="109"/>
      <c r="O1951" s="126"/>
      <c r="P1951" s="126"/>
      <c r="Q1951" s="126"/>
      <c r="R1951" s="127"/>
      <c r="S1951" s="127"/>
      <c r="T1951" s="127"/>
      <c r="U1951" s="127"/>
    </row>
    <row r="1952" spans="1:21" ht="15" customHeight="1">
      <c r="A1952" s="125"/>
      <c r="B1952" s="125"/>
      <c r="C1952" s="125"/>
      <c r="D1952" s="81"/>
      <c r="E1952" s="81"/>
      <c r="F1952" s="97"/>
      <c r="G1952" s="81"/>
      <c r="H1952" s="81"/>
      <c r="I1952" s="81"/>
      <c r="J1952" s="81"/>
      <c r="K1952" s="81"/>
      <c r="L1952" s="155"/>
      <c r="M1952" s="155"/>
      <c r="N1952" s="109"/>
      <c r="O1952" s="126"/>
      <c r="P1952" s="126"/>
      <c r="Q1952" s="126"/>
      <c r="R1952" s="127"/>
      <c r="S1952" s="127"/>
      <c r="T1952" s="127"/>
      <c r="U1952" s="127"/>
    </row>
    <row r="1953" spans="1:21" ht="15" customHeight="1">
      <c r="A1953" s="125"/>
      <c r="B1953" s="125"/>
      <c r="C1953" s="125"/>
      <c r="D1953" s="81"/>
      <c r="E1953" s="81"/>
      <c r="F1953" s="97"/>
      <c r="G1953" s="81"/>
      <c r="H1953" s="81"/>
      <c r="I1953" s="81"/>
      <c r="J1953" s="81"/>
      <c r="K1953" s="81"/>
      <c r="L1953" s="155"/>
      <c r="M1953" s="155"/>
      <c r="N1953" s="109"/>
      <c r="O1953" s="126"/>
      <c r="P1953" s="126"/>
      <c r="Q1953" s="126"/>
      <c r="R1953" s="127"/>
      <c r="S1953" s="127"/>
      <c r="T1953" s="127"/>
      <c r="U1953" s="127"/>
    </row>
    <row r="1954" spans="1:21" ht="15" customHeight="1">
      <c r="A1954" s="125"/>
      <c r="B1954" s="125"/>
      <c r="C1954" s="125"/>
      <c r="D1954" s="81"/>
      <c r="E1954" s="81"/>
      <c r="F1954" s="97"/>
      <c r="G1954" s="81"/>
      <c r="H1954" s="81"/>
      <c r="I1954" s="81"/>
      <c r="J1954" s="81"/>
      <c r="K1954" s="81"/>
      <c r="L1954" s="155"/>
      <c r="M1954" s="155"/>
      <c r="N1954" s="109"/>
      <c r="O1954" s="126"/>
      <c r="P1954" s="126"/>
      <c r="Q1954" s="126"/>
      <c r="R1954" s="127"/>
      <c r="S1954" s="127"/>
      <c r="T1954" s="127"/>
      <c r="U1954" s="127"/>
    </row>
    <row r="1955" spans="1:21" ht="15" customHeight="1">
      <c r="A1955" s="125"/>
      <c r="B1955" s="125"/>
      <c r="C1955" s="125"/>
      <c r="D1955" s="81"/>
      <c r="E1955" s="81"/>
      <c r="F1955" s="97"/>
      <c r="G1955" s="81"/>
      <c r="H1955" s="81"/>
      <c r="I1955" s="81"/>
      <c r="J1955" s="81"/>
      <c r="K1955" s="81"/>
      <c r="L1955" s="155"/>
      <c r="M1955" s="155"/>
      <c r="N1955" s="109"/>
      <c r="O1955" s="126"/>
      <c r="P1955" s="126"/>
      <c r="Q1955" s="126"/>
      <c r="R1955" s="127"/>
      <c r="S1955" s="127"/>
      <c r="T1955" s="127"/>
      <c r="U1955" s="127"/>
    </row>
    <row r="1956" spans="1:21" ht="15" customHeight="1">
      <c r="A1956" s="128"/>
      <c r="B1956" s="128"/>
      <c r="C1956" s="128"/>
      <c r="D1956" s="81"/>
      <c r="E1956" s="81"/>
      <c r="F1956" s="97"/>
      <c r="G1956" s="81"/>
      <c r="H1956" s="81"/>
      <c r="I1956" s="81"/>
      <c r="J1956" s="81"/>
      <c r="K1956" s="81"/>
      <c r="L1956" s="156"/>
      <c r="M1956" s="156"/>
      <c r="N1956" s="110"/>
      <c r="O1956" s="128"/>
      <c r="P1956" s="128"/>
      <c r="Q1956" s="128"/>
      <c r="R1956" s="128"/>
      <c r="S1956" s="128"/>
      <c r="T1956" s="128"/>
      <c r="U1956" s="128"/>
    </row>
  </sheetData>
  <autoFilter ref="A1:X333" xr:uid="{02CEEC22-DA81-4464-BEB1-F4C6C32898E6}"/>
  <sortState xmlns:xlrd2="http://schemas.microsoft.com/office/spreadsheetml/2017/richdata2" ref="A2:Y1956">
    <sortCondition ref="A2:A1956"/>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20724-9E15-495B-AC1F-8FFCB6815D46}">
  <dimension ref="A1:C1956"/>
  <sheetViews>
    <sheetView topLeftCell="A12" workbookViewId="0">
      <selection activeCell="A30" sqref="A30"/>
    </sheetView>
  </sheetViews>
  <sheetFormatPr defaultRowHeight="14.5"/>
  <cols>
    <col min="1" max="1" width="68.54296875" style="3" customWidth="1"/>
    <col min="2" max="2" width="36.1796875" style="3" customWidth="1"/>
    <col min="3" max="3" width="19.81640625" bestFit="1" customWidth="1"/>
  </cols>
  <sheetData>
    <row r="1" spans="1:3">
      <c r="A1" s="281" t="s">
        <v>13</v>
      </c>
      <c r="B1" s="282" t="s">
        <v>1103</v>
      </c>
      <c r="C1" t="s">
        <v>1104</v>
      </c>
    </row>
    <row r="2" spans="1:3">
      <c r="A2" s="134" t="s">
        <v>35</v>
      </c>
      <c r="B2" s="3" t="s">
        <v>1105</v>
      </c>
      <c r="C2" t="s">
        <v>38</v>
      </c>
    </row>
    <row r="3" spans="1:3">
      <c r="A3" s="103" t="s">
        <v>42</v>
      </c>
      <c r="B3" s="3" t="s">
        <v>1105</v>
      </c>
      <c r="C3" t="s">
        <v>38</v>
      </c>
    </row>
    <row r="4" spans="1:3">
      <c r="A4" s="103" t="s">
        <v>51</v>
      </c>
      <c r="B4" s="3" t="s">
        <v>1105</v>
      </c>
      <c r="C4" t="s">
        <v>38</v>
      </c>
    </row>
    <row r="5" spans="1:3">
      <c r="A5" s="256" t="s">
        <v>60</v>
      </c>
      <c r="B5" s="3" t="s">
        <v>1105</v>
      </c>
      <c r="C5" t="s">
        <v>38</v>
      </c>
    </row>
    <row r="6" spans="1:3">
      <c r="A6" s="140" t="s">
        <v>66</v>
      </c>
      <c r="B6" s="3" t="s">
        <v>1106</v>
      </c>
      <c r="C6" t="s">
        <v>276</v>
      </c>
    </row>
    <row r="7" spans="1:3">
      <c r="A7" s="103" t="s">
        <v>72</v>
      </c>
      <c r="B7" s="3" t="s">
        <v>1106</v>
      </c>
      <c r="C7" t="s">
        <v>38</v>
      </c>
    </row>
    <row r="8" spans="1:3">
      <c r="A8" s="256" t="s">
        <v>76</v>
      </c>
      <c r="B8" s="3" t="s">
        <v>1106</v>
      </c>
      <c r="C8" t="s">
        <v>276</v>
      </c>
    </row>
    <row r="9" spans="1:3" ht="28">
      <c r="A9" s="103" t="s">
        <v>84</v>
      </c>
      <c r="B9" s="3" t="s">
        <v>82</v>
      </c>
      <c r="C9" t="s">
        <v>38</v>
      </c>
    </row>
    <row r="10" spans="1:3">
      <c r="A10" s="103" t="s">
        <v>88</v>
      </c>
      <c r="B10" s="3" t="s">
        <v>82</v>
      </c>
      <c r="C10" t="s">
        <v>276</v>
      </c>
    </row>
    <row r="11" spans="1:3" ht="28">
      <c r="A11" s="102" t="s">
        <v>93</v>
      </c>
      <c r="B11" s="3" t="s">
        <v>82</v>
      </c>
      <c r="C11" t="s">
        <v>38</v>
      </c>
    </row>
    <row r="12" spans="1:3" ht="28">
      <c r="A12" s="261" t="s">
        <v>99</v>
      </c>
      <c r="B12" s="3" t="s">
        <v>82</v>
      </c>
      <c r="C12" t="s">
        <v>38</v>
      </c>
    </row>
    <row r="13" spans="1:3">
      <c r="A13" s="103" t="s">
        <v>106</v>
      </c>
      <c r="B13" s="3" t="s">
        <v>1107</v>
      </c>
      <c r="C13" t="s">
        <v>38</v>
      </c>
    </row>
    <row r="14" spans="1:3">
      <c r="A14" s="103" t="s">
        <v>110</v>
      </c>
      <c r="B14" s="3" t="s">
        <v>1107</v>
      </c>
      <c r="C14" t="s">
        <v>38</v>
      </c>
    </row>
    <row r="15" spans="1:3">
      <c r="A15" s="104" t="s">
        <v>116</v>
      </c>
      <c r="B15" s="3" t="s">
        <v>114</v>
      </c>
      <c r="C15" t="s">
        <v>1108</v>
      </c>
    </row>
    <row r="16" spans="1:3">
      <c r="A16" s="103" t="s">
        <v>120</v>
      </c>
      <c r="B16" s="3" t="s">
        <v>114</v>
      </c>
      <c r="C16" t="s">
        <v>1108</v>
      </c>
    </row>
    <row r="17" spans="1:3" ht="28">
      <c r="A17" s="263" t="s">
        <v>126</v>
      </c>
      <c r="B17" s="3" t="s">
        <v>114</v>
      </c>
      <c r="C17" t="s">
        <v>1108</v>
      </c>
    </row>
    <row r="18" spans="1:3">
      <c r="A18" s="246" t="s">
        <v>130</v>
      </c>
      <c r="B18" s="3" t="s">
        <v>114</v>
      </c>
      <c r="C18" t="s">
        <v>1108</v>
      </c>
    </row>
    <row r="19" spans="1:3">
      <c r="A19" s="103" t="s">
        <v>138</v>
      </c>
      <c r="B19" s="3" t="s">
        <v>136</v>
      </c>
      <c r="C19" t="s">
        <v>38</v>
      </c>
    </row>
    <row r="20" spans="1:3">
      <c r="A20" s="105" t="s">
        <v>143</v>
      </c>
      <c r="B20" s="3" t="s">
        <v>136</v>
      </c>
      <c r="C20" t="s">
        <v>38</v>
      </c>
    </row>
    <row r="21" spans="1:3">
      <c r="A21" s="265" t="s">
        <v>149</v>
      </c>
      <c r="B21" s="3" t="s">
        <v>136</v>
      </c>
      <c r="C21" t="s">
        <v>38</v>
      </c>
    </row>
    <row r="22" spans="1:3">
      <c r="A22" s="103" t="s">
        <v>158</v>
      </c>
      <c r="B22" s="3" t="s">
        <v>156</v>
      </c>
      <c r="C22" t="s">
        <v>276</v>
      </c>
    </row>
    <row r="23" spans="1:3">
      <c r="A23" s="137" t="s">
        <v>166</v>
      </c>
      <c r="B23" s="3" t="s">
        <v>156</v>
      </c>
      <c r="C23" t="s">
        <v>38</v>
      </c>
    </row>
    <row r="24" spans="1:3" ht="28">
      <c r="A24" s="137" t="s">
        <v>173</v>
      </c>
      <c r="B24" s="3" t="s">
        <v>156</v>
      </c>
      <c r="C24" t="s">
        <v>38</v>
      </c>
    </row>
    <row r="25" spans="1:3" ht="29">
      <c r="A25" s="268" t="s">
        <v>180</v>
      </c>
      <c r="B25" s="3" t="s">
        <v>1109</v>
      </c>
      <c r="C25" t="s">
        <v>276</v>
      </c>
    </row>
    <row r="26" spans="1:3" ht="29">
      <c r="A26" s="248" t="s">
        <v>188</v>
      </c>
      <c r="B26" s="3" t="s">
        <v>1110</v>
      </c>
    </row>
    <row r="27" spans="1:3" ht="29">
      <c r="A27" s="103" t="s">
        <v>192</v>
      </c>
      <c r="B27" s="3" t="s">
        <v>1110</v>
      </c>
    </row>
    <row r="28" spans="1:3" ht="29">
      <c r="A28" s="103" t="s">
        <v>196</v>
      </c>
      <c r="B28" s="3" t="s">
        <v>1110</v>
      </c>
    </row>
    <row r="29" spans="1:3" ht="29">
      <c r="A29" s="140" t="s">
        <v>202</v>
      </c>
      <c r="B29" s="3" t="s">
        <v>1110</v>
      </c>
    </row>
    <row r="30" spans="1:3" ht="29">
      <c r="A30" s="140" t="s">
        <v>209</v>
      </c>
      <c r="B30" s="3" t="s">
        <v>1110</v>
      </c>
    </row>
    <row r="31" spans="1:3" ht="29">
      <c r="A31" s="140" t="s">
        <v>215</v>
      </c>
      <c r="B31" s="3" t="s">
        <v>1110</v>
      </c>
    </row>
    <row r="32" spans="1:3" ht="29">
      <c r="A32" s="103" t="s">
        <v>220</v>
      </c>
      <c r="B32" s="3" t="s">
        <v>1110</v>
      </c>
    </row>
    <row r="33" spans="1:2" ht="29">
      <c r="A33" s="76" t="s">
        <v>225</v>
      </c>
      <c r="B33" s="3" t="s">
        <v>1110</v>
      </c>
    </row>
    <row r="34" spans="1:2" ht="29">
      <c r="A34" s="104" t="s">
        <v>229</v>
      </c>
      <c r="B34" s="3" t="s">
        <v>1110</v>
      </c>
    </row>
    <row r="35" spans="1:2" ht="29">
      <c r="A35" s="103" t="s">
        <v>232</v>
      </c>
      <c r="B35" s="3" t="s">
        <v>1110</v>
      </c>
    </row>
    <row r="36" spans="1:2" ht="29">
      <c r="A36" s="103" t="s">
        <v>237</v>
      </c>
      <c r="B36" s="3" t="s">
        <v>1110</v>
      </c>
    </row>
    <row r="37" spans="1:2" ht="29">
      <c r="A37" s="103" t="s">
        <v>241</v>
      </c>
      <c r="B37" s="3" t="s">
        <v>1110</v>
      </c>
    </row>
    <row r="38" spans="1:2" ht="29">
      <c r="A38" s="103" t="s">
        <v>243</v>
      </c>
      <c r="B38" s="3" t="s">
        <v>1110</v>
      </c>
    </row>
    <row r="39" spans="1:2" ht="29">
      <c r="A39" s="103" t="s">
        <v>245</v>
      </c>
      <c r="B39" s="3" t="s">
        <v>1110</v>
      </c>
    </row>
    <row r="40" spans="1:2" ht="29">
      <c r="A40" s="103" t="s">
        <v>248</v>
      </c>
      <c r="B40" s="3" t="s">
        <v>1110</v>
      </c>
    </row>
    <row r="41" spans="1:2" ht="29">
      <c r="A41" s="140" t="s">
        <v>251</v>
      </c>
      <c r="B41" s="3" t="s">
        <v>1110</v>
      </c>
    </row>
    <row r="42" spans="1:2" ht="29">
      <c r="A42" s="103" t="s">
        <v>253</v>
      </c>
      <c r="B42" s="3" t="s">
        <v>1110</v>
      </c>
    </row>
    <row r="43" spans="1:2" ht="29">
      <c r="A43" s="103" t="s">
        <v>255</v>
      </c>
      <c r="B43" s="3" t="s">
        <v>1110</v>
      </c>
    </row>
    <row r="44" spans="1:2" ht="29">
      <c r="A44" s="140" t="s">
        <v>257</v>
      </c>
      <c r="B44" s="3" t="s">
        <v>1110</v>
      </c>
    </row>
    <row r="45" spans="1:2" ht="29">
      <c r="A45" s="140" t="s">
        <v>262</v>
      </c>
      <c r="B45" s="3" t="s">
        <v>1110</v>
      </c>
    </row>
    <row r="46" spans="1:2" ht="29">
      <c r="A46" s="140" t="s">
        <v>267</v>
      </c>
      <c r="B46" s="3" t="s">
        <v>1110</v>
      </c>
    </row>
    <row r="47" spans="1:2" ht="29">
      <c r="A47" s="140" t="s">
        <v>270</v>
      </c>
      <c r="B47" s="3" t="s">
        <v>1110</v>
      </c>
    </row>
    <row r="48" spans="1:2" ht="29">
      <c r="A48" s="207" t="s">
        <v>273</v>
      </c>
      <c r="B48" s="3" t="s">
        <v>1110</v>
      </c>
    </row>
    <row r="49" spans="1:2" ht="29">
      <c r="A49" s="103" t="s">
        <v>280</v>
      </c>
      <c r="B49" s="3" t="s">
        <v>1110</v>
      </c>
    </row>
    <row r="50" spans="1:2" ht="29">
      <c r="A50" s="103" t="s">
        <v>282</v>
      </c>
      <c r="B50" s="3" t="s">
        <v>1110</v>
      </c>
    </row>
    <row r="51" spans="1:2" ht="29">
      <c r="A51" s="103" t="s">
        <v>284</v>
      </c>
      <c r="B51" s="3" t="s">
        <v>1110</v>
      </c>
    </row>
    <row r="52" spans="1:2" ht="29">
      <c r="A52" s="140" t="s">
        <v>286</v>
      </c>
      <c r="B52" s="3" t="s">
        <v>1110</v>
      </c>
    </row>
    <row r="53" spans="1:2" ht="29">
      <c r="A53" s="140" t="s">
        <v>290</v>
      </c>
      <c r="B53" s="3" t="s">
        <v>1110</v>
      </c>
    </row>
    <row r="54" spans="1:2" ht="29">
      <c r="A54" s="103" t="s">
        <v>295</v>
      </c>
      <c r="B54" s="3" t="s">
        <v>1110</v>
      </c>
    </row>
    <row r="55" spans="1:2" ht="29">
      <c r="A55" s="140" t="s">
        <v>298</v>
      </c>
      <c r="B55" s="3" t="s">
        <v>1110</v>
      </c>
    </row>
    <row r="56" spans="1:2" ht="29">
      <c r="A56" s="103" t="s">
        <v>301</v>
      </c>
      <c r="B56" s="3" t="s">
        <v>1110</v>
      </c>
    </row>
    <row r="57" spans="1:2" ht="29">
      <c r="A57" s="102" t="s">
        <v>303</v>
      </c>
      <c r="B57" s="3" t="s">
        <v>1110</v>
      </c>
    </row>
    <row r="58" spans="1:2" ht="29">
      <c r="A58" s="271" t="s">
        <v>305</v>
      </c>
      <c r="B58" s="3" t="s">
        <v>1110</v>
      </c>
    </row>
    <row r="59" spans="1:2" ht="29">
      <c r="A59" s="102" t="s">
        <v>307</v>
      </c>
      <c r="B59" s="3" t="s">
        <v>1110</v>
      </c>
    </row>
    <row r="60" spans="1:2" ht="29">
      <c r="A60" s="76" t="s">
        <v>309</v>
      </c>
      <c r="B60" s="3" t="s">
        <v>1110</v>
      </c>
    </row>
    <row r="61" spans="1:2" ht="29">
      <c r="A61" s="76" t="s">
        <v>314</v>
      </c>
      <c r="B61" s="3" t="s">
        <v>1110</v>
      </c>
    </row>
    <row r="62" spans="1:2" ht="29">
      <c r="A62" s="76" t="s">
        <v>318</v>
      </c>
      <c r="B62" s="3" t="s">
        <v>1110</v>
      </c>
    </row>
    <row r="63" spans="1:2" ht="29">
      <c r="A63" s="102" t="s">
        <v>322</v>
      </c>
      <c r="B63" s="3" t="s">
        <v>1110</v>
      </c>
    </row>
    <row r="64" spans="1:2" ht="43.5">
      <c r="A64" s="243" t="s">
        <v>325</v>
      </c>
      <c r="B64" s="3" t="s">
        <v>1111</v>
      </c>
    </row>
    <row r="65" spans="1:2" ht="28">
      <c r="A65" s="106" t="s">
        <v>331</v>
      </c>
      <c r="B65" s="3" t="s">
        <v>330</v>
      </c>
    </row>
    <row r="66" spans="1:2">
      <c r="A66" s="103" t="s">
        <v>336</v>
      </c>
      <c r="B66" s="3" t="s">
        <v>334</v>
      </c>
    </row>
    <row r="67" spans="1:2">
      <c r="A67" s="103" t="s">
        <v>339</v>
      </c>
      <c r="B67" s="3" t="s">
        <v>334</v>
      </c>
    </row>
    <row r="68" spans="1:2">
      <c r="A68" s="103" t="s">
        <v>343</v>
      </c>
      <c r="B68" s="3" t="s">
        <v>334</v>
      </c>
    </row>
    <row r="69" spans="1:2">
      <c r="A69" s="103" t="s">
        <v>347</v>
      </c>
      <c r="B69" s="3" t="s">
        <v>334</v>
      </c>
    </row>
    <row r="70" spans="1:2" ht="28">
      <c r="A70" s="103" t="s">
        <v>350</v>
      </c>
      <c r="B70" s="3" t="s">
        <v>334</v>
      </c>
    </row>
    <row r="71" spans="1:2">
      <c r="A71" s="103" t="s">
        <v>353</v>
      </c>
      <c r="B71" s="3" t="s">
        <v>334</v>
      </c>
    </row>
    <row r="72" spans="1:2" ht="28">
      <c r="A72" s="103" t="s">
        <v>356</v>
      </c>
      <c r="B72" s="3" t="s">
        <v>334</v>
      </c>
    </row>
    <row r="73" spans="1:2">
      <c r="A73" s="137" t="s">
        <v>358</v>
      </c>
      <c r="B73" s="3" t="s">
        <v>334</v>
      </c>
    </row>
    <row r="74" spans="1:2">
      <c r="A74" s="140" t="s">
        <v>361</v>
      </c>
      <c r="B74" s="3" t="s">
        <v>334</v>
      </c>
    </row>
    <row r="75" spans="1:2">
      <c r="A75" s="103" t="s">
        <v>364</v>
      </c>
      <c r="B75" s="3" t="s">
        <v>334</v>
      </c>
    </row>
    <row r="76" spans="1:2">
      <c r="A76" s="140" t="s">
        <v>366</v>
      </c>
      <c r="B76" s="3" t="s">
        <v>334</v>
      </c>
    </row>
    <row r="77" spans="1:2">
      <c r="A77" s="140" t="s">
        <v>368</v>
      </c>
      <c r="B77" s="3" t="s">
        <v>334</v>
      </c>
    </row>
    <row r="78" spans="1:2">
      <c r="A78" s="140" t="s">
        <v>373</v>
      </c>
      <c r="B78" s="3" t="s">
        <v>334</v>
      </c>
    </row>
    <row r="79" spans="1:2">
      <c r="A79" s="256" t="s">
        <v>375</v>
      </c>
      <c r="B79" s="3" t="s">
        <v>334</v>
      </c>
    </row>
    <row r="80" spans="1:2">
      <c r="A80" s="211" t="s">
        <v>379</v>
      </c>
      <c r="B80" s="3" t="s">
        <v>378</v>
      </c>
    </row>
    <row r="81" spans="1:2" ht="28">
      <c r="A81" s="104" t="s">
        <v>385</v>
      </c>
      <c r="B81" s="3" t="s">
        <v>1112</v>
      </c>
    </row>
    <row r="82" spans="1:2" ht="28">
      <c r="A82" s="103" t="s">
        <v>389</v>
      </c>
      <c r="B82" s="3" t="s">
        <v>1112</v>
      </c>
    </row>
    <row r="83" spans="1:2">
      <c r="A83" s="103" t="s">
        <v>392</v>
      </c>
      <c r="B83" s="3" t="s">
        <v>1112</v>
      </c>
    </row>
    <row r="84" spans="1:2" ht="28">
      <c r="A84" s="265" t="s">
        <v>395</v>
      </c>
      <c r="B84" s="3" t="s">
        <v>1112</v>
      </c>
    </row>
    <row r="85" spans="1:2">
      <c r="A85" s="140" t="s">
        <v>399</v>
      </c>
      <c r="B85" s="3" t="s">
        <v>1113</v>
      </c>
    </row>
    <row r="86" spans="1:2">
      <c r="A86" s="103" t="s">
        <v>405</v>
      </c>
      <c r="B86" s="3" t="s">
        <v>398</v>
      </c>
    </row>
    <row r="87" spans="1:2">
      <c r="A87" s="103" t="s">
        <v>407</v>
      </c>
      <c r="B87" s="3" t="s">
        <v>398</v>
      </c>
    </row>
    <row r="88" spans="1:2">
      <c r="A88" s="103" t="s">
        <v>410</v>
      </c>
      <c r="B88" s="3" t="s">
        <v>398</v>
      </c>
    </row>
    <row r="89" spans="1:2" ht="28">
      <c r="A89" s="103" t="s">
        <v>412</v>
      </c>
      <c r="B89" s="3" t="s">
        <v>398</v>
      </c>
    </row>
    <row r="90" spans="1:2">
      <c r="A90" s="103" t="s">
        <v>415</v>
      </c>
      <c r="B90" s="3" t="s">
        <v>398</v>
      </c>
    </row>
    <row r="91" spans="1:2">
      <c r="A91" s="103" t="s">
        <v>419</v>
      </c>
      <c r="B91" s="3" t="s">
        <v>1113</v>
      </c>
    </row>
    <row r="92" spans="1:2">
      <c r="A92" s="103" t="s">
        <v>421</v>
      </c>
      <c r="B92" s="3" t="s">
        <v>398</v>
      </c>
    </row>
    <row r="93" spans="1:2">
      <c r="A93" s="103" t="s">
        <v>423</v>
      </c>
      <c r="B93" s="3" t="s">
        <v>398</v>
      </c>
    </row>
    <row r="94" spans="1:2">
      <c r="A94" s="103" t="s">
        <v>425</v>
      </c>
      <c r="B94" s="3" t="s">
        <v>398</v>
      </c>
    </row>
    <row r="95" spans="1:2">
      <c r="A95" s="103" t="s">
        <v>427</v>
      </c>
      <c r="B95" s="3" t="s">
        <v>398</v>
      </c>
    </row>
    <row r="96" spans="1:2">
      <c r="A96" s="103" t="s">
        <v>429</v>
      </c>
      <c r="B96" s="3" t="s">
        <v>398</v>
      </c>
    </row>
    <row r="97" spans="1:2" ht="28">
      <c r="A97" s="103" t="s">
        <v>431</v>
      </c>
      <c r="B97" s="3" t="s">
        <v>398</v>
      </c>
    </row>
    <row r="98" spans="1:2">
      <c r="A98" s="263" t="s">
        <v>433</v>
      </c>
      <c r="B98" s="3" t="s">
        <v>398</v>
      </c>
    </row>
    <row r="99" spans="1:2" ht="28">
      <c r="A99" s="165" t="s">
        <v>435</v>
      </c>
      <c r="B99" s="3" t="s">
        <v>398</v>
      </c>
    </row>
    <row r="100" spans="1:2">
      <c r="A100" s="106" t="s">
        <v>439</v>
      </c>
      <c r="B100" s="3" t="s">
        <v>1114</v>
      </c>
    </row>
    <row r="101" spans="1:2">
      <c r="A101" s="102" t="s">
        <v>442</v>
      </c>
      <c r="B101" s="3" t="s">
        <v>1114</v>
      </c>
    </row>
    <row r="102" spans="1:2">
      <c r="A102" s="140" t="s">
        <v>445</v>
      </c>
      <c r="B102" s="3" t="s">
        <v>1114</v>
      </c>
    </row>
    <row r="103" spans="1:2">
      <c r="A103" s="103" t="s">
        <v>450</v>
      </c>
      <c r="B103" s="3" t="s">
        <v>1114</v>
      </c>
    </row>
    <row r="104" spans="1:2">
      <c r="A104" s="102" t="s">
        <v>453</v>
      </c>
      <c r="B104" s="3" t="s">
        <v>1114</v>
      </c>
    </row>
    <row r="105" spans="1:2">
      <c r="A105" s="76" t="s">
        <v>455</v>
      </c>
      <c r="B105" s="3" t="s">
        <v>1114</v>
      </c>
    </row>
    <row r="106" spans="1:2">
      <c r="A106" s="76" t="s">
        <v>460</v>
      </c>
      <c r="B106" s="3" t="s">
        <v>1114</v>
      </c>
    </row>
    <row r="107" spans="1:2">
      <c r="A107" s="102" t="s">
        <v>464</v>
      </c>
      <c r="B107" s="3" t="s">
        <v>1114</v>
      </c>
    </row>
    <row r="108" spans="1:2">
      <c r="A108" s="103" t="s">
        <v>469</v>
      </c>
      <c r="B108" s="3" t="s">
        <v>467</v>
      </c>
    </row>
    <row r="109" spans="1:2">
      <c r="A109" s="104" t="s">
        <v>474</v>
      </c>
      <c r="B109" s="3" t="s">
        <v>472</v>
      </c>
    </row>
    <row r="110" spans="1:2">
      <c r="A110" s="272" t="s">
        <v>476</v>
      </c>
      <c r="B110" s="3" t="s">
        <v>472</v>
      </c>
    </row>
    <row r="111" spans="1:2" ht="28">
      <c r="A111" s="103" t="s">
        <v>478</v>
      </c>
      <c r="B111" s="3" t="s">
        <v>472</v>
      </c>
    </row>
    <row r="112" spans="1:2">
      <c r="A112" s="103" t="s">
        <v>480</v>
      </c>
      <c r="B112" s="3" t="s">
        <v>472</v>
      </c>
    </row>
    <row r="113" spans="1:2" ht="28">
      <c r="A113" s="103" t="s">
        <v>484</v>
      </c>
      <c r="B113" s="3" t="s">
        <v>472</v>
      </c>
    </row>
    <row r="114" spans="1:2" ht="28">
      <c r="A114" s="103" t="s">
        <v>486</v>
      </c>
      <c r="B114" s="3" t="s">
        <v>472</v>
      </c>
    </row>
    <row r="115" spans="1:2">
      <c r="A115" s="263" t="s">
        <v>488</v>
      </c>
      <c r="B115" s="3" t="s">
        <v>472</v>
      </c>
    </row>
    <row r="116" spans="1:2">
      <c r="A116" s="103" t="s">
        <v>491</v>
      </c>
      <c r="B116" s="3" t="s">
        <v>472</v>
      </c>
    </row>
    <row r="117" spans="1:2">
      <c r="A117" s="165" t="s">
        <v>493</v>
      </c>
      <c r="B117" s="3" t="s">
        <v>472</v>
      </c>
    </row>
    <row r="118" spans="1:2">
      <c r="A118" s="103" t="s">
        <v>496</v>
      </c>
      <c r="B118" s="3" t="s">
        <v>1113</v>
      </c>
    </row>
    <row r="119" spans="1:2">
      <c r="A119" s="103" t="s">
        <v>499</v>
      </c>
      <c r="B119" s="3" t="s">
        <v>472</v>
      </c>
    </row>
    <row r="120" spans="1:2">
      <c r="A120" s="103" t="s">
        <v>502</v>
      </c>
      <c r="B120" s="3" t="s">
        <v>472</v>
      </c>
    </row>
    <row r="121" spans="1:2" ht="29">
      <c r="A121" s="103" t="s">
        <v>505</v>
      </c>
      <c r="B121" s="3" t="s">
        <v>1115</v>
      </c>
    </row>
    <row r="122" spans="1:2">
      <c r="A122" s="104" t="s">
        <v>509</v>
      </c>
      <c r="B122" s="3" t="s">
        <v>507</v>
      </c>
    </row>
    <row r="123" spans="1:2">
      <c r="A123" s="103" t="s">
        <v>511</v>
      </c>
      <c r="B123" s="3" t="s">
        <v>507</v>
      </c>
    </row>
    <row r="124" spans="1:2">
      <c r="A124" s="103" t="s">
        <v>513</v>
      </c>
      <c r="B124" s="3" t="s">
        <v>507</v>
      </c>
    </row>
    <row r="125" spans="1:2">
      <c r="A125" s="265" t="s">
        <v>515</v>
      </c>
      <c r="B125" s="3" t="s">
        <v>507</v>
      </c>
    </row>
    <row r="126" spans="1:2">
      <c r="A126" s="140" t="s">
        <v>519</v>
      </c>
      <c r="B126" s="3" t="s">
        <v>518</v>
      </c>
    </row>
    <row r="127" spans="1:2">
      <c r="A127" s="103" t="s">
        <v>522</v>
      </c>
      <c r="B127" s="3" t="s">
        <v>518</v>
      </c>
    </row>
    <row r="128" spans="1:2">
      <c r="A128" s="103" t="s">
        <v>526</v>
      </c>
      <c r="B128" s="3" t="s">
        <v>524</v>
      </c>
    </row>
    <row r="129" spans="1:2">
      <c r="A129" s="263" t="s">
        <v>529</v>
      </c>
      <c r="B129" s="3" t="s">
        <v>1116</v>
      </c>
    </row>
    <row r="130" spans="1:2">
      <c r="A130" s="165" t="s">
        <v>532</v>
      </c>
      <c r="B130" s="3" t="s">
        <v>1116</v>
      </c>
    </row>
    <row r="131" spans="1:2">
      <c r="A131" s="76" t="s">
        <v>534</v>
      </c>
      <c r="B131" s="3" t="s">
        <v>1116</v>
      </c>
    </row>
    <row r="132" spans="1:2" ht="28">
      <c r="A132" s="102" t="s">
        <v>541</v>
      </c>
      <c r="B132" s="3" t="s">
        <v>1116</v>
      </c>
    </row>
    <row r="133" spans="1:2" ht="29">
      <c r="A133" s="140" t="s">
        <v>544</v>
      </c>
      <c r="B133" s="3" t="s">
        <v>1117</v>
      </c>
    </row>
    <row r="134" spans="1:2" ht="28">
      <c r="A134" s="103" t="s">
        <v>550</v>
      </c>
      <c r="B134" s="3" t="s">
        <v>1118</v>
      </c>
    </row>
    <row r="135" spans="1:2" ht="28">
      <c r="A135" s="103" t="s">
        <v>553</v>
      </c>
      <c r="B135" s="3" t="s">
        <v>1118</v>
      </c>
    </row>
    <row r="136" spans="1:2" ht="28">
      <c r="A136" s="140" t="s">
        <v>555</v>
      </c>
      <c r="B136" s="3" t="s">
        <v>1118</v>
      </c>
    </row>
    <row r="137" spans="1:2">
      <c r="A137" s="140" t="s">
        <v>558</v>
      </c>
      <c r="B137" s="3" t="s">
        <v>1118</v>
      </c>
    </row>
    <row r="138" spans="1:2">
      <c r="A138" s="103" t="s">
        <v>562</v>
      </c>
      <c r="B138" s="3" t="s">
        <v>1118</v>
      </c>
    </row>
    <row r="139" spans="1:2" ht="28">
      <c r="A139" s="103" t="s">
        <v>565</v>
      </c>
      <c r="B139" s="3" t="s">
        <v>1118</v>
      </c>
    </row>
    <row r="140" spans="1:2">
      <c r="A140" s="140" t="s">
        <v>567</v>
      </c>
      <c r="B140" s="3" t="s">
        <v>1118</v>
      </c>
    </row>
    <row r="141" spans="1:2">
      <c r="A141" s="140" t="s">
        <v>571</v>
      </c>
      <c r="B141" s="3" t="s">
        <v>1118</v>
      </c>
    </row>
    <row r="142" spans="1:2" ht="28">
      <c r="A142" s="263" t="s">
        <v>573</v>
      </c>
      <c r="B142" s="3" t="s">
        <v>472</v>
      </c>
    </row>
    <row r="143" spans="1:2" ht="28">
      <c r="A143" s="103" t="s">
        <v>576</v>
      </c>
      <c r="B143" s="3" t="s">
        <v>575</v>
      </c>
    </row>
    <row r="144" spans="1:2" ht="28">
      <c r="A144" s="103" t="s">
        <v>578</v>
      </c>
      <c r="B144" s="3" t="s">
        <v>575</v>
      </c>
    </row>
    <row r="145" spans="1:2" ht="28">
      <c r="A145" s="103" t="s">
        <v>580</v>
      </c>
      <c r="B145" s="3" t="s">
        <v>575</v>
      </c>
    </row>
    <row r="146" spans="1:2" ht="28">
      <c r="A146" s="103" t="s">
        <v>582</v>
      </c>
      <c r="B146" s="3" t="s">
        <v>575</v>
      </c>
    </row>
    <row r="147" spans="1:2" ht="28">
      <c r="A147" s="103" t="s">
        <v>584</v>
      </c>
      <c r="B147" s="3" t="s">
        <v>575</v>
      </c>
    </row>
    <row r="148" spans="1:2" ht="28">
      <c r="A148" s="103" t="s">
        <v>586</v>
      </c>
      <c r="B148" s="3" t="s">
        <v>575</v>
      </c>
    </row>
    <row r="149" spans="1:2" ht="28">
      <c r="A149" s="103" t="s">
        <v>588</v>
      </c>
      <c r="B149" s="3" t="s">
        <v>575</v>
      </c>
    </row>
    <row r="150" spans="1:2" ht="28">
      <c r="A150" s="140" t="s">
        <v>590</v>
      </c>
      <c r="B150" s="3" t="s">
        <v>575</v>
      </c>
    </row>
    <row r="151" spans="1:2" ht="28">
      <c r="A151" s="103" t="s">
        <v>594</v>
      </c>
      <c r="B151" s="3" t="s">
        <v>575</v>
      </c>
    </row>
    <row r="152" spans="1:2" ht="28">
      <c r="A152" s="103" t="s">
        <v>596</v>
      </c>
      <c r="B152" s="3" t="s">
        <v>575</v>
      </c>
    </row>
    <row r="153" spans="1:2" ht="28">
      <c r="A153" s="140" t="s">
        <v>598</v>
      </c>
      <c r="B153" s="3" t="s">
        <v>575</v>
      </c>
    </row>
    <row r="154" spans="1:2" ht="28">
      <c r="A154" s="103" t="s">
        <v>600</v>
      </c>
      <c r="B154" s="3" t="s">
        <v>575</v>
      </c>
    </row>
    <row r="155" spans="1:2">
      <c r="A155" s="103" t="s">
        <v>602</v>
      </c>
      <c r="B155" s="3" t="s">
        <v>575</v>
      </c>
    </row>
    <row r="156" spans="1:2" ht="28">
      <c r="A156" s="103" t="s">
        <v>605</v>
      </c>
      <c r="B156" s="3" t="s">
        <v>575</v>
      </c>
    </row>
    <row r="157" spans="1:2">
      <c r="A157" s="103" t="s">
        <v>607</v>
      </c>
      <c r="B157" s="3" t="s">
        <v>575</v>
      </c>
    </row>
    <row r="158" spans="1:2">
      <c r="A158" s="103" t="s">
        <v>609</v>
      </c>
      <c r="B158" s="3" t="s">
        <v>575</v>
      </c>
    </row>
    <row r="159" spans="1:2" ht="28">
      <c r="A159" s="103" t="s">
        <v>611</v>
      </c>
      <c r="B159" s="3" t="s">
        <v>575</v>
      </c>
    </row>
    <row r="160" spans="1:2" ht="28">
      <c r="A160" s="103" t="s">
        <v>613</v>
      </c>
      <c r="B160" s="3" t="s">
        <v>575</v>
      </c>
    </row>
    <row r="161" spans="1:2" ht="28">
      <c r="A161" s="103" t="s">
        <v>615</v>
      </c>
      <c r="B161" s="3" t="s">
        <v>575</v>
      </c>
    </row>
    <row r="162" spans="1:2" ht="28">
      <c r="A162" s="165" t="s">
        <v>617</v>
      </c>
      <c r="B162" s="3" t="s">
        <v>575</v>
      </c>
    </row>
    <row r="163" spans="1:2">
      <c r="A163" s="140" t="s">
        <v>621</v>
      </c>
      <c r="B163" s="3" t="s">
        <v>1119</v>
      </c>
    </row>
    <row r="164" spans="1:2">
      <c r="A164" s="140" t="s">
        <v>627</v>
      </c>
      <c r="B164" s="3" t="s">
        <v>1119</v>
      </c>
    </row>
    <row r="165" spans="1:2">
      <c r="A165" s="103" t="s">
        <v>631</v>
      </c>
      <c r="B165" s="3" t="s">
        <v>1119</v>
      </c>
    </row>
    <row r="166" spans="1:2">
      <c r="A166" s="103" t="s">
        <v>633</v>
      </c>
      <c r="B166" s="3" t="s">
        <v>1119</v>
      </c>
    </row>
    <row r="167" spans="1:2">
      <c r="A167" s="103" t="s">
        <v>635</v>
      </c>
      <c r="B167" s="3" t="s">
        <v>1119</v>
      </c>
    </row>
    <row r="168" spans="1:2">
      <c r="A168" s="140" t="s">
        <v>638</v>
      </c>
      <c r="B168" s="3" t="s">
        <v>1119</v>
      </c>
    </row>
    <row r="169" spans="1:2" ht="29">
      <c r="A169" s="140" t="s">
        <v>642</v>
      </c>
      <c r="B169" s="3" t="s">
        <v>1120</v>
      </c>
    </row>
    <row r="170" spans="1:2" ht="29">
      <c r="A170" s="103" t="s">
        <v>647</v>
      </c>
      <c r="B170" s="3" t="s">
        <v>1121</v>
      </c>
    </row>
    <row r="171" spans="1:2">
      <c r="A171" s="140" t="s">
        <v>649</v>
      </c>
      <c r="B171" s="3" t="s">
        <v>1119</v>
      </c>
    </row>
    <row r="172" spans="1:2" ht="28">
      <c r="A172" s="140" t="s">
        <v>651</v>
      </c>
      <c r="B172" s="3" t="s">
        <v>1119</v>
      </c>
    </row>
    <row r="173" spans="1:2" ht="28">
      <c r="A173" s="140" t="s">
        <v>654</v>
      </c>
      <c r="B173" s="3" t="s">
        <v>1119</v>
      </c>
    </row>
    <row r="174" spans="1:2">
      <c r="A174" s="140" t="s">
        <v>656</v>
      </c>
      <c r="B174" s="3" t="s">
        <v>1119</v>
      </c>
    </row>
    <row r="175" spans="1:2">
      <c r="A175" s="140" t="s">
        <v>659</v>
      </c>
      <c r="B175" s="3" t="s">
        <v>1119</v>
      </c>
    </row>
    <row r="176" spans="1:2">
      <c r="A176" s="103" t="s">
        <v>663</v>
      </c>
      <c r="B176" s="3" t="s">
        <v>1119</v>
      </c>
    </row>
    <row r="177" spans="1:2">
      <c r="A177" s="103" t="s">
        <v>665</v>
      </c>
      <c r="B177" s="3" t="s">
        <v>1119</v>
      </c>
    </row>
    <row r="178" spans="1:2">
      <c r="A178" s="103" t="s">
        <v>668</v>
      </c>
      <c r="B178" s="3" t="s">
        <v>1119</v>
      </c>
    </row>
    <row r="179" spans="1:2">
      <c r="A179" s="140" t="s">
        <v>670</v>
      </c>
      <c r="B179" s="3" t="s">
        <v>1119</v>
      </c>
    </row>
    <row r="180" spans="1:2">
      <c r="A180" s="103" t="s">
        <v>672</v>
      </c>
      <c r="B180" s="3" t="s">
        <v>1119</v>
      </c>
    </row>
    <row r="181" spans="1:2">
      <c r="A181" s="103" t="s">
        <v>675</v>
      </c>
      <c r="B181" s="3" t="s">
        <v>1119</v>
      </c>
    </row>
    <row r="182" spans="1:2">
      <c r="A182" s="140" t="s">
        <v>678</v>
      </c>
      <c r="B182" s="3" t="s">
        <v>1119</v>
      </c>
    </row>
    <row r="183" spans="1:2">
      <c r="A183" s="140" t="s">
        <v>682</v>
      </c>
      <c r="B183" s="3" t="s">
        <v>1119</v>
      </c>
    </row>
    <row r="184" spans="1:2" ht="28">
      <c r="A184" s="103" t="s">
        <v>686</v>
      </c>
      <c r="B184" s="3" t="s">
        <v>1119</v>
      </c>
    </row>
    <row r="185" spans="1:2">
      <c r="A185" s="103" t="s">
        <v>688</v>
      </c>
      <c r="B185" s="3" t="s">
        <v>1119</v>
      </c>
    </row>
    <row r="186" spans="1:2">
      <c r="A186" s="103" t="s">
        <v>690</v>
      </c>
      <c r="B186" s="3" t="s">
        <v>1119</v>
      </c>
    </row>
    <row r="187" spans="1:2">
      <c r="A187" s="140" t="s">
        <v>693</v>
      </c>
      <c r="B187" s="3" t="s">
        <v>1119</v>
      </c>
    </row>
    <row r="188" spans="1:2">
      <c r="A188" s="140" t="s">
        <v>696</v>
      </c>
      <c r="B188" s="3" t="s">
        <v>1119</v>
      </c>
    </row>
    <row r="189" spans="1:2">
      <c r="A189" s="140" t="s">
        <v>700</v>
      </c>
      <c r="B189" s="3" t="s">
        <v>1119</v>
      </c>
    </row>
    <row r="190" spans="1:2">
      <c r="A190" s="103" t="s">
        <v>703</v>
      </c>
      <c r="B190" s="3" t="s">
        <v>1119</v>
      </c>
    </row>
    <row r="191" spans="1:2">
      <c r="A191" s="103" t="s">
        <v>706</v>
      </c>
      <c r="B191" s="3" t="s">
        <v>1119</v>
      </c>
    </row>
    <row r="192" spans="1:2">
      <c r="A192" s="103" t="s">
        <v>708</v>
      </c>
      <c r="B192" s="3" t="s">
        <v>1119</v>
      </c>
    </row>
    <row r="193" spans="1:2">
      <c r="A193" s="102" t="s">
        <v>710</v>
      </c>
      <c r="B193" s="3" t="s">
        <v>1119</v>
      </c>
    </row>
    <row r="194" spans="1:2">
      <c r="A194" s="103" t="s">
        <v>712</v>
      </c>
      <c r="B194" s="3" t="s">
        <v>1119</v>
      </c>
    </row>
    <row r="195" spans="1:2">
      <c r="A195" s="103" t="s">
        <v>716</v>
      </c>
      <c r="B195" s="3" t="s">
        <v>1119</v>
      </c>
    </row>
    <row r="196" spans="1:2">
      <c r="A196" s="140" t="s">
        <v>719</v>
      </c>
      <c r="B196" s="3" t="s">
        <v>1119</v>
      </c>
    </row>
    <row r="197" spans="1:2">
      <c r="A197" s="103" t="s">
        <v>723</v>
      </c>
      <c r="B197" s="3" t="s">
        <v>1119</v>
      </c>
    </row>
    <row r="198" spans="1:2" ht="29">
      <c r="A198" s="104" t="s">
        <v>725</v>
      </c>
      <c r="B198" s="3" t="s">
        <v>1120</v>
      </c>
    </row>
    <row r="199" spans="1:2" ht="29">
      <c r="A199" s="103" t="s">
        <v>727</v>
      </c>
      <c r="B199" s="3" t="s">
        <v>1120</v>
      </c>
    </row>
    <row r="200" spans="1:2" ht="29">
      <c r="A200" s="140" t="s">
        <v>729</v>
      </c>
      <c r="B200" s="3" t="s">
        <v>1120</v>
      </c>
    </row>
    <row r="201" spans="1:2" ht="29">
      <c r="A201" s="140" t="s">
        <v>732</v>
      </c>
      <c r="B201" s="3" t="s">
        <v>1120</v>
      </c>
    </row>
    <row r="202" spans="1:2" ht="29">
      <c r="A202" s="103" t="s">
        <v>735</v>
      </c>
      <c r="B202" s="3" t="s">
        <v>1120</v>
      </c>
    </row>
    <row r="203" spans="1:2" ht="42">
      <c r="A203" s="140" t="s">
        <v>737</v>
      </c>
      <c r="B203" s="3" t="s">
        <v>1120</v>
      </c>
    </row>
    <row r="204" spans="1:2" ht="29">
      <c r="A204" s="140" t="s">
        <v>740</v>
      </c>
      <c r="B204" s="3" t="s">
        <v>1120</v>
      </c>
    </row>
    <row r="205" spans="1:2" ht="29">
      <c r="A205" s="140" t="s">
        <v>743</v>
      </c>
      <c r="B205" s="3" t="s">
        <v>1120</v>
      </c>
    </row>
    <row r="206" spans="1:2" ht="29">
      <c r="A206" s="102" t="s">
        <v>745</v>
      </c>
      <c r="B206" s="3" t="s">
        <v>1120</v>
      </c>
    </row>
    <row r="207" spans="1:2" ht="29">
      <c r="A207" s="103" t="s">
        <v>747</v>
      </c>
      <c r="B207" s="3" t="s">
        <v>1120</v>
      </c>
    </row>
    <row r="208" spans="1:2" ht="29">
      <c r="A208" s="103" t="s">
        <v>749</v>
      </c>
      <c r="B208" s="3" t="s">
        <v>1120</v>
      </c>
    </row>
    <row r="209" spans="1:2" ht="29">
      <c r="A209" s="103" t="s">
        <v>751</v>
      </c>
      <c r="B209" s="3" t="s">
        <v>1120</v>
      </c>
    </row>
    <row r="210" spans="1:2" ht="29">
      <c r="A210" s="103" t="s">
        <v>754</v>
      </c>
      <c r="B210" s="3" t="s">
        <v>1120</v>
      </c>
    </row>
    <row r="211" spans="1:2" ht="29">
      <c r="A211" s="140" t="s">
        <v>757</v>
      </c>
      <c r="B211" s="3" t="s">
        <v>1120</v>
      </c>
    </row>
    <row r="212" spans="1:2" ht="29">
      <c r="A212" s="103" t="s">
        <v>759</v>
      </c>
      <c r="B212" s="3" t="s">
        <v>1120</v>
      </c>
    </row>
    <row r="213" spans="1:2" ht="29">
      <c r="A213" s="103" t="s">
        <v>762</v>
      </c>
      <c r="B213" s="3" t="s">
        <v>1120</v>
      </c>
    </row>
    <row r="214" spans="1:2" ht="29">
      <c r="A214" s="140" t="s">
        <v>766</v>
      </c>
      <c r="B214" s="3" t="s">
        <v>1120</v>
      </c>
    </row>
    <row r="215" spans="1:2" ht="29">
      <c r="A215" s="140" t="s">
        <v>770</v>
      </c>
      <c r="B215" s="3" t="s">
        <v>1120</v>
      </c>
    </row>
    <row r="216" spans="1:2" ht="29">
      <c r="A216" s="103" t="s">
        <v>774</v>
      </c>
      <c r="B216" s="3" t="s">
        <v>1120</v>
      </c>
    </row>
    <row r="217" spans="1:2" ht="29">
      <c r="A217" s="103" t="s">
        <v>777</v>
      </c>
      <c r="B217" s="3" t="s">
        <v>1120</v>
      </c>
    </row>
    <row r="218" spans="1:2" ht="29">
      <c r="A218" s="103" t="s">
        <v>780</v>
      </c>
      <c r="B218" s="3" t="s">
        <v>1120</v>
      </c>
    </row>
    <row r="219" spans="1:2" ht="29">
      <c r="A219" s="140" t="s">
        <v>782</v>
      </c>
      <c r="B219" s="3" t="s">
        <v>1120</v>
      </c>
    </row>
    <row r="220" spans="1:2" ht="29">
      <c r="A220" s="140" t="s">
        <v>785</v>
      </c>
      <c r="B220" s="3" t="s">
        <v>1120</v>
      </c>
    </row>
    <row r="221" spans="1:2" ht="29">
      <c r="A221" s="140" t="s">
        <v>788</v>
      </c>
      <c r="B221" s="3" t="s">
        <v>1120</v>
      </c>
    </row>
    <row r="222" spans="1:2" ht="29">
      <c r="A222" s="103" t="s">
        <v>791</v>
      </c>
      <c r="B222" s="3" t="s">
        <v>1120</v>
      </c>
    </row>
    <row r="223" spans="1:2" ht="29">
      <c r="A223" s="103" t="s">
        <v>793</v>
      </c>
      <c r="B223" s="3" t="s">
        <v>1120</v>
      </c>
    </row>
    <row r="224" spans="1:2" ht="29">
      <c r="A224" s="103" t="s">
        <v>795</v>
      </c>
      <c r="B224" s="3" t="s">
        <v>1120</v>
      </c>
    </row>
    <row r="225" spans="1:2" ht="29">
      <c r="A225" s="103" t="s">
        <v>797</v>
      </c>
      <c r="B225" s="3" t="s">
        <v>1120</v>
      </c>
    </row>
    <row r="226" spans="1:2" ht="29">
      <c r="A226" s="103" t="s">
        <v>799</v>
      </c>
      <c r="B226" s="3" t="s">
        <v>1120</v>
      </c>
    </row>
    <row r="227" spans="1:2" ht="29">
      <c r="A227" s="140" t="s">
        <v>803</v>
      </c>
      <c r="B227" s="3" t="s">
        <v>1120</v>
      </c>
    </row>
    <row r="228" spans="1:2" ht="29">
      <c r="A228" s="103" t="s">
        <v>807</v>
      </c>
      <c r="B228" s="3" t="s">
        <v>1120</v>
      </c>
    </row>
    <row r="229" spans="1:2" ht="29">
      <c r="A229" s="103" t="s">
        <v>809</v>
      </c>
      <c r="B229" s="3" t="s">
        <v>1120</v>
      </c>
    </row>
    <row r="230" spans="1:2" ht="29">
      <c r="A230" s="103" t="s">
        <v>811</v>
      </c>
      <c r="B230" s="3" t="s">
        <v>1120</v>
      </c>
    </row>
    <row r="231" spans="1:2" ht="29">
      <c r="A231" s="103" t="s">
        <v>813</v>
      </c>
      <c r="B231" s="3" t="s">
        <v>1120</v>
      </c>
    </row>
    <row r="232" spans="1:2" ht="29">
      <c r="A232" s="140" t="s">
        <v>815</v>
      </c>
      <c r="B232" s="3" t="s">
        <v>1120</v>
      </c>
    </row>
    <row r="233" spans="1:2" ht="29">
      <c r="A233" s="140" t="s">
        <v>818</v>
      </c>
      <c r="B233" s="3" t="s">
        <v>1120</v>
      </c>
    </row>
    <row r="234" spans="1:2" ht="29">
      <c r="A234" s="103" t="s">
        <v>823</v>
      </c>
      <c r="B234" s="3" t="s">
        <v>1120</v>
      </c>
    </row>
    <row r="235" spans="1:2" ht="29">
      <c r="A235" s="103" t="s">
        <v>825</v>
      </c>
      <c r="B235" s="3" t="s">
        <v>1120</v>
      </c>
    </row>
    <row r="236" spans="1:2" ht="29">
      <c r="A236" s="103" t="s">
        <v>827</v>
      </c>
      <c r="B236" s="3" t="s">
        <v>1120</v>
      </c>
    </row>
    <row r="237" spans="1:2" ht="29">
      <c r="A237" s="276" t="s">
        <v>830</v>
      </c>
      <c r="B237" s="3" t="s">
        <v>1120</v>
      </c>
    </row>
    <row r="238" spans="1:2" ht="29">
      <c r="A238" s="103" t="s">
        <v>832</v>
      </c>
      <c r="B238" s="3" t="s">
        <v>1120</v>
      </c>
    </row>
    <row r="239" spans="1:2" ht="29">
      <c r="A239" s="103" t="s">
        <v>834</v>
      </c>
      <c r="B239" s="3" t="s">
        <v>1120</v>
      </c>
    </row>
    <row r="240" spans="1:2" ht="29">
      <c r="A240" s="103" t="s">
        <v>836</v>
      </c>
      <c r="B240" s="3" t="s">
        <v>1120</v>
      </c>
    </row>
    <row r="241" spans="1:2" ht="29">
      <c r="A241" s="103" t="s">
        <v>838</v>
      </c>
      <c r="B241" s="3" t="s">
        <v>1120</v>
      </c>
    </row>
    <row r="242" spans="1:2" ht="29">
      <c r="A242" s="165" t="s">
        <v>840</v>
      </c>
      <c r="B242" s="3" t="s">
        <v>1120</v>
      </c>
    </row>
    <row r="243" spans="1:2">
      <c r="A243" s="140" t="s">
        <v>843</v>
      </c>
      <c r="B243" s="3" t="s">
        <v>842</v>
      </c>
    </row>
    <row r="244" spans="1:2" ht="28">
      <c r="A244" s="140" t="s">
        <v>846</v>
      </c>
      <c r="B244" s="3" t="s">
        <v>1122</v>
      </c>
    </row>
    <row r="245" spans="1:2">
      <c r="A245" s="104" t="s">
        <v>852</v>
      </c>
      <c r="B245" s="3" t="s">
        <v>1122</v>
      </c>
    </row>
    <row r="246" spans="1:2" ht="28">
      <c r="A246" s="103" t="s">
        <v>854</v>
      </c>
      <c r="B246" s="3" t="s">
        <v>1122</v>
      </c>
    </row>
    <row r="247" spans="1:2">
      <c r="A247" s="140" t="s">
        <v>856</v>
      </c>
      <c r="B247" s="3" t="s">
        <v>1122</v>
      </c>
    </row>
    <row r="248" spans="1:2">
      <c r="A248" s="104" t="s">
        <v>859</v>
      </c>
      <c r="B248" s="3" t="s">
        <v>1122</v>
      </c>
    </row>
    <row r="249" spans="1:2">
      <c r="A249" s="140" t="s">
        <v>862</v>
      </c>
      <c r="B249" s="3" t="s">
        <v>1122</v>
      </c>
    </row>
    <row r="250" spans="1:2">
      <c r="A250" s="103" t="s">
        <v>866</v>
      </c>
      <c r="B250" s="3" t="s">
        <v>1122</v>
      </c>
    </row>
    <row r="251" spans="1:2" ht="28">
      <c r="A251" s="140" t="s">
        <v>868</v>
      </c>
      <c r="B251" s="3" t="s">
        <v>1122</v>
      </c>
    </row>
    <row r="252" spans="1:2">
      <c r="A252" s="103" t="s">
        <v>871</v>
      </c>
      <c r="B252" s="3" t="s">
        <v>1113</v>
      </c>
    </row>
    <row r="253" spans="1:2" ht="28">
      <c r="A253" s="103" t="s">
        <v>873</v>
      </c>
      <c r="B253" s="3" t="s">
        <v>1113</v>
      </c>
    </row>
    <row r="254" spans="1:2">
      <c r="A254" s="140" t="s">
        <v>876</v>
      </c>
      <c r="B254" s="3" t="s">
        <v>1113</v>
      </c>
    </row>
    <row r="255" spans="1:2" ht="28">
      <c r="A255" s="103" t="s">
        <v>881</v>
      </c>
      <c r="B255" s="3" t="s">
        <v>1113</v>
      </c>
    </row>
    <row r="256" spans="1:2">
      <c r="A256" s="103" t="s">
        <v>883</v>
      </c>
      <c r="B256" s="3" t="s">
        <v>1123</v>
      </c>
    </row>
    <row r="257" spans="1:2">
      <c r="A257" s="103" t="s">
        <v>885</v>
      </c>
      <c r="B257" s="3" t="s">
        <v>1123</v>
      </c>
    </row>
    <row r="258" spans="1:2" ht="28">
      <c r="A258" s="140" t="s">
        <v>887</v>
      </c>
      <c r="B258" s="3" t="s">
        <v>1113</v>
      </c>
    </row>
    <row r="259" spans="1:2" ht="28">
      <c r="A259" s="103" t="s">
        <v>889</v>
      </c>
      <c r="B259" s="3" t="s">
        <v>1113</v>
      </c>
    </row>
    <row r="260" spans="1:2">
      <c r="A260" s="140" t="s">
        <v>891</v>
      </c>
      <c r="B260" s="3" t="s">
        <v>1123</v>
      </c>
    </row>
    <row r="261" spans="1:2">
      <c r="A261" s="103" t="s">
        <v>895</v>
      </c>
      <c r="B261" s="3" t="s">
        <v>1113</v>
      </c>
    </row>
    <row r="262" spans="1:2">
      <c r="A262" s="103" t="s">
        <v>897</v>
      </c>
      <c r="B262" s="3" t="s">
        <v>1113</v>
      </c>
    </row>
    <row r="263" spans="1:2">
      <c r="A263" s="140" t="s">
        <v>899</v>
      </c>
      <c r="B263" s="3" t="s">
        <v>1123</v>
      </c>
    </row>
    <row r="264" spans="1:2">
      <c r="A264" s="103" t="s">
        <v>901</v>
      </c>
      <c r="B264" s="3" t="s">
        <v>1113</v>
      </c>
    </row>
    <row r="265" spans="1:2">
      <c r="A265" s="103" t="s">
        <v>903</v>
      </c>
      <c r="B265" s="3" t="s">
        <v>1113</v>
      </c>
    </row>
    <row r="266" spans="1:2">
      <c r="A266" s="140" t="s">
        <v>905</v>
      </c>
      <c r="B266" s="3" t="s">
        <v>1113</v>
      </c>
    </row>
    <row r="267" spans="1:2">
      <c r="A267" s="103" t="s">
        <v>909</v>
      </c>
      <c r="B267" s="3" t="s">
        <v>1113</v>
      </c>
    </row>
    <row r="268" spans="1:2">
      <c r="A268" s="140" t="s">
        <v>914</v>
      </c>
      <c r="B268" s="3" t="s">
        <v>912</v>
      </c>
    </row>
    <row r="269" spans="1:2">
      <c r="A269" s="140" t="s">
        <v>917</v>
      </c>
      <c r="B269" s="3" t="s">
        <v>912</v>
      </c>
    </row>
    <row r="270" spans="1:2" ht="28">
      <c r="A270" s="140" t="s">
        <v>920</v>
      </c>
      <c r="B270" s="3" t="s">
        <v>912</v>
      </c>
    </row>
    <row r="271" spans="1:2">
      <c r="A271" s="103" t="s">
        <v>922</v>
      </c>
      <c r="B271" s="3" t="s">
        <v>912</v>
      </c>
    </row>
    <row r="272" spans="1:2">
      <c r="A272" s="103" t="s">
        <v>924</v>
      </c>
      <c r="B272" s="3" t="s">
        <v>912</v>
      </c>
    </row>
    <row r="273" spans="1:2">
      <c r="A273" s="103" t="s">
        <v>926</v>
      </c>
      <c r="B273" s="3" t="s">
        <v>912</v>
      </c>
    </row>
    <row r="274" spans="1:2">
      <c r="A274" s="103" t="s">
        <v>928</v>
      </c>
      <c r="B274" s="3" t="s">
        <v>912</v>
      </c>
    </row>
    <row r="275" spans="1:2">
      <c r="A275" s="103" t="s">
        <v>931</v>
      </c>
      <c r="B275" s="3" t="s">
        <v>912</v>
      </c>
    </row>
    <row r="276" spans="1:2">
      <c r="A276" s="103" t="s">
        <v>934</v>
      </c>
      <c r="B276" s="3" t="s">
        <v>912</v>
      </c>
    </row>
    <row r="277" spans="1:2">
      <c r="A277" s="140" t="s">
        <v>936</v>
      </c>
      <c r="B277" s="3" t="s">
        <v>912</v>
      </c>
    </row>
    <row r="278" spans="1:2">
      <c r="A278" s="103" t="s">
        <v>940</v>
      </c>
      <c r="B278" s="3" t="s">
        <v>912</v>
      </c>
    </row>
    <row r="279" spans="1:2">
      <c r="A279" s="103" t="s">
        <v>942</v>
      </c>
      <c r="B279" s="3" t="s">
        <v>912</v>
      </c>
    </row>
    <row r="280" spans="1:2">
      <c r="A280" s="140" t="s">
        <v>944</v>
      </c>
      <c r="B280" s="3" t="s">
        <v>912</v>
      </c>
    </row>
    <row r="281" spans="1:2">
      <c r="A281" s="103" t="s">
        <v>946</v>
      </c>
      <c r="B281" s="3" t="s">
        <v>912</v>
      </c>
    </row>
    <row r="282" spans="1:2">
      <c r="A282" s="140" t="s">
        <v>950</v>
      </c>
      <c r="B282" s="3" t="s">
        <v>1124</v>
      </c>
    </row>
    <row r="283" spans="1:2">
      <c r="A283" s="140" t="s">
        <v>952</v>
      </c>
      <c r="B283" s="3" t="s">
        <v>1124</v>
      </c>
    </row>
    <row r="284" spans="1:2">
      <c r="A284" s="103" t="s">
        <v>957</v>
      </c>
      <c r="B284" s="3" t="s">
        <v>1124</v>
      </c>
    </row>
    <row r="285" spans="1:2" ht="28">
      <c r="A285" s="140" t="s">
        <v>959</v>
      </c>
      <c r="B285" s="3" t="s">
        <v>1124</v>
      </c>
    </row>
    <row r="286" spans="1:2">
      <c r="A286" s="103" t="s">
        <v>964</v>
      </c>
      <c r="B286" s="3" t="s">
        <v>1124</v>
      </c>
    </row>
    <row r="287" spans="1:2">
      <c r="A287" s="103" t="s">
        <v>966</v>
      </c>
      <c r="B287" s="3" t="s">
        <v>1124</v>
      </c>
    </row>
    <row r="288" spans="1:2">
      <c r="A288" s="103" t="s">
        <v>969</v>
      </c>
      <c r="B288" s="3" t="s">
        <v>1124</v>
      </c>
    </row>
    <row r="289" spans="1:2">
      <c r="A289" s="140" t="s">
        <v>971</v>
      </c>
      <c r="B289" s="3" t="s">
        <v>1124</v>
      </c>
    </row>
    <row r="290" spans="1:2">
      <c r="A290" s="103" t="s">
        <v>973</v>
      </c>
      <c r="B290" s="3" t="s">
        <v>1124</v>
      </c>
    </row>
    <row r="291" spans="1:2">
      <c r="A291" s="103" t="s">
        <v>976</v>
      </c>
      <c r="B291" s="3" t="s">
        <v>1124</v>
      </c>
    </row>
    <row r="292" spans="1:2" ht="28">
      <c r="A292" s="140" t="s">
        <v>980</v>
      </c>
      <c r="B292" s="3" t="s">
        <v>1124</v>
      </c>
    </row>
    <row r="293" spans="1:2">
      <c r="A293" s="140" t="s">
        <v>982</v>
      </c>
      <c r="B293" s="3" t="s">
        <v>1124</v>
      </c>
    </row>
    <row r="294" spans="1:2">
      <c r="A294" s="103" t="s">
        <v>984</v>
      </c>
      <c r="B294" s="3" t="s">
        <v>1124</v>
      </c>
    </row>
    <row r="295" spans="1:2">
      <c r="A295" s="103" t="s">
        <v>986</v>
      </c>
      <c r="B295" s="3" t="s">
        <v>1124</v>
      </c>
    </row>
    <row r="296" spans="1:2">
      <c r="A296" s="103" t="s">
        <v>988</v>
      </c>
      <c r="B296" s="3" t="s">
        <v>1124</v>
      </c>
    </row>
    <row r="297" spans="1:2">
      <c r="A297" s="140" t="s">
        <v>990</v>
      </c>
      <c r="B297" s="3" t="s">
        <v>1124</v>
      </c>
    </row>
    <row r="298" spans="1:2">
      <c r="A298" s="140" t="s">
        <v>993</v>
      </c>
      <c r="B298" s="3" t="s">
        <v>1124</v>
      </c>
    </row>
    <row r="299" spans="1:2">
      <c r="A299" s="140" t="s">
        <v>996</v>
      </c>
      <c r="B299" s="3" t="s">
        <v>1124</v>
      </c>
    </row>
    <row r="300" spans="1:2">
      <c r="A300" s="103" t="s">
        <v>998</v>
      </c>
      <c r="B300" s="3" t="s">
        <v>1124</v>
      </c>
    </row>
    <row r="301" spans="1:2" ht="28">
      <c r="A301" s="263" t="s">
        <v>1000</v>
      </c>
      <c r="B301" s="3" t="s">
        <v>1124</v>
      </c>
    </row>
    <row r="302" spans="1:2" ht="28">
      <c r="A302" s="103" t="s">
        <v>1002</v>
      </c>
      <c r="B302" s="3" t="s">
        <v>1124</v>
      </c>
    </row>
    <row r="303" spans="1:2" ht="28">
      <c r="A303" s="165" t="s">
        <v>1004</v>
      </c>
      <c r="B303" s="3" t="s">
        <v>1124</v>
      </c>
    </row>
    <row r="304" spans="1:2" ht="28">
      <c r="A304" s="103" t="s">
        <v>1008</v>
      </c>
      <c r="B304" s="3" t="s">
        <v>1006</v>
      </c>
    </row>
    <row r="305" spans="1:2" ht="28">
      <c r="A305" s="103" t="s">
        <v>1012</v>
      </c>
      <c r="B305" s="3" t="s">
        <v>1010</v>
      </c>
    </row>
    <row r="306" spans="1:2" ht="29">
      <c r="A306" s="140" t="s">
        <v>1015</v>
      </c>
      <c r="B306" s="3" t="s">
        <v>1014</v>
      </c>
    </row>
    <row r="307" spans="1:2">
      <c r="A307" s="103" t="s">
        <v>1020</v>
      </c>
      <c r="B307" s="3" t="s">
        <v>1019</v>
      </c>
    </row>
    <row r="308" spans="1:2">
      <c r="A308" s="261" t="s">
        <v>1022</v>
      </c>
      <c r="B308" s="3" t="s">
        <v>1019</v>
      </c>
    </row>
    <row r="309" spans="1:2">
      <c r="A309" s="102" t="s">
        <v>1025</v>
      </c>
      <c r="B309" s="3" t="s">
        <v>1024</v>
      </c>
    </row>
    <row r="310" spans="1:2">
      <c r="A310" s="280" t="s">
        <v>1027</v>
      </c>
      <c r="B310" s="3" t="s">
        <v>1024</v>
      </c>
    </row>
    <row r="311" spans="1:2">
      <c r="A311" s="121" t="s">
        <v>871</v>
      </c>
      <c r="B311" s="3" t="s">
        <v>1113</v>
      </c>
    </row>
    <row r="312" spans="1:2">
      <c r="A312" s="121" t="s">
        <v>1034</v>
      </c>
      <c r="B312" s="3" t="s">
        <v>1113</v>
      </c>
    </row>
    <row r="313" spans="1:2">
      <c r="A313" s="121" t="s">
        <v>1038</v>
      </c>
      <c r="B313" s="3" t="s">
        <v>1123</v>
      </c>
    </row>
    <row r="314" spans="1:2">
      <c r="A314" s="121" t="s">
        <v>1042</v>
      </c>
      <c r="B314" s="3" t="s">
        <v>1113</v>
      </c>
    </row>
    <row r="315" spans="1:2">
      <c r="A315" s="121" t="s">
        <v>1046</v>
      </c>
      <c r="B315" s="3" t="s">
        <v>1113</v>
      </c>
    </row>
    <row r="316" spans="1:2">
      <c r="A316" s="121" t="s">
        <v>1050</v>
      </c>
      <c r="B316" s="3" t="s">
        <v>1113</v>
      </c>
    </row>
    <row r="317" spans="1:2">
      <c r="A317" s="121" t="s">
        <v>1054</v>
      </c>
      <c r="B317" s="3" t="s">
        <v>1113</v>
      </c>
    </row>
    <row r="318" spans="1:2">
      <c r="A318" s="146" t="s">
        <v>1057</v>
      </c>
      <c r="B318" s="3" t="s">
        <v>1113</v>
      </c>
    </row>
    <row r="319" spans="1:2">
      <c r="A319" s="121" t="s">
        <v>1063</v>
      </c>
      <c r="B319" s="3" t="s">
        <v>1123</v>
      </c>
    </row>
    <row r="320" spans="1:2">
      <c r="A320" s="146" t="s">
        <v>1066</v>
      </c>
      <c r="B320" s="3" t="s">
        <v>1113</v>
      </c>
    </row>
    <row r="321" spans="1:2">
      <c r="A321" s="146" t="s">
        <v>883</v>
      </c>
      <c r="B321" s="3" t="s">
        <v>1123</v>
      </c>
    </row>
    <row r="322" spans="1:2">
      <c r="A322" s="121" t="s">
        <v>1075</v>
      </c>
      <c r="B322" s="3" t="s">
        <v>1113</v>
      </c>
    </row>
    <row r="323" spans="1:2">
      <c r="A323" s="121" t="s">
        <v>1079</v>
      </c>
      <c r="B323" s="3" t="s">
        <v>1113</v>
      </c>
    </row>
    <row r="324" spans="1:2">
      <c r="A324" s="146" t="s">
        <v>1083</v>
      </c>
      <c r="B324" s="3" t="s">
        <v>1113</v>
      </c>
    </row>
    <row r="325" spans="1:2">
      <c r="A325" s="121" t="s">
        <v>1089</v>
      </c>
      <c r="B325" s="3" t="s">
        <v>1113</v>
      </c>
    </row>
    <row r="326" spans="1:2">
      <c r="A326" s="121" t="s">
        <v>1093</v>
      </c>
      <c r="B326" s="3" t="s">
        <v>912</v>
      </c>
    </row>
    <row r="327" spans="1:2">
      <c r="A327" s="103" t="s">
        <v>1097</v>
      </c>
      <c r="B327" s="3" t="s">
        <v>912</v>
      </c>
    </row>
    <row r="328" spans="1:2" ht="28">
      <c r="A328" s="140" t="s">
        <v>1101</v>
      </c>
      <c r="B328" s="3" t="s">
        <v>912</v>
      </c>
    </row>
    <row r="329" spans="1:2">
      <c r="A329" s="108"/>
    </row>
    <row r="330" spans="1:2">
      <c r="A330" s="63"/>
    </row>
    <row r="331" spans="1:2">
      <c r="A331" s="104"/>
    </row>
    <row r="332" spans="1:2">
      <c r="A332" s="103"/>
    </row>
    <row r="333" spans="1:2">
      <c r="A333" s="103"/>
    </row>
    <row r="334" spans="1:2">
      <c r="A334" s="108"/>
    </row>
    <row r="335" spans="1:2">
      <c r="A335" s="108"/>
    </row>
    <row r="336" spans="1:2">
      <c r="A336" s="108"/>
    </row>
    <row r="337" spans="1:1">
      <c r="A337" s="108"/>
    </row>
    <row r="338" spans="1:1">
      <c r="A338" s="108"/>
    </row>
    <row r="339" spans="1:1">
      <c r="A339" s="108"/>
    </row>
    <row r="340" spans="1:1">
      <c r="A340" s="108"/>
    </row>
    <row r="341" spans="1:1">
      <c r="A341" s="108"/>
    </row>
    <row r="342" spans="1:1">
      <c r="A342" s="108"/>
    </row>
    <row r="343" spans="1:1">
      <c r="A343" s="108"/>
    </row>
    <row r="344" spans="1:1">
      <c r="A344" s="108"/>
    </row>
    <row r="345" spans="1:1">
      <c r="A345" s="108"/>
    </row>
    <row r="346" spans="1:1">
      <c r="A346" s="108"/>
    </row>
    <row r="347" spans="1:1">
      <c r="A347" s="108"/>
    </row>
    <row r="348" spans="1:1">
      <c r="A348" s="108"/>
    </row>
    <row r="349" spans="1:1">
      <c r="A349" s="108"/>
    </row>
    <row r="350" spans="1:1">
      <c r="A350" s="108"/>
    </row>
    <row r="351" spans="1:1">
      <c r="A351" s="108"/>
    </row>
    <row r="352" spans="1:1">
      <c r="A352" s="108"/>
    </row>
    <row r="353" spans="1:1">
      <c r="A353" s="108"/>
    </row>
    <row r="354" spans="1:1">
      <c r="A354" s="109"/>
    </row>
    <row r="355" spans="1:1">
      <c r="A355" s="109"/>
    </row>
    <row r="356" spans="1:1">
      <c r="A356" s="109"/>
    </row>
    <row r="357" spans="1:1">
      <c r="A357" s="109"/>
    </row>
    <row r="358" spans="1:1">
      <c r="A358" s="109"/>
    </row>
    <row r="359" spans="1:1">
      <c r="A359" s="109"/>
    </row>
    <row r="360" spans="1:1">
      <c r="A360" s="109"/>
    </row>
    <row r="361" spans="1:1">
      <c r="A361" s="109"/>
    </row>
    <row r="362" spans="1:1">
      <c r="A362" s="109"/>
    </row>
    <row r="363" spans="1:1">
      <c r="A363" s="109"/>
    </row>
    <row r="364" spans="1:1">
      <c r="A364" s="109"/>
    </row>
    <row r="365" spans="1:1">
      <c r="A365" s="109"/>
    </row>
    <row r="366" spans="1:1">
      <c r="A366" s="109"/>
    </row>
    <row r="367" spans="1:1">
      <c r="A367" s="109"/>
    </row>
    <row r="368" spans="1:1">
      <c r="A368" s="109"/>
    </row>
    <row r="369" spans="1:1">
      <c r="A369" s="109"/>
    </row>
    <row r="370" spans="1:1">
      <c r="A370" s="109"/>
    </row>
    <row r="371" spans="1:1">
      <c r="A371" s="109"/>
    </row>
    <row r="372" spans="1:1">
      <c r="A372" s="109"/>
    </row>
    <row r="373" spans="1:1">
      <c r="A373" s="109"/>
    </row>
    <row r="374" spans="1:1">
      <c r="A374" s="109"/>
    </row>
    <row r="375" spans="1:1">
      <c r="A375" s="109"/>
    </row>
    <row r="376" spans="1:1">
      <c r="A376" s="109"/>
    </row>
    <row r="377" spans="1:1">
      <c r="A377" s="109"/>
    </row>
    <row r="378" spans="1:1">
      <c r="A378" s="109"/>
    </row>
    <row r="379" spans="1:1">
      <c r="A379" s="109"/>
    </row>
    <row r="380" spans="1:1">
      <c r="A380" s="109"/>
    </row>
    <row r="381" spans="1:1">
      <c r="A381" s="109"/>
    </row>
    <row r="382" spans="1:1">
      <c r="A382" s="109"/>
    </row>
    <row r="383" spans="1:1">
      <c r="A383" s="109"/>
    </row>
    <row r="384" spans="1:1">
      <c r="A384" s="109"/>
    </row>
    <row r="385" spans="1:1">
      <c r="A385" s="109"/>
    </row>
    <row r="386" spans="1:1">
      <c r="A386" s="109"/>
    </row>
    <row r="387" spans="1:1">
      <c r="A387" s="109"/>
    </row>
    <row r="388" spans="1:1">
      <c r="A388" s="109"/>
    </row>
    <row r="389" spans="1:1">
      <c r="A389" s="109"/>
    </row>
    <row r="390" spans="1:1">
      <c r="A390" s="109"/>
    </row>
    <row r="391" spans="1:1">
      <c r="A391" s="109"/>
    </row>
    <row r="392" spans="1:1">
      <c r="A392" s="109"/>
    </row>
    <row r="393" spans="1:1">
      <c r="A393" s="109"/>
    </row>
    <row r="394" spans="1:1">
      <c r="A394" s="109"/>
    </row>
    <row r="395" spans="1:1">
      <c r="A395" s="109"/>
    </row>
    <row r="396" spans="1:1">
      <c r="A396" s="109"/>
    </row>
    <row r="397" spans="1:1">
      <c r="A397" s="109"/>
    </row>
    <row r="398" spans="1:1">
      <c r="A398" s="109"/>
    </row>
    <row r="399" spans="1:1">
      <c r="A399" s="109"/>
    </row>
    <row r="400" spans="1:1">
      <c r="A400" s="109"/>
    </row>
    <row r="401" spans="1:1">
      <c r="A401" s="109"/>
    </row>
    <row r="402" spans="1:1">
      <c r="A402" s="109"/>
    </row>
    <row r="403" spans="1:1">
      <c r="A403" s="109"/>
    </row>
    <row r="404" spans="1:1">
      <c r="A404" s="109"/>
    </row>
    <row r="405" spans="1:1">
      <c r="A405" s="109"/>
    </row>
    <row r="406" spans="1:1">
      <c r="A406" s="109"/>
    </row>
    <row r="407" spans="1:1">
      <c r="A407" s="109"/>
    </row>
    <row r="408" spans="1:1">
      <c r="A408" s="109"/>
    </row>
    <row r="409" spans="1:1">
      <c r="A409" s="109"/>
    </row>
    <row r="410" spans="1:1">
      <c r="A410" s="109"/>
    </row>
    <row r="411" spans="1:1">
      <c r="A411" s="109"/>
    </row>
    <row r="412" spans="1:1">
      <c r="A412" s="109"/>
    </row>
    <row r="413" spans="1:1">
      <c r="A413" s="109"/>
    </row>
    <row r="414" spans="1:1">
      <c r="A414" s="109"/>
    </row>
    <row r="415" spans="1:1">
      <c r="A415" s="109"/>
    </row>
    <row r="416" spans="1:1">
      <c r="A416" s="109"/>
    </row>
    <row r="417" spans="1:1">
      <c r="A417" s="109"/>
    </row>
    <row r="418" spans="1:1">
      <c r="A418" s="109"/>
    </row>
    <row r="419" spans="1:1">
      <c r="A419" s="109"/>
    </row>
    <row r="420" spans="1:1">
      <c r="A420" s="109"/>
    </row>
    <row r="421" spans="1:1">
      <c r="A421" s="109"/>
    </row>
    <row r="422" spans="1:1">
      <c r="A422" s="109"/>
    </row>
    <row r="423" spans="1:1">
      <c r="A423" s="109"/>
    </row>
    <row r="424" spans="1:1">
      <c r="A424" s="109"/>
    </row>
    <row r="425" spans="1:1">
      <c r="A425" s="109"/>
    </row>
    <row r="426" spans="1:1">
      <c r="A426" s="109"/>
    </row>
    <row r="427" spans="1:1">
      <c r="A427" s="109"/>
    </row>
    <row r="428" spans="1:1">
      <c r="A428" s="109"/>
    </row>
    <row r="429" spans="1:1">
      <c r="A429" s="109"/>
    </row>
    <row r="430" spans="1:1">
      <c r="A430" s="109"/>
    </row>
    <row r="431" spans="1:1">
      <c r="A431" s="109"/>
    </row>
    <row r="432" spans="1:1">
      <c r="A432" s="109"/>
    </row>
    <row r="433" spans="1:1">
      <c r="A433" s="109"/>
    </row>
    <row r="434" spans="1:1">
      <c r="A434" s="109"/>
    </row>
    <row r="435" spans="1:1">
      <c r="A435" s="109"/>
    </row>
    <row r="436" spans="1:1">
      <c r="A436" s="109"/>
    </row>
    <row r="437" spans="1:1">
      <c r="A437" s="109"/>
    </row>
    <row r="438" spans="1:1">
      <c r="A438" s="109"/>
    </row>
    <row r="439" spans="1:1">
      <c r="A439" s="109"/>
    </row>
    <row r="440" spans="1:1">
      <c r="A440" s="109"/>
    </row>
    <row r="441" spans="1:1">
      <c r="A441" s="109"/>
    </row>
    <row r="442" spans="1:1">
      <c r="A442" s="109"/>
    </row>
    <row r="443" spans="1:1">
      <c r="A443" s="109"/>
    </row>
    <row r="444" spans="1:1">
      <c r="A444" s="109"/>
    </row>
    <row r="445" spans="1:1">
      <c r="A445" s="109"/>
    </row>
    <row r="446" spans="1:1">
      <c r="A446" s="109"/>
    </row>
    <row r="447" spans="1:1">
      <c r="A447" s="109"/>
    </row>
    <row r="448" spans="1:1">
      <c r="A448" s="109"/>
    </row>
    <row r="449" spans="1:1">
      <c r="A449" s="109"/>
    </row>
    <row r="450" spans="1:1">
      <c r="A450" s="109"/>
    </row>
    <row r="451" spans="1:1">
      <c r="A451" s="109"/>
    </row>
    <row r="452" spans="1:1">
      <c r="A452" s="109"/>
    </row>
    <row r="453" spans="1:1">
      <c r="A453" s="109"/>
    </row>
    <row r="454" spans="1:1">
      <c r="A454" s="109"/>
    </row>
    <row r="455" spans="1:1">
      <c r="A455" s="109"/>
    </row>
    <row r="456" spans="1:1">
      <c r="A456" s="109"/>
    </row>
    <row r="457" spans="1:1">
      <c r="A457" s="109"/>
    </row>
    <row r="458" spans="1:1">
      <c r="A458" s="109"/>
    </row>
    <row r="459" spans="1:1">
      <c r="A459" s="109"/>
    </row>
    <row r="460" spans="1:1">
      <c r="A460" s="109"/>
    </row>
    <row r="461" spans="1:1">
      <c r="A461" s="109"/>
    </row>
    <row r="462" spans="1:1">
      <c r="A462" s="109"/>
    </row>
    <row r="463" spans="1:1">
      <c r="A463" s="109"/>
    </row>
    <row r="464" spans="1:1">
      <c r="A464" s="109"/>
    </row>
    <row r="465" spans="1:1">
      <c r="A465" s="109"/>
    </row>
    <row r="466" spans="1:1">
      <c r="A466" s="109"/>
    </row>
    <row r="467" spans="1:1">
      <c r="A467" s="109"/>
    </row>
    <row r="468" spans="1:1">
      <c r="A468" s="109"/>
    </row>
    <row r="469" spans="1:1">
      <c r="A469" s="109"/>
    </row>
    <row r="470" spans="1:1">
      <c r="A470" s="109"/>
    </row>
    <row r="471" spans="1:1">
      <c r="A471" s="109"/>
    </row>
    <row r="472" spans="1:1">
      <c r="A472" s="109"/>
    </row>
    <row r="473" spans="1:1">
      <c r="A473" s="109"/>
    </row>
    <row r="474" spans="1:1">
      <c r="A474" s="109"/>
    </row>
    <row r="475" spans="1:1">
      <c r="A475" s="109"/>
    </row>
    <row r="476" spans="1:1">
      <c r="A476" s="109"/>
    </row>
    <row r="477" spans="1:1">
      <c r="A477" s="109"/>
    </row>
    <row r="478" spans="1:1">
      <c r="A478" s="109"/>
    </row>
    <row r="479" spans="1:1">
      <c r="A479" s="109"/>
    </row>
    <row r="480" spans="1:1">
      <c r="A480" s="109"/>
    </row>
    <row r="481" spans="1:1">
      <c r="A481" s="109"/>
    </row>
    <row r="482" spans="1:1">
      <c r="A482" s="109"/>
    </row>
    <row r="483" spans="1:1">
      <c r="A483" s="109"/>
    </row>
    <row r="484" spans="1:1">
      <c r="A484" s="109"/>
    </row>
    <row r="485" spans="1:1">
      <c r="A485" s="109"/>
    </row>
    <row r="486" spans="1:1">
      <c r="A486" s="109"/>
    </row>
    <row r="487" spans="1:1">
      <c r="A487" s="109"/>
    </row>
    <row r="488" spans="1:1">
      <c r="A488" s="109"/>
    </row>
    <row r="489" spans="1:1">
      <c r="A489" s="109"/>
    </row>
    <row r="490" spans="1:1">
      <c r="A490" s="109"/>
    </row>
    <row r="491" spans="1:1">
      <c r="A491" s="109"/>
    </row>
    <row r="492" spans="1:1">
      <c r="A492" s="109"/>
    </row>
    <row r="493" spans="1:1">
      <c r="A493" s="109"/>
    </row>
    <row r="494" spans="1:1">
      <c r="A494" s="109"/>
    </row>
    <row r="495" spans="1:1">
      <c r="A495" s="109"/>
    </row>
    <row r="496" spans="1:1">
      <c r="A496" s="109"/>
    </row>
    <row r="497" spans="1:1">
      <c r="A497" s="109"/>
    </row>
    <row r="498" spans="1:1">
      <c r="A498" s="109"/>
    </row>
    <row r="499" spans="1:1">
      <c r="A499" s="109"/>
    </row>
    <row r="500" spans="1:1">
      <c r="A500" s="109"/>
    </row>
    <row r="501" spans="1:1">
      <c r="A501" s="109"/>
    </row>
    <row r="502" spans="1:1">
      <c r="A502" s="109"/>
    </row>
    <row r="503" spans="1:1">
      <c r="A503" s="109"/>
    </row>
    <row r="504" spans="1:1">
      <c r="A504" s="109"/>
    </row>
    <row r="505" spans="1:1">
      <c r="A505" s="109"/>
    </row>
    <row r="506" spans="1:1">
      <c r="A506" s="109"/>
    </row>
    <row r="507" spans="1:1">
      <c r="A507" s="109"/>
    </row>
    <row r="508" spans="1:1">
      <c r="A508" s="109"/>
    </row>
    <row r="509" spans="1:1">
      <c r="A509" s="109"/>
    </row>
    <row r="510" spans="1:1">
      <c r="A510" s="109"/>
    </row>
    <row r="511" spans="1:1">
      <c r="A511" s="109"/>
    </row>
    <row r="512" spans="1:1">
      <c r="A512" s="109"/>
    </row>
    <row r="513" spans="1:1">
      <c r="A513" s="109"/>
    </row>
    <row r="514" spans="1:1">
      <c r="A514" s="109"/>
    </row>
    <row r="515" spans="1:1">
      <c r="A515" s="109"/>
    </row>
    <row r="516" spans="1:1">
      <c r="A516" s="109"/>
    </row>
    <row r="517" spans="1:1">
      <c r="A517" s="109"/>
    </row>
    <row r="518" spans="1:1">
      <c r="A518" s="109"/>
    </row>
    <row r="519" spans="1:1">
      <c r="A519" s="109"/>
    </row>
    <row r="520" spans="1:1">
      <c r="A520" s="109"/>
    </row>
    <row r="521" spans="1:1">
      <c r="A521" s="109"/>
    </row>
    <row r="522" spans="1:1">
      <c r="A522" s="109"/>
    </row>
    <row r="523" spans="1:1">
      <c r="A523" s="109"/>
    </row>
    <row r="524" spans="1:1">
      <c r="A524" s="109"/>
    </row>
    <row r="525" spans="1:1">
      <c r="A525" s="109"/>
    </row>
    <row r="526" spans="1:1">
      <c r="A526" s="109"/>
    </row>
    <row r="527" spans="1:1">
      <c r="A527" s="109"/>
    </row>
    <row r="528" spans="1:1">
      <c r="A528" s="109"/>
    </row>
    <row r="529" spans="1:1">
      <c r="A529" s="109"/>
    </row>
    <row r="530" spans="1:1">
      <c r="A530" s="109"/>
    </row>
    <row r="531" spans="1:1">
      <c r="A531" s="109"/>
    </row>
    <row r="532" spans="1:1">
      <c r="A532" s="109"/>
    </row>
    <row r="533" spans="1:1">
      <c r="A533" s="109"/>
    </row>
    <row r="534" spans="1:1">
      <c r="A534" s="109"/>
    </row>
    <row r="535" spans="1:1">
      <c r="A535" s="109"/>
    </row>
    <row r="536" spans="1:1">
      <c r="A536" s="109"/>
    </row>
    <row r="537" spans="1:1">
      <c r="A537" s="109"/>
    </row>
    <row r="538" spans="1:1">
      <c r="A538" s="109"/>
    </row>
    <row r="539" spans="1:1">
      <c r="A539" s="109"/>
    </row>
    <row r="540" spans="1:1">
      <c r="A540" s="109"/>
    </row>
    <row r="541" spans="1:1">
      <c r="A541" s="109"/>
    </row>
    <row r="542" spans="1:1">
      <c r="A542" s="109"/>
    </row>
    <row r="543" spans="1:1">
      <c r="A543" s="109"/>
    </row>
    <row r="544" spans="1:1">
      <c r="A544" s="109"/>
    </row>
    <row r="545" spans="1:1">
      <c r="A545" s="109"/>
    </row>
    <row r="546" spans="1:1">
      <c r="A546" s="109"/>
    </row>
    <row r="547" spans="1:1">
      <c r="A547" s="109"/>
    </row>
    <row r="548" spans="1:1">
      <c r="A548" s="109"/>
    </row>
    <row r="549" spans="1:1">
      <c r="A549" s="109"/>
    </row>
    <row r="550" spans="1:1">
      <c r="A550" s="109"/>
    </row>
    <row r="551" spans="1:1">
      <c r="A551" s="109"/>
    </row>
    <row r="552" spans="1:1">
      <c r="A552" s="109"/>
    </row>
    <row r="553" spans="1:1">
      <c r="A553" s="109"/>
    </row>
    <row r="554" spans="1:1">
      <c r="A554" s="109"/>
    </row>
    <row r="555" spans="1:1">
      <c r="A555" s="109"/>
    </row>
    <row r="556" spans="1:1">
      <c r="A556" s="109"/>
    </row>
    <row r="557" spans="1:1">
      <c r="A557" s="109"/>
    </row>
    <row r="558" spans="1:1">
      <c r="A558" s="109"/>
    </row>
    <row r="559" spans="1:1">
      <c r="A559" s="109"/>
    </row>
    <row r="560" spans="1:1">
      <c r="A560" s="109"/>
    </row>
    <row r="561" spans="1:1">
      <c r="A561" s="109"/>
    </row>
    <row r="562" spans="1:1">
      <c r="A562" s="109"/>
    </row>
    <row r="563" spans="1:1">
      <c r="A563" s="109"/>
    </row>
    <row r="564" spans="1:1">
      <c r="A564" s="109"/>
    </row>
    <row r="565" spans="1:1">
      <c r="A565" s="109"/>
    </row>
    <row r="566" spans="1:1">
      <c r="A566" s="109"/>
    </row>
    <row r="567" spans="1:1">
      <c r="A567" s="109"/>
    </row>
    <row r="568" spans="1:1">
      <c r="A568" s="109"/>
    </row>
    <row r="569" spans="1:1">
      <c r="A569" s="109"/>
    </row>
    <row r="570" spans="1:1">
      <c r="A570" s="109"/>
    </row>
    <row r="571" spans="1:1">
      <c r="A571" s="109"/>
    </row>
    <row r="572" spans="1:1">
      <c r="A572" s="109"/>
    </row>
    <row r="573" spans="1:1">
      <c r="A573" s="109"/>
    </row>
    <row r="574" spans="1:1">
      <c r="A574" s="109"/>
    </row>
    <row r="575" spans="1:1">
      <c r="A575" s="109"/>
    </row>
    <row r="576" spans="1:1">
      <c r="A576" s="109"/>
    </row>
    <row r="577" spans="1:1">
      <c r="A577" s="109"/>
    </row>
    <row r="578" spans="1:1">
      <c r="A578" s="109"/>
    </row>
    <row r="579" spans="1:1">
      <c r="A579" s="109"/>
    </row>
    <row r="580" spans="1:1">
      <c r="A580" s="109"/>
    </row>
    <row r="581" spans="1:1">
      <c r="A581" s="109"/>
    </row>
    <row r="582" spans="1:1">
      <c r="A582" s="109"/>
    </row>
    <row r="583" spans="1:1">
      <c r="A583" s="109"/>
    </row>
    <row r="584" spans="1:1">
      <c r="A584" s="109"/>
    </row>
    <row r="585" spans="1:1">
      <c r="A585" s="109"/>
    </row>
    <row r="586" spans="1:1">
      <c r="A586" s="109"/>
    </row>
    <row r="587" spans="1:1">
      <c r="A587" s="109"/>
    </row>
    <row r="588" spans="1:1">
      <c r="A588" s="109"/>
    </row>
    <row r="589" spans="1:1">
      <c r="A589" s="109"/>
    </row>
    <row r="590" spans="1:1">
      <c r="A590" s="109"/>
    </row>
    <row r="591" spans="1:1">
      <c r="A591" s="109"/>
    </row>
    <row r="592" spans="1:1">
      <c r="A592" s="109"/>
    </row>
    <row r="593" spans="1:1">
      <c r="A593" s="109"/>
    </row>
    <row r="594" spans="1:1">
      <c r="A594" s="109"/>
    </row>
    <row r="595" spans="1:1">
      <c r="A595" s="109"/>
    </row>
    <row r="596" spans="1:1">
      <c r="A596" s="109"/>
    </row>
    <row r="597" spans="1:1">
      <c r="A597" s="109"/>
    </row>
    <row r="598" spans="1:1">
      <c r="A598" s="109"/>
    </row>
    <row r="599" spans="1:1">
      <c r="A599" s="109"/>
    </row>
    <row r="600" spans="1:1">
      <c r="A600" s="109"/>
    </row>
    <row r="601" spans="1:1">
      <c r="A601" s="109"/>
    </row>
    <row r="602" spans="1:1">
      <c r="A602" s="109"/>
    </row>
    <row r="603" spans="1:1">
      <c r="A603" s="109"/>
    </row>
    <row r="604" spans="1:1">
      <c r="A604" s="109"/>
    </row>
    <row r="605" spans="1:1">
      <c r="A605" s="109"/>
    </row>
    <row r="606" spans="1:1">
      <c r="A606" s="109"/>
    </row>
    <row r="607" spans="1:1">
      <c r="A607" s="109"/>
    </row>
    <row r="608" spans="1:1">
      <c r="A608" s="109"/>
    </row>
    <row r="609" spans="1:1">
      <c r="A609" s="109"/>
    </row>
    <row r="610" spans="1:1">
      <c r="A610" s="109"/>
    </row>
    <row r="611" spans="1:1">
      <c r="A611" s="109"/>
    </row>
    <row r="612" spans="1:1">
      <c r="A612" s="109"/>
    </row>
    <row r="613" spans="1:1">
      <c r="A613" s="109"/>
    </row>
    <row r="614" spans="1:1">
      <c r="A614" s="109"/>
    </row>
    <row r="615" spans="1:1">
      <c r="A615" s="109"/>
    </row>
    <row r="616" spans="1:1">
      <c r="A616" s="109"/>
    </row>
    <row r="617" spans="1:1">
      <c r="A617" s="109"/>
    </row>
    <row r="618" spans="1:1">
      <c r="A618" s="109"/>
    </row>
    <row r="619" spans="1:1">
      <c r="A619" s="109"/>
    </row>
    <row r="620" spans="1:1">
      <c r="A620" s="109"/>
    </row>
    <row r="621" spans="1:1">
      <c r="A621" s="109"/>
    </row>
    <row r="622" spans="1:1">
      <c r="A622" s="109"/>
    </row>
    <row r="623" spans="1:1">
      <c r="A623" s="109"/>
    </row>
    <row r="624" spans="1:1">
      <c r="A624" s="109"/>
    </row>
    <row r="625" spans="1:1">
      <c r="A625" s="109"/>
    </row>
    <row r="626" spans="1:1">
      <c r="A626" s="109"/>
    </row>
    <row r="627" spans="1:1">
      <c r="A627" s="109"/>
    </row>
    <row r="628" spans="1:1">
      <c r="A628" s="109"/>
    </row>
    <row r="629" spans="1:1">
      <c r="A629" s="109"/>
    </row>
    <row r="630" spans="1:1">
      <c r="A630" s="109"/>
    </row>
    <row r="631" spans="1:1">
      <c r="A631" s="109"/>
    </row>
    <row r="632" spans="1:1">
      <c r="A632" s="109"/>
    </row>
    <row r="633" spans="1:1">
      <c r="A633" s="109"/>
    </row>
    <row r="634" spans="1:1">
      <c r="A634" s="109"/>
    </row>
    <row r="635" spans="1:1">
      <c r="A635" s="109"/>
    </row>
    <row r="636" spans="1:1">
      <c r="A636" s="109"/>
    </row>
    <row r="637" spans="1:1">
      <c r="A637" s="109"/>
    </row>
    <row r="638" spans="1:1">
      <c r="A638" s="109"/>
    </row>
    <row r="639" spans="1:1">
      <c r="A639" s="109"/>
    </row>
    <row r="640" spans="1:1">
      <c r="A640" s="109"/>
    </row>
    <row r="641" spans="1:1">
      <c r="A641" s="109"/>
    </row>
    <row r="642" spans="1:1">
      <c r="A642" s="109"/>
    </row>
    <row r="643" spans="1:1">
      <c r="A643" s="109"/>
    </row>
    <row r="644" spans="1:1">
      <c r="A644" s="109"/>
    </row>
    <row r="645" spans="1:1">
      <c r="A645" s="109"/>
    </row>
    <row r="646" spans="1:1">
      <c r="A646" s="109"/>
    </row>
    <row r="647" spans="1:1">
      <c r="A647" s="109"/>
    </row>
    <row r="648" spans="1:1">
      <c r="A648" s="109"/>
    </row>
    <row r="649" spans="1:1">
      <c r="A649" s="109"/>
    </row>
    <row r="650" spans="1:1">
      <c r="A650" s="109"/>
    </row>
    <row r="651" spans="1:1">
      <c r="A651" s="109"/>
    </row>
    <row r="652" spans="1:1">
      <c r="A652" s="109"/>
    </row>
    <row r="653" spans="1:1">
      <c r="A653" s="109"/>
    </row>
    <row r="654" spans="1:1">
      <c r="A654" s="109"/>
    </row>
    <row r="655" spans="1:1">
      <c r="A655" s="109"/>
    </row>
    <row r="656" spans="1:1">
      <c r="A656" s="109"/>
    </row>
    <row r="657" spans="1:1">
      <c r="A657" s="109"/>
    </row>
    <row r="658" spans="1:1">
      <c r="A658" s="109"/>
    </row>
    <row r="659" spans="1:1">
      <c r="A659" s="109"/>
    </row>
    <row r="660" spans="1:1">
      <c r="A660" s="109"/>
    </row>
    <row r="661" spans="1:1">
      <c r="A661" s="109"/>
    </row>
    <row r="662" spans="1:1">
      <c r="A662" s="109"/>
    </row>
    <row r="663" spans="1:1">
      <c r="A663" s="109"/>
    </row>
    <row r="664" spans="1:1">
      <c r="A664" s="109"/>
    </row>
    <row r="665" spans="1:1">
      <c r="A665" s="109"/>
    </row>
    <row r="666" spans="1:1">
      <c r="A666" s="109"/>
    </row>
    <row r="667" spans="1:1">
      <c r="A667" s="109"/>
    </row>
    <row r="668" spans="1:1">
      <c r="A668" s="109"/>
    </row>
    <row r="669" spans="1:1">
      <c r="A669" s="109"/>
    </row>
    <row r="670" spans="1:1">
      <c r="A670" s="109"/>
    </row>
    <row r="671" spans="1:1">
      <c r="A671" s="109"/>
    </row>
    <row r="672" spans="1:1">
      <c r="A672" s="109"/>
    </row>
    <row r="673" spans="1:1">
      <c r="A673" s="109"/>
    </row>
    <row r="674" spans="1:1">
      <c r="A674" s="109"/>
    </row>
    <row r="675" spans="1:1">
      <c r="A675" s="109"/>
    </row>
    <row r="676" spans="1:1">
      <c r="A676" s="109"/>
    </row>
    <row r="677" spans="1:1">
      <c r="A677" s="109"/>
    </row>
    <row r="678" spans="1:1">
      <c r="A678" s="109"/>
    </row>
    <row r="679" spans="1:1">
      <c r="A679" s="109"/>
    </row>
    <row r="680" spans="1:1">
      <c r="A680" s="109"/>
    </row>
    <row r="681" spans="1:1">
      <c r="A681" s="109"/>
    </row>
    <row r="682" spans="1:1">
      <c r="A682" s="109"/>
    </row>
    <row r="683" spans="1:1">
      <c r="A683" s="109"/>
    </row>
    <row r="684" spans="1:1">
      <c r="A684" s="109"/>
    </row>
    <row r="685" spans="1:1">
      <c r="A685" s="109"/>
    </row>
    <row r="686" spans="1:1">
      <c r="A686" s="109"/>
    </row>
    <row r="687" spans="1:1">
      <c r="A687" s="109"/>
    </row>
    <row r="688" spans="1:1">
      <c r="A688" s="109"/>
    </row>
    <row r="689" spans="1:1">
      <c r="A689" s="109"/>
    </row>
    <row r="690" spans="1:1">
      <c r="A690" s="109"/>
    </row>
    <row r="691" spans="1:1">
      <c r="A691" s="109"/>
    </row>
    <row r="692" spans="1:1">
      <c r="A692" s="109"/>
    </row>
    <row r="693" spans="1:1">
      <c r="A693" s="109"/>
    </row>
    <row r="694" spans="1:1">
      <c r="A694" s="109"/>
    </row>
    <row r="695" spans="1:1">
      <c r="A695" s="109"/>
    </row>
    <row r="696" spans="1:1">
      <c r="A696" s="109"/>
    </row>
    <row r="697" spans="1:1">
      <c r="A697" s="109"/>
    </row>
    <row r="698" spans="1:1">
      <c r="A698" s="109"/>
    </row>
    <row r="699" spans="1:1">
      <c r="A699" s="109"/>
    </row>
    <row r="700" spans="1:1">
      <c r="A700" s="109"/>
    </row>
    <row r="701" spans="1:1">
      <c r="A701" s="109"/>
    </row>
    <row r="702" spans="1:1">
      <c r="A702" s="109"/>
    </row>
    <row r="703" spans="1:1">
      <c r="A703" s="109"/>
    </row>
    <row r="704" spans="1:1">
      <c r="A704" s="109"/>
    </row>
    <row r="705" spans="1:1">
      <c r="A705" s="109"/>
    </row>
    <row r="706" spans="1:1">
      <c r="A706" s="109"/>
    </row>
    <row r="707" spans="1:1">
      <c r="A707" s="109"/>
    </row>
    <row r="708" spans="1:1">
      <c r="A708" s="109"/>
    </row>
    <row r="709" spans="1:1">
      <c r="A709" s="109"/>
    </row>
    <row r="710" spans="1:1">
      <c r="A710" s="109"/>
    </row>
    <row r="711" spans="1:1">
      <c r="A711" s="109"/>
    </row>
    <row r="712" spans="1:1">
      <c r="A712" s="109"/>
    </row>
    <row r="713" spans="1:1">
      <c r="A713" s="109"/>
    </row>
    <row r="714" spans="1:1">
      <c r="A714" s="109"/>
    </row>
    <row r="715" spans="1:1">
      <c r="A715" s="109"/>
    </row>
    <row r="716" spans="1:1">
      <c r="A716" s="109"/>
    </row>
    <row r="717" spans="1:1">
      <c r="A717" s="109"/>
    </row>
    <row r="718" spans="1:1">
      <c r="A718" s="109"/>
    </row>
    <row r="719" spans="1:1">
      <c r="A719" s="109"/>
    </row>
    <row r="720" spans="1:1">
      <c r="A720" s="109"/>
    </row>
    <row r="721" spans="1:1">
      <c r="A721" s="109"/>
    </row>
    <row r="722" spans="1:1">
      <c r="A722" s="109"/>
    </row>
    <row r="723" spans="1:1">
      <c r="A723" s="109"/>
    </row>
    <row r="724" spans="1:1">
      <c r="A724" s="109"/>
    </row>
    <row r="725" spans="1:1">
      <c r="A725" s="109"/>
    </row>
    <row r="726" spans="1:1">
      <c r="A726" s="109"/>
    </row>
    <row r="727" spans="1:1">
      <c r="A727" s="109"/>
    </row>
    <row r="728" spans="1:1">
      <c r="A728" s="109"/>
    </row>
    <row r="729" spans="1:1">
      <c r="A729" s="109"/>
    </row>
    <row r="730" spans="1:1">
      <c r="A730" s="109"/>
    </row>
    <row r="731" spans="1:1">
      <c r="A731" s="109"/>
    </row>
    <row r="732" spans="1:1">
      <c r="A732" s="109"/>
    </row>
    <row r="733" spans="1:1">
      <c r="A733" s="109"/>
    </row>
    <row r="734" spans="1:1">
      <c r="A734" s="109"/>
    </row>
    <row r="735" spans="1:1">
      <c r="A735" s="109"/>
    </row>
    <row r="736" spans="1:1">
      <c r="A736" s="109"/>
    </row>
    <row r="737" spans="1:1">
      <c r="A737" s="109"/>
    </row>
    <row r="738" spans="1:1">
      <c r="A738" s="109"/>
    </row>
    <row r="739" spans="1:1">
      <c r="A739" s="109"/>
    </row>
    <row r="740" spans="1:1">
      <c r="A740" s="109"/>
    </row>
    <row r="741" spans="1:1">
      <c r="A741" s="109"/>
    </row>
    <row r="742" spans="1:1">
      <c r="A742" s="109"/>
    </row>
    <row r="743" spans="1:1">
      <c r="A743" s="109"/>
    </row>
    <row r="744" spans="1:1">
      <c r="A744" s="109"/>
    </row>
    <row r="745" spans="1:1">
      <c r="A745" s="109"/>
    </row>
    <row r="746" spans="1:1">
      <c r="A746" s="109"/>
    </row>
    <row r="747" spans="1:1">
      <c r="A747" s="109"/>
    </row>
    <row r="748" spans="1:1">
      <c r="A748" s="109"/>
    </row>
    <row r="749" spans="1:1">
      <c r="A749" s="109"/>
    </row>
    <row r="750" spans="1:1">
      <c r="A750" s="109"/>
    </row>
    <row r="751" spans="1:1">
      <c r="A751" s="109"/>
    </row>
    <row r="752" spans="1:1">
      <c r="A752" s="109"/>
    </row>
    <row r="753" spans="1:1">
      <c r="A753" s="109"/>
    </row>
    <row r="754" spans="1:1">
      <c r="A754" s="109"/>
    </row>
    <row r="755" spans="1:1">
      <c r="A755" s="109"/>
    </row>
    <row r="756" spans="1:1">
      <c r="A756" s="109"/>
    </row>
    <row r="757" spans="1:1">
      <c r="A757" s="109"/>
    </row>
    <row r="758" spans="1:1">
      <c r="A758" s="109"/>
    </row>
    <row r="759" spans="1:1">
      <c r="A759" s="109"/>
    </row>
    <row r="760" spans="1:1">
      <c r="A760" s="109"/>
    </row>
    <row r="761" spans="1:1">
      <c r="A761" s="109"/>
    </row>
    <row r="762" spans="1:1">
      <c r="A762" s="109"/>
    </row>
    <row r="763" spans="1:1">
      <c r="A763" s="109"/>
    </row>
    <row r="764" spans="1:1">
      <c r="A764" s="109"/>
    </row>
    <row r="765" spans="1:1">
      <c r="A765" s="109"/>
    </row>
    <row r="766" spans="1:1">
      <c r="A766" s="109"/>
    </row>
    <row r="767" spans="1:1">
      <c r="A767" s="109"/>
    </row>
    <row r="768" spans="1:1">
      <c r="A768" s="109"/>
    </row>
    <row r="769" spans="1:1">
      <c r="A769" s="109"/>
    </row>
    <row r="770" spans="1:1">
      <c r="A770" s="109"/>
    </row>
    <row r="771" spans="1:1">
      <c r="A771" s="109"/>
    </row>
    <row r="772" spans="1:1">
      <c r="A772" s="109"/>
    </row>
    <row r="773" spans="1:1">
      <c r="A773" s="109"/>
    </row>
    <row r="774" spans="1:1">
      <c r="A774" s="109"/>
    </row>
    <row r="775" spans="1:1">
      <c r="A775" s="109"/>
    </row>
    <row r="776" spans="1:1">
      <c r="A776" s="109"/>
    </row>
    <row r="777" spans="1:1">
      <c r="A777" s="109"/>
    </row>
    <row r="778" spans="1:1">
      <c r="A778" s="109"/>
    </row>
    <row r="779" spans="1:1">
      <c r="A779" s="109"/>
    </row>
    <row r="780" spans="1:1">
      <c r="A780" s="109"/>
    </row>
    <row r="781" spans="1:1">
      <c r="A781" s="109"/>
    </row>
    <row r="782" spans="1:1">
      <c r="A782" s="109"/>
    </row>
    <row r="783" spans="1:1">
      <c r="A783" s="109"/>
    </row>
    <row r="784" spans="1:1">
      <c r="A784" s="109"/>
    </row>
    <row r="785" spans="1:1">
      <c r="A785" s="109"/>
    </row>
    <row r="786" spans="1:1">
      <c r="A786" s="109"/>
    </row>
    <row r="787" spans="1:1">
      <c r="A787" s="109"/>
    </row>
    <row r="788" spans="1:1">
      <c r="A788" s="109"/>
    </row>
    <row r="789" spans="1:1">
      <c r="A789" s="109"/>
    </row>
    <row r="790" spans="1:1">
      <c r="A790" s="109"/>
    </row>
    <row r="791" spans="1:1">
      <c r="A791" s="109"/>
    </row>
    <row r="792" spans="1:1">
      <c r="A792" s="109"/>
    </row>
    <row r="793" spans="1:1">
      <c r="A793" s="109"/>
    </row>
    <row r="794" spans="1:1">
      <c r="A794" s="109"/>
    </row>
    <row r="795" spans="1:1">
      <c r="A795" s="109"/>
    </row>
    <row r="796" spans="1:1">
      <c r="A796" s="109"/>
    </row>
    <row r="797" spans="1:1">
      <c r="A797" s="109"/>
    </row>
    <row r="798" spans="1:1">
      <c r="A798" s="109"/>
    </row>
    <row r="799" spans="1:1">
      <c r="A799" s="109"/>
    </row>
    <row r="800" spans="1:1">
      <c r="A800" s="109"/>
    </row>
    <row r="801" spans="1:1">
      <c r="A801" s="109"/>
    </row>
    <row r="802" spans="1:1">
      <c r="A802" s="109"/>
    </row>
    <row r="803" spans="1:1">
      <c r="A803" s="109"/>
    </row>
    <row r="804" spans="1:1">
      <c r="A804" s="109"/>
    </row>
    <row r="805" spans="1:1">
      <c r="A805" s="109"/>
    </row>
    <row r="806" spans="1:1">
      <c r="A806" s="109"/>
    </row>
    <row r="807" spans="1:1">
      <c r="A807" s="109"/>
    </row>
    <row r="808" spans="1:1">
      <c r="A808" s="109"/>
    </row>
    <row r="809" spans="1:1">
      <c r="A809" s="109"/>
    </row>
    <row r="810" spans="1:1">
      <c r="A810" s="109"/>
    </row>
    <row r="811" spans="1:1">
      <c r="A811" s="109"/>
    </row>
    <row r="812" spans="1:1">
      <c r="A812" s="109"/>
    </row>
    <row r="813" spans="1:1">
      <c r="A813" s="109"/>
    </row>
    <row r="814" spans="1:1">
      <c r="A814" s="109"/>
    </row>
    <row r="815" spans="1:1">
      <c r="A815" s="109"/>
    </row>
    <row r="816" spans="1:1">
      <c r="A816" s="109"/>
    </row>
    <row r="817" spans="1:1">
      <c r="A817" s="109"/>
    </row>
    <row r="818" spans="1:1">
      <c r="A818" s="109"/>
    </row>
    <row r="819" spans="1:1">
      <c r="A819" s="109"/>
    </row>
    <row r="820" spans="1:1">
      <c r="A820" s="109"/>
    </row>
    <row r="821" spans="1:1">
      <c r="A821" s="109"/>
    </row>
    <row r="822" spans="1:1">
      <c r="A822" s="109"/>
    </row>
    <row r="823" spans="1:1">
      <c r="A823" s="109"/>
    </row>
    <row r="824" spans="1:1">
      <c r="A824" s="109"/>
    </row>
    <row r="825" spans="1:1">
      <c r="A825" s="109"/>
    </row>
    <row r="826" spans="1:1">
      <c r="A826" s="109"/>
    </row>
    <row r="827" spans="1:1">
      <c r="A827" s="109"/>
    </row>
    <row r="828" spans="1:1">
      <c r="A828" s="109"/>
    </row>
    <row r="829" spans="1:1">
      <c r="A829" s="109"/>
    </row>
    <row r="830" spans="1:1">
      <c r="A830" s="109"/>
    </row>
    <row r="831" spans="1:1">
      <c r="A831" s="109"/>
    </row>
    <row r="832" spans="1:1">
      <c r="A832" s="109"/>
    </row>
    <row r="833" spans="1:1">
      <c r="A833" s="109"/>
    </row>
    <row r="834" spans="1:1">
      <c r="A834" s="109"/>
    </row>
    <row r="835" spans="1:1">
      <c r="A835" s="109"/>
    </row>
    <row r="836" spans="1:1">
      <c r="A836" s="109"/>
    </row>
    <row r="837" spans="1:1">
      <c r="A837" s="109"/>
    </row>
    <row r="838" spans="1:1">
      <c r="A838" s="109"/>
    </row>
    <row r="839" spans="1:1">
      <c r="A839" s="109"/>
    </row>
    <row r="840" spans="1:1">
      <c r="A840" s="109"/>
    </row>
    <row r="841" spans="1:1">
      <c r="A841" s="109"/>
    </row>
    <row r="842" spans="1:1">
      <c r="A842" s="109"/>
    </row>
    <row r="843" spans="1:1">
      <c r="A843" s="109"/>
    </row>
    <row r="844" spans="1:1">
      <c r="A844" s="109"/>
    </row>
    <row r="845" spans="1:1">
      <c r="A845" s="109"/>
    </row>
    <row r="846" spans="1:1">
      <c r="A846" s="109"/>
    </row>
    <row r="847" spans="1:1">
      <c r="A847" s="109"/>
    </row>
    <row r="848" spans="1:1">
      <c r="A848" s="109"/>
    </row>
    <row r="849" spans="1:1">
      <c r="A849" s="109"/>
    </row>
    <row r="850" spans="1:1">
      <c r="A850" s="109"/>
    </row>
    <row r="851" spans="1:1">
      <c r="A851" s="109"/>
    </row>
    <row r="852" spans="1:1">
      <c r="A852" s="109"/>
    </row>
    <row r="853" spans="1:1">
      <c r="A853" s="109"/>
    </row>
    <row r="854" spans="1:1">
      <c r="A854" s="109"/>
    </row>
    <row r="855" spans="1:1">
      <c r="A855" s="109"/>
    </row>
    <row r="856" spans="1:1">
      <c r="A856" s="109"/>
    </row>
    <row r="857" spans="1:1">
      <c r="A857" s="109"/>
    </row>
    <row r="858" spans="1:1">
      <c r="A858" s="109"/>
    </row>
    <row r="859" spans="1:1">
      <c r="A859" s="109"/>
    </row>
    <row r="860" spans="1:1">
      <c r="A860" s="109"/>
    </row>
    <row r="861" spans="1:1">
      <c r="A861" s="109"/>
    </row>
    <row r="862" spans="1:1">
      <c r="A862" s="109"/>
    </row>
    <row r="863" spans="1:1">
      <c r="A863" s="109"/>
    </row>
    <row r="864" spans="1:1">
      <c r="A864" s="109"/>
    </row>
    <row r="865" spans="1:1">
      <c r="A865" s="109"/>
    </row>
    <row r="866" spans="1:1">
      <c r="A866" s="109"/>
    </row>
    <row r="867" spans="1:1">
      <c r="A867" s="109"/>
    </row>
    <row r="868" spans="1:1">
      <c r="A868" s="109"/>
    </row>
    <row r="869" spans="1:1">
      <c r="A869" s="109"/>
    </row>
    <row r="870" spans="1:1">
      <c r="A870" s="109"/>
    </row>
    <row r="871" spans="1:1">
      <c r="A871" s="109"/>
    </row>
    <row r="872" spans="1:1">
      <c r="A872" s="109"/>
    </row>
    <row r="873" spans="1:1">
      <c r="A873" s="109"/>
    </row>
    <row r="874" spans="1:1">
      <c r="A874" s="109"/>
    </row>
    <row r="875" spans="1:1">
      <c r="A875" s="109"/>
    </row>
    <row r="876" spans="1:1">
      <c r="A876" s="109"/>
    </row>
    <row r="877" spans="1:1">
      <c r="A877" s="109"/>
    </row>
    <row r="878" spans="1:1">
      <c r="A878" s="109"/>
    </row>
    <row r="879" spans="1:1">
      <c r="A879" s="109"/>
    </row>
    <row r="880" spans="1:1">
      <c r="A880" s="109"/>
    </row>
    <row r="881" spans="1:1">
      <c r="A881" s="109"/>
    </row>
    <row r="882" spans="1:1">
      <c r="A882" s="109"/>
    </row>
    <row r="883" spans="1:1">
      <c r="A883" s="109"/>
    </row>
    <row r="884" spans="1:1">
      <c r="A884" s="109"/>
    </row>
    <row r="885" spans="1:1">
      <c r="A885" s="109"/>
    </row>
    <row r="886" spans="1:1">
      <c r="A886" s="109"/>
    </row>
    <row r="887" spans="1:1">
      <c r="A887" s="109"/>
    </row>
    <row r="888" spans="1:1">
      <c r="A888" s="109"/>
    </row>
    <row r="889" spans="1:1">
      <c r="A889" s="109"/>
    </row>
    <row r="890" spans="1:1">
      <c r="A890" s="109"/>
    </row>
    <row r="891" spans="1:1">
      <c r="A891" s="109"/>
    </row>
    <row r="892" spans="1:1">
      <c r="A892" s="109"/>
    </row>
    <row r="893" spans="1:1">
      <c r="A893" s="109"/>
    </row>
    <row r="894" spans="1:1">
      <c r="A894" s="109"/>
    </row>
    <row r="895" spans="1:1">
      <c r="A895" s="109"/>
    </row>
    <row r="896" spans="1:1">
      <c r="A896" s="109"/>
    </row>
    <row r="897" spans="1:1">
      <c r="A897" s="109"/>
    </row>
    <row r="898" spans="1:1">
      <c r="A898" s="109"/>
    </row>
    <row r="899" spans="1:1">
      <c r="A899" s="109"/>
    </row>
    <row r="900" spans="1:1">
      <c r="A900" s="109"/>
    </row>
    <row r="901" spans="1:1">
      <c r="A901" s="109"/>
    </row>
    <row r="902" spans="1:1">
      <c r="A902" s="109"/>
    </row>
    <row r="903" spans="1:1">
      <c r="A903" s="109"/>
    </row>
    <row r="904" spans="1:1">
      <c r="A904" s="109"/>
    </row>
    <row r="905" spans="1:1">
      <c r="A905" s="109"/>
    </row>
    <row r="906" spans="1:1">
      <c r="A906" s="109"/>
    </row>
    <row r="907" spans="1:1">
      <c r="A907" s="109"/>
    </row>
    <row r="908" spans="1:1">
      <c r="A908" s="109"/>
    </row>
    <row r="909" spans="1:1">
      <c r="A909" s="109"/>
    </row>
    <row r="910" spans="1:1">
      <c r="A910" s="109"/>
    </row>
    <row r="911" spans="1:1">
      <c r="A911" s="109"/>
    </row>
    <row r="912" spans="1:1">
      <c r="A912" s="109"/>
    </row>
    <row r="913" spans="1:1">
      <c r="A913" s="109"/>
    </row>
    <row r="914" spans="1:1">
      <c r="A914" s="109"/>
    </row>
    <row r="915" spans="1:1">
      <c r="A915" s="109"/>
    </row>
    <row r="916" spans="1:1">
      <c r="A916" s="109"/>
    </row>
    <row r="917" spans="1:1">
      <c r="A917" s="109"/>
    </row>
    <row r="918" spans="1:1">
      <c r="A918" s="109"/>
    </row>
    <row r="919" spans="1:1">
      <c r="A919" s="109"/>
    </row>
    <row r="920" spans="1:1">
      <c r="A920" s="109"/>
    </row>
    <row r="921" spans="1:1">
      <c r="A921" s="109"/>
    </row>
    <row r="922" spans="1:1">
      <c r="A922" s="109"/>
    </row>
    <row r="923" spans="1:1">
      <c r="A923" s="109"/>
    </row>
    <row r="924" spans="1:1">
      <c r="A924" s="109"/>
    </row>
    <row r="925" spans="1:1">
      <c r="A925" s="109"/>
    </row>
    <row r="926" spans="1:1">
      <c r="A926" s="109"/>
    </row>
    <row r="927" spans="1:1">
      <c r="A927" s="109"/>
    </row>
    <row r="928" spans="1:1">
      <c r="A928" s="109"/>
    </row>
    <row r="929" spans="1:1">
      <c r="A929" s="109"/>
    </row>
    <row r="930" spans="1:1">
      <c r="A930" s="109"/>
    </row>
    <row r="931" spans="1:1">
      <c r="A931" s="109"/>
    </row>
    <row r="932" spans="1:1">
      <c r="A932" s="109"/>
    </row>
    <row r="933" spans="1:1">
      <c r="A933" s="109"/>
    </row>
    <row r="934" spans="1:1">
      <c r="A934" s="109"/>
    </row>
    <row r="935" spans="1:1">
      <c r="A935" s="109"/>
    </row>
    <row r="936" spans="1:1">
      <c r="A936" s="109"/>
    </row>
    <row r="937" spans="1:1">
      <c r="A937" s="109"/>
    </row>
    <row r="938" spans="1:1">
      <c r="A938" s="109"/>
    </row>
    <row r="939" spans="1:1">
      <c r="A939" s="109"/>
    </row>
    <row r="940" spans="1:1">
      <c r="A940" s="109"/>
    </row>
    <row r="941" spans="1:1">
      <c r="A941" s="109"/>
    </row>
    <row r="942" spans="1:1">
      <c r="A942" s="109"/>
    </row>
    <row r="943" spans="1:1">
      <c r="A943" s="109"/>
    </row>
    <row r="944" spans="1:1">
      <c r="A944" s="109"/>
    </row>
    <row r="945" spans="1:1">
      <c r="A945" s="109"/>
    </row>
    <row r="946" spans="1:1">
      <c r="A946" s="109"/>
    </row>
    <row r="947" spans="1:1">
      <c r="A947" s="109"/>
    </row>
    <row r="948" spans="1:1">
      <c r="A948" s="109"/>
    </row>
    <row r="949" spans="1:1">
      <c r="A949" s="109"/>
    </row>
    <row r="950" spans="1:1">
      <c r="A950" s="109"/>
    </row>
    <row r="951" spans="1:1">
      <c r="A951" s="109"/>
    </row>
    <row r="952" spans="1:1">
      <c r="A952" s="109"/>
    </row>
    <row r="953" spans="1:1">
      <c r="A953" s="109"/>
    </row>
    <row r="954" spans="1:1">
      <c r="A954" s="109"/>
    </row>
    <row r="955" spans="1:1">
      <c r="A955" s="109"/>
    </row>
    <row r="956" spans="1:1">
      <c r="A956" s="109"/>
    </row>
    <row r="957" spans="1:1">
      <c r="A957" s="109"/>
    </row>
    <row r="958" spans="1:1">
      <c r="A958" s="109"/>
    </row>
    <row r="959" spans="1:1">
      <c r="A959" s="109"/>
    </row>
    <row r="960" spans="1:1">
      <c r="A960" s="109"/>
    </row>
    <row r="961" spans="1:1">
      <c r="A961" s="109"/>
    </row>
    <row r="962" spans="1:1">
      <c r="A962" s="109"/>
    </row>
    <row r="963" spans="1:1">
      <c r="A963" s="109"/>
    </row>
    <row r="964" spans="1:1">
      <c r="A964" s="109"/>
    </row>
    <row r="965" spans="1:1">
      <c r="A965" s="109"/>
    </row>
    <row r="966" spans="1:1">
      <c r="A966" s="109"/>
    </row>
    <row r="967" spans="1:1">
      <c r="A967" s="109"/>
    </row>
    <row r="968" spans="1:1">
      <c r="A968" s="109"/>
    </row>
    <row r="969" spans="1:1">
      <c r="A969" s="109"/>
    </row>
    <row r="970" spans="1:1">
      <c r="A970" s="109"/>
    </row>
    <row r="971" spans="1:1">
      <c r="A971" s="109"/>
    </row>
    <row r="972" spans="1:1">
      <c r="A972" s="109"/>
    </row>
    <row r="973" spans="1:1">
      <c r="A973" s="109"/>
    </row>
    <row r="974" spans="1:1">
      <c r="A974" s="109"/>
    </row>
    <row r="975" spans="1:1">
      <c r="A975" s="109"/>
    </row>
    <row r="976" spans="1:1">
      <c r="A976" s="109"/>
    </row>
    <row r="977" spans="1:1">
      <c r="A977" s="109"/>
    </row>
    <row r="978" spans="1:1">
      <c r="A978" s="109"/>
    </row>
    <row r="979" spans="1:1">
      <c r="A979" s="109"/>
    </row>
    <row r="980" spans="1:1">
      <c r="A980" s="109"/>
    </row>
    <row r="981" spans="1:1">
      <c r="A981" s="109"/>
    </row>
    <row r="982" spans="1:1">
      <c r="A982" s="109"/>
    </row>
    <row r="983" spans="1:1">
      <c r="A983" s="109"/>
    </row>
    <row r="984" spans="1:1">
      <c r="A984" s="109"/>
    </row>
    <row r="985" spans="1:1">
      <c r="A985" s="109"/>
    </row>
    <row r="986" spans="1:1">
      <c r="A986" s="109"/>
    </row>
    <row r="987" spans="1:1">
      <c r="A987" s="109"/>
    </row>
    <row r="988" spans="1:1">
      <c r="A988" s="109"/>
    </row>
    <row r="989" spans="1:1">
      <c r="A989" s="109"/>
    </row>
    <row r="990" spans="1:1">
      <c r="A990" s="109"/>
    </row>
    <row r="991" spans="1:1">
      <c r="A991" s="109"/>
    </row>
    <row r="992" spans="1:1">
      <c r="A992" s="109"/>
    </row>
    <row r="993" spans="1:1">
      <c r="A993" s="109"/>
    </row>
    <row r="994" spans="1:1">
      <c r="A994" s="109"/>
    </row>
    <row r="995" spans="1:1">
      <c r="A995" s="109"/>
    </row>
    <row r="996" spans="1:1">
      <c r="A996" s="109"/>
    </row>
    <row r="997" spans="1:1">
      <c r="A997" s="109"/>
    </row>
    <row r="998" spans="1:1">
      <c r="A998" s="109"/>
    </row>
    <row r="999" spans="1:1">
      <c r="A999" s="109"/>
    </row>
    <row r="1000" spans="1:1">
      <c r="A1000" s="109"/>
    </row>
    <row r="1001" spans="1:1">
      <c r="A1001" s="109"/>
    </row>
    <row r="1002" spans="1:1">
      <c r="A1002" s="109"/>
    </row>
    <row r="1003" spans="1:1">
      <c r="A1003" s="109"/>
    </row>
    <row r="1004" spans="1:1">
      <c r="A1004" s="109"/>
    </row>
    <row r="1005" spans="1:1">
      <c r="A1005" s="109"/>
    </row>
    <row r="1006" spans="1:1">
      <c r="A1006" s="109"/>
    </row>
    <row r="1007" spans="1:1">
      <c r="A1007" s="109"/>
    </row>
    <row r="1008" spans="1:1">
      <c r="A1008" s="109"/>
    </row>
    <row r="1009" spans="1:1">
      <c r="A1009" s="109"/>
    </row>
    <row r="1010" spans="1:1">
      <c r="A1010" s="109"/>
    </row>
    <row r="1011" spans="1:1">
      <c r="A1011" s="109"/>
    </row>
    <row r="1012" spans="1:1">
      <c r="A1012" s="109"/>
    </row>
    <row r="1013" spans="1:1">
      <c r="A1013" s="109"/>
    </row>
    <row r="1014" spans="1:1">
      <c r="A1014" s="109"/>
    </row>
    <row r="1015" spans="1:1">
      <c r="A1015" s="109"/>
    </row>
    <row r="1016" spans="1:1">
      <c r="A1016" s="109"/>
    </row>
    <row r="1017" spans="1:1">
      <c r="A1017" s="109"/>
    </row>
    <row r="1018" spans="1:1">
      <c r="A1018" s="109"/>
    </row>
    <row r="1019" spans="1:1">
      <c r="A1019" s="109"/>
    </row>
    <row r="1020" spans="1:1">
      <c r="A1020" s="109"/>
    </row>
    <row r="1021" spans="1:1">
      <c r="A1021" s="109"/>
    </row>
    <row r="1022" spans="1:1">
      <c r="A1022" s="109"/>
    </row>
    <row r="1023" spans="1:1">
      <c r="A1023" s="109"/>
    </row>
    <row r="1024" spans="1:1">
      <c r="A1024" s="109"/>
    </row>
    <row r="1025" spans="1:1">
      <c r="A1025" s="109"/>
    </row>
    <row r="1026" spans="1:1">
      <c r="A1026" s="109"/>
    </row>
    <row r="1027" spans="1:1">
      <c r="A1027" s="109"/>
    </row>
    <row r="1028" spans="1:1">
      <c r="A1028" s="109"/>
    </row>
    <row r="1029" spans="1:1">
      <c r="A1029" s="109"/>
    </row>
    <row r="1030" spans="1:1">
      <c r="A1030" s="109"/>
    </row>
    <row r="1031" spans="1:1">
      <c r="A1031" s="109"/>
    </row>
    <row r="1032" spans="1:1">
      <c r="A1032" s="109"/>
    </row>
    <row r="1033" spans="1:1">
      <c r="A1033" s="109"/>
    </row>
    <row r="1034" spans="1:1">
      <c r="A1034" s="109"/>
    </row>
    <row r="1035" spans="1:1">
      <c r="A1035" s="109"/>
    </row>
    <row r="1036" spans="1:1">
      <c r="A1036" s="109"/>
    </row>
    <row r="1037" spans="1:1">
      <c r="A1037" s="109"/>
    </row>
    <row r="1038" spans="1:1">
      <c r="A1038" s="109"/>
    </row>
    <row r="1039" spans="1:1">
      <c r="A1039" s="109"/>
    </row>
    <row r="1040" spans="1:1">
      <c r="A1040" s="109"/>
    </row>
    <row r="1041" spans="1:1">
      <c r="A1041" s="109"/>
    </row>
    <row r="1042" spans="1:1">
      <c r="A1042" s="109"/>
    </row>
    <row r="1043" spans="1:1">
      <c r="A1043" s="109"/>
    </row>
    <row r="1044" spans="1:1">
      <c r="A1044" s="109"/>
    </row>
    <row r="1045" spans="1:1">
      <c r="A1045" s="109"/>
    </row>
    <row r="1046" spans="1:1">
      <c r="A1046" s="109"/>
    </row>
    <row r="1047" spans="1:1">
      <c r="A1047" s="109"/>
    </row>
    <row r="1048" spans="1:1">
      <c r="A1048" s="109"/>
    </row>
    <row r="1049" spans="1:1">
      <c r="A1049" s="109"/>
    </row>
    <row r="1050" spans="1:1">
      <c r="A1050" s="109"/>
    </row>
    <row r="1051" spans="1:1">
      <c r="A1051" s="109"/>
    </row>
    <row r="1052" spans="1:1">
      <c r="A1052" s="109"/>
    </row>
    <row r="1053" spans="1:1">
      <c r="A1053" s="109"/>
    </row>
    <row r="1054" spans="1:1">
      <c r="A1054" s="109"/>
    </row>
    <row r="1055" spans="1:1">
      <c r="A1055" s="109"/>
    </row>
    <row r="1056" spans="1:1">
      <c r="A1056" s="109"/>
    </row>
    <row r="1057" spans="1:1">
      <c r="A1057" s="109"/>
    </row>
    <row r="1058" spans="1:1">
      <c r="A1058" s="109"/>
    </row>
    <row r="1059" spans="1:1">
      <c r="A1059" s="109"/>
    </row>
    <row r="1060" spans="1:1">
      <c r="A1060" s="109"/>
    </row>
    <row r="1061" spans="1:1">
      <c r="A1061" s="109"/>
    </row>
    <row r="1062" spans="1:1">
      <c r="A1062" s="109"/>
    </row>
    <row r="1063" spans="1:1">
      <c r="A1063" s="109"/>
    </row>
    <row r="1064" spans="1:1">
      <c r="A1064" s="109"/>
    </row>
    <row r="1065" spans="1:1">
      <c r="A1065" s="109"/>
    </row>
    <row r="1066" spans="1:1">
      <c r="A1066" s="109"/>
    </row>
    <row r="1067" spans="1:1">
      <c r="A1067" s="109"/>
    </row>
    <row r="1068" spans="1:1">
      <c r="A1068" s="109"/>
    </row>
    <row r="1069" spans="1:1">
      <c r="A1069" s="109"/>
    </row>
    <row r="1070" spans="1:1">
      <c r="A1070" s="109"/>
    </row>
    <row r="1071" spans="1:1">
      <c r="A1071" s="109"/>
    </row>
    <row r="1072" spans="1:1">
      <c r="A1072" s="109"/>
    </row>
    <row r="1073" spans="1:1">
      <c r="A1073" s="109"/>
    </row>
    <row r="1074" spans="1:1">
      <c r="A1074" s="109"/>
    </row>
    <row r="1075" spans="1:1">
      <c r="A1075" s="109"/>
    </row>
    <row r="1076" spans="1:1">
      <c r="A1076" s="109"/>
    </row>
    <row r="1077" spans="1:1">
      <c r="A1077" s="109"/>
    </row>
    <row r="1078" spans="1:1">
      <c r="A1078" s="109"/>
    </row>
    <row r="1079" spans="1:1">
      <c r="A1079" s="109"/>
    </row>
    <row r="1080" spans="1:1">
      <c r="A1080" s="109"/>
    </row>
    <row r="1081" spans="1:1">
      <c r="A1081" s="109"/>
    </row>
    <row r="1082" spans="1:1">
      <c r="A1082" s="109"/>
    </row>
    <row r="1083" spans="1:1">
      <c r="A1083" s="109"/>
    </row>
    <row r="1084" spans="1:1">
      <c r="A1084" s="109"/>
    </row>
    <row r="1085" spans="1:1">
      <c r="A1085" s="109"/>
    </row>
    <row r="1086" spans="1:1">
      <c r="A1086" s="109"/>
    </row>
    <row r="1087" spans="1:1">
      <c r="A1087" s="109"/>
    </row>
    <row r="1088" spans="1:1">
      <c r="A1088" s="109"/>
    </row>
    <row r="1089" spans="1:1">
      <c r="A1089" s="109"/>
    </row>
    <row r="1090" spans="1:1">
      <c r="A1090" s="109"/>
    </row>
    <row r="1091" spans="1:1">
      <c r="A1091" s="109"/>
    </row>
    <row r="1092" spans="1:1">
      <c r="A1092" s="109"/>
    </row>
    <row r="1093" spans="1:1">
      <c r="A1093" s="109"/>
    </row>
    <row r="1094" spans="1:1">
      <c r="A1094" s="109"/>
    </row>
    <row r="1095" spans="1:1">
      <c r="A1095" s="109"/>
    </row>
    <row r="1096" spans="1:1">
      <c r="A1096" s="109"/>
    </row>
    <row r="1097" spans="1:1">
      <c r="A1097" s="109"/>
    </row>
    <row r="1098" spans="1:1">
      <c r="A1098" s="109"/>
    </row>
    <row r="1099" spans="1:1">
      <c r="A1099" s="109"/>
    </row>
    <row r="1100" spans="1:1">
      <c r="A1100" s="109"/>
    </row>
    <row r="1101" spans="1:1">
      <c r="A1101" s="109"/>
    </row>
    <row r="1102" spans="1:1">
      <c r="A1102" s="109"/>
    </row>
    <row r="1103" spans="1:1">
      <c r="A1103" s="109"/>
    </row>
    <row r="1104" spans="1:1">
      <c r="A1104" s="109"/>
    </row>
    <row r="1105" spans="1:1">
      <c r="A1105" s="109"/>
    </row>
    <row r="1106" spans="1:1">
      <c r="A1106" s="109"/>
    </row>
    <row r="1107" spans="1:1">
      <c r="A1107" s="109"/>
    </row>
    <row r="1108" spans="1:1">
      <c r="A1108" s="109"/>
    </row>
    <row r="1109" spans="1:1">
      <c r="A1109" s="109"/>
    </row>
    <row r="1110" spans="1:1">
      <c r="A1110" s="109"/>
    </row>
    <row r="1111" spans="1:1">
      <c r="A1111" s="109"/>
    </row>
    <row r="1112" spans="1:1">
      <c r="A1112" s="109"/>
    </row>
    <row r="1113" spans="1:1">
      <c r="A1113" s="109"/>
    </row>
    <row r="1114" spans="1:1">
      <c r="A1114" s="109"/>
    </row>
    <row r="1115" spans="1:1">
      <c r="A1115" s="109"/>
    </row>
    <row r="1116" spans="1:1">
      <c r="A1116" s="109"/>
    </row>
    <row r="1117" spans="1:1">
      <c r="A1117" s="109"/>
    </row>
    <row r="1118" spans="1:1">
      <c r="A1118" s="109"/>
    </row>
    <row r="1119" spans="1:1">
      <c r="A1119" s="109"/>
    </row>
    <row r="1120" spans="1:1">
      <c r="A1120" s="109"/>
    </row>
    <row r="1121" spans="1:1">
      <c r="A1121" s="109"/>
    </row>
    <row r="1122" spans="1:1">
      <c r="A1122" s="109"/>
    </row>
    <row r="1123" spans="1:1">
      <c r="A1123" s="109"/>
    </row>
    <row r="1124" spans="1:1">
      <c r="A1124" s="109"/>
    </row>
    <row r="1125" spans="1:1">
      <c r="A1125" s="109"/>
    </row>
    <row r="1126" spans="1:1">
      <c r="A1126" s="109"/>
    </row>
    <row r="1127" spans="1:1">
      <c r="A1127" s="109"/>
    </row>
    <row r="1128" spans="1:1">
      <c r="A1128" s="109"/>
    </row>
    <row r="1129" spans="1:1">
      <c r="A1129" s="109"/>
    </row>
    <row r="1130" spans="1:1">
      <c r="A1130" s="109"/>
    </row>
    <row r="1131" spans="1:1">
      <c r="A1131" s="109"/>
    </row>
    <row r="1132" spans="1:1">
      <c r="A1132" s="109"/>
    </row>
    <row r="1133" spans="1:1">
      <c r="A1133" s="109"/>
    </row>
    <row r="1134" spans="1:1">
      <c r="A1134" s="109"/>
    </row>
    <row r="1135" spans="1:1">
      <c r="A1135" s="109"/>
    </row>
    <row r="1136" spans="1:1">
      <c r="A1136" s="109"/>
    </row>
    <row r="1137" spans="1:1">
      <c r="A1137" s="109"/>
    </row>
    <row r="1138" spans="1:1">
      <c r="A1138" s="109"/>
    </row>
    <row r="1139" spans="1:1">
      <c r="A1139" s="109"/>
    </row>
    <row r="1140" spans="1:1">
      <c r="A1140" s="109"/>
    </row>
    <row r="1141" spans="1:1">
      <c r="A1141" s="109"/>
    </row>
    <row r="1142" spans="1:1">
      <c r="A1142" s="109"/>
    </row>
    <row r="1143" spans="1:1">
      <c r="A1143" s="109"/>
    </row>
    <row r="1144" spans="1:1">
      <c r="A1144" s="109"/>
    </row>
    <row r="1145" spans="1:1">
      <c r="A1145" s="109"/>
    </row>
    <row r="1146" spans="1:1">
      <c r="A1146" s="109"/>
    </row>
    <row r="1147" spans="1:1">
      <c r="A1147" s="109"/>
    </row>
    <row r="1148" spans="1:1">
      <c r="A1148" s="109"/>
    </row>
    <row r="1149" spans="1:1">
      <c r="A1149" s="109"/>
    </row>
    <row r="1150" spans="1:1">
      <c r="A1150" s="109"/>
    </row>
    <row r="1151" spans="1:1">
      <c r="A1151" s="109"/>
    </row>
    <row r="1152" spans="1:1">
      <c r="A1152" s="109"/>
    </row>
    <row r="1153" spans="1:1">
      <c r="A1153" s="109"/>
    </row>
    <row r="1154" spans="1:1">
      <c r="A1154" s="109"/>
    </row>
    <row r="1155" spans="1:1">
      <c r="A1155" s="109"/>
    </row>
    <row r="1156" spans="1:1">
      <c r="A1156" s="109"/>
    </row>
    <row r="1157" spans="1:1">
      <c r="A1157" s="109"/>
    </row>
    <row r="1158" spans="1:1">
      <c r="A1158" s="109"/>
    </row>
    <row r="1159" spans="1:1">
      <c r="A1159" s="109"/>
    </row>
    <row r="1160" spans="1:1">
      <c r="A1160" s="109"/>
    </row>
    <row r="1161" spans="1:1">
      <c r="A1161" s="109"/>
    </row>
    <row r="1162" spans="1:1">
      <c r="A1162" s="109"/>
    </row>
    <row r="1163" spans="1:1">
      <c r="A1163" s="109"/>
    </row>
    <row r="1164" spans="1:1">
      <c r="A1164" s="109"/>
    </row>
    <row r="1165" spans="1:1">
      <c r="A1165" s="109"/>
    </row>
    <row r="1166" spans="1:1">
      <c r="A1166" s="109"/>
    </row>
    <row r="1167" spans="1:1">
      <c r="A1167" s="109"/>
    </row>
    <row r="1168" spans="1:1">
      <c r="A1168" s="109"/>
    </row>
    <row r="1169" spans="1:1">
      <c r="A1169" s="109"/>
    </row>
    <row r="1170" spans="1:1">
      <c r="A1170" s="109"/>
    </row>
    <row r="1171" spans="1:1">
      <c r="A1171" s="109"/>
    </row>
    <row r="1172" spans="1:1">
      <c r="A1172" s="109"/>
    </row>
    <row r="1173" spans="1:1">
      <c r="A1173" s="109"/>
    </row>
    <row r="1174" spans="1:1">
      <c r="A1174" s="109"/>
    </row>
    <row r="1175" spans="1:1">
      <c r="A1175" s="109"/>
    </row>
    <row r="1176" spans="1:1">
      <c r="A1176" s="109"/>
    </row>
    <row r="1177" spans="1:1">
      <c r="A1177" s="109"/>
    </row>
    <row r="1178" spans="1:1">
      <c r="A1178" s="109"/>
    </row>
    <row r="1179" spans="1:1">
      <c r="A1179" s="109"/>
    </row>
    <row r="1180" spans="1:1">
      <c r="A1180" s="109"/>
    </row>
    <row r="1181" spans="1:1">
      <c r="A1181" s="109"/>
    </row>
    <row r="1182" spans="1:1">
      <c r="A1182" s="109"/>
    </row>
    <row r="1183" spans="1:1">
      <c r="A1183" s="109"/>
    </row>
    <row r="1184" spans="1:1">
      <c r="A1184" s="109"/>
    </row>
    <row r="1185" spans="1:1">
      <c r="A1185" s="109"/>
    </row>
    <row r="1186" spans="1:1">
      <c r="A1186" s="109"/>
    </row>
    <row r="1187" spans="1:1">
      <c r="A1187" s="109"/>
    </row>
    <row r="1188" spans="1:1">
      <c r="A1188" s="109"/>
    </row>
    <row r="1189" spans="1:1">
      <c r="A1189" s="109"/>
    </row>
    <row r="1190" spans="1:1">
      <c r="A1190" s="109"/>
    </row>
    <row r="1191" spans="1:1">
      <c r="A1191" s="109"/>
    </row>
    <row r="1192" spans="1:1">
      <c r="A1192" s="109"/>
    </row>
    <row r="1193" spans="1:1">
      <c r="A1193" s="109"/>
    </row>
    <row r="1194" spans="1:1">
      <c r="A1194" s="109"/>
    </row>
    <row r="1195" spans="1:1">
      <c r="A1195" s="109"/>
    </row>
    <row r="1196" spans="1:1">
      <c r="A1196" s="109"/>
    </row>
    <row r="1197" spans="1:1">
      <c r="A1197" s="109"/>
    </row>
    <row r="1198" spans="1:1">
      <c r="A1198" s="109"/>
    </row>
    <row r="1199" spans="1:1">
      <c r="A1199" s="109"/>
    </row>
    <row r="1200" spans="1:1">
      <c r="A1200" s="109"/>
    </row>
    <row r="1201" spans="1:1">
      <c r="A1201" s="109"/>
    </row>
    <row r="1202" spans="1:1">
      <c r="A1202" s="109"/>
    </row>
    <row r="1203" spans="1:1">
      <c r="A1203" s="109"/>
    </row>
    <row r="1204" spans="1:1">
      <c r="A1204" s="109"/>
    </row>
    <row r="1205" spans="1:1">
      <c r="A1205" s="109"/>
    </row>
    <row r="1206" spans="1:1">
      <c r="A1206" s="109"/>
    </row>
    <row r="1207" spans="1:1">
      <c r="A1207" s="109"/>
    </row>
    <row r="1208" spans="1:1">
      <c r="A1208" s="109"/>
    </row>
    <row r="1209" spans="1:1">
      <c r="A1209" s="109"/>
    </row>
    <row r="1210" spans="1:1">
      <c r="A1210" s="109"/>
    </row>
    <row r="1211" spans="1:1">
      <c r="A1211" s="109"/>
    </row>
    <row r="1212" spans="1:1">
      <c r="A1212" s="109"/>
    </row>
    <row r="1213" spans="1:1">
      <c r="A1213" s="109"/>
    </row>
    <row r="1214" spans="1:1">
      <c r="A1214" s="109"/>
    </row>
    <row r="1215" spans="1:1">
      <c r="A1215" s="109"/>
    </row>
    <row r="1216" spans="1:1">
      <c r="A1216" s="109"/>
    </row>
    <row r="1217" spans="1:1">
      <c r="A1217" s="109"/>
    </row>
    <row r="1218" spans="1:1">
      <c r="A1218" s="109"/>
    </row>
    <row r="1219" spans="1:1">
      <c r="A1219" s="109"/>
    </row>
    <row r="1220" spans="1:1">
      <c r="A1220" s="109"/>
    </row>
    <row r="1221" spans="1:1">
      <c r="A1221" s="109"/>
    </row>
    <row r="1222" spans="1:1">
      <c r="A1222" s="109"/>
    </row>
    <row r="1223" spans="1:1">
      <c r="A1223" s="109"/>
    </row>
    <row r="1224" spans="1:1">
      <c r="A1224" s="109"/>
    </row>
    <row r="1225" spans="1:1">
      <c r="A1225" s="109"/>
    </row>
    <row r="1226" spans="1:1">
      <c r="A1226" s="109"/>
    </row>
    <row r="1227" spans="1:1">
      <c r="A1227" s="109"/>
    </row>
    <row r="1228" spans="1:1">
      <c r="A1228" s="109"/>
    </row>
    <row r="1229" spans="1:1">
      <c r="A1229" s="109"/>
    </row>
    <row r="1230" spans="1:1">
      <c r="A1230" s="109"/>
    </row>
    <row r="1231" spans="1:1">
      <c r="A1231" s="109"/>
    </row>
    <row r="1232" spans="1:1">
      <c r="A1232" s="109"/>
    </row>
    <row r="1233" spans="1:1">
      <c r="A1233" s="109"/>
    </row>
    <row r="1234" spans="1:1">
      <c r="A1234" s="109"/>
    </row>
    <row r="1235" spans="1:1">
      <c r="A1235" s="109"/>
    </row>
    <row r="1236" spans="1:1">
      <c r="A1236" s="109"/>
    </row>
    <row r="1237" spans="1:1">
      <c r="A1237" s="109"/>
    </row>
    <row r="1238" spans="1:1">
      <c r="A1238" s="109"/>
    </row>
    <row r="1239" spans="1:1">
      <c r="A1239" s="109"/>
    </row>
    <row r="1240" spans="1:1">
      <c r="A1240" s="109"/>
    </row>
    <row r="1241" spans="1:1">
      <c r="A1241" s="109"/>
    </row>
    <row r="1242" spans="1:1">
      <c r="A1242" s="109"/>
    </row>
    <row r="1243" spans="1:1">
      <c r="A1243" s="109"/>
    </row>
    <row r="1244" spans="1:1">
      <c r="A1244" s="109"/>
    </row>
    <row r="1245" spans="1:1">
      <c r="A1245" s="109"/>
    </row>
    <row r="1246" spans="1:1">
      <c r="A1246" s="109"/>
    </row>
    <row r="1247" spans="1:1">
      <c r="A1247" s="109"/>
    </row>
    <row r="1248" spans="1:1">
      <c r="A1248" s="109"/>
    </row>
    <row r="1249" spans="1:1">
      <c r="A1249" s="109"/>
    </row>
    <row r="1250" spans="1:1">
      <c r="A1250" s="109"/>
    </row>
    <row r="1251" spans="1:1">
      <c r="A1251" s="109"/>
    </row>
    <row r="1252" spans="1:1">
      <c r="A1252" s="109"/>
    </row>
    <row r="1253" spans="1:1">
      <c r="A1253" s="109"/>
    </row>
    <row r="1254" spans="1:1">
      <c r="A1254" s="109"/>
    </row>
    <row r="1255" spans="1:1">
      <c r="A1255" s="109"/>
    </row>
    <row r="1256" spans="1:1">
      <c r="A1256" s="109"/>
    </row>
    <row r="1257" spans="1:1">
      <c r="A1257" s="109"/>
    </row>
    <row r="1258" spans="1:1">
      <c r="A1258" s="109"/>
    </row>
    <row r="1259" spans="1:1">
      <c r="A1259" s="109"/>
    </row>
    <row r="1260" spans="1:1">
      <c r="A1260" s="109"/>
    </row>
    <row r="1261" spans="1:1">
      <c r="A1261" s="109"/>
    </row>
    <row r="1262" spans="1:1">
      <c r="A1262" s="109"/>
    </row>
    <row r="1263" spans="1:1">
      <c r="A1263" s="109"/>
    </row>
    <row r="1264" spans="1:1">
      <c r="A1264" s="109"/>
    </row>
    <row r="1265" spans="1:1">
      <c r="A1265" s="109"/>
    </row>
    <row r="1266" spans="1:1">
      <c r="A1266" s="109"/>
    </row>
    <row r="1267" spans="1:1">
      <c r="A1267" s="109"/>
    </row>
    <row r="1268" spans="1:1">
      <c r="A1268" s="109"/>
    </row>
    <row r="1269" spans="1:1">
      <c r="A1269" s="109"/>
    </row>
    <row r="1270" spans="1:1">
      <c r="A1270" s="109"/>
    </row>
    <row r="1271" spans="1:1">
      <c r="A1271" s="109"/>
    </row>
    <row r="1272" spans="1:1">
      <c r="A1272" s="109"/>
    </row>
    <row r="1273" spans="1:1">
      <c r="A1273" s="109"/>
    </row>
    <row r="1274" spans="1:1">
      <c r="A1274" s="109"/>
    </row>
    <row r="1275" spans="1:1">
      <c r="A1275" s="109"/>
    </row>
    <row r="1276" spans="1:1">
      <c r="A1276" s="109"/>
    </row>
    <row r="1277" spans="1:1">
      <c r="A1277" s="109"/>
    </row>
    <row r="1278" spans="1:1">
      <c r="A1278" s="109"/>
    </row>
    <row r="1279" spans="1:1">
      <c r="A1279" s="109"/>
    </row>
    <row r="1280" spans="1:1">
      <c r="A1280" s="109"/>
    </row>
    <row r="1281" spans="1:1">
      <c r="A1281" s="109"/>
    </row>
    <row r="1282" spans="1:1">
      <c r="A1282" s="109"/>
    </row>
    <row r="1283" spans="1:1">
      <c r="A1283" s="109"/>
    </row>
    <row r="1284" spans="1:1">
      <c r="A1284" s="109"/>
    </row>
    <row r="1285" spans="1:1">
      <c r="A1285" s="109"/>
    </row>
    <row r="1286" spans="1:1">
      <c r="A1286" s="109"/>
    </row>
    <row r="1287" spans="1:1">
      <c r="A1287" s="109"/>
    </row>
    <row r="1288" spans="1:1">
      <c r="A1288" s="109"/>
    </row>
    <row r="1289" spans="1:1">
      <c r="A1289" s="109"/>
    </row>
    <row r="1290" spans="1:1">
      <c r="A1290" s="109"/>
    </row>
    <row r="1291" spans="1:1">
      <c r="A1291" s="109"/>
    </row>
    <row r="1292" spans="1:1">
      <c r="A1292" s="109"/>
    </row>
    <row r="1293" spans="1:1">
      <c r="A1293" s="109"/>
    </row>
    <row r="1294" spans="1:1">
      <c r="A1294" s="109"/>
    </row>
    <row r="1295" spans="1:1">
      <c r="A1295" s="109"/>
    </row>
    <row r="1296" spans="1:1">
      <c r="A1296" s="109"/>
    </row>
    <row r="1297" spans="1:1">
      <c r="A1297" s="109"/>
    </row>
    <row r="1298" spans="1:1">
      <c r="A1298" s="109"/>
    </row>
    <row r="1299" spans="1:1">
      <c r="A1299" s="109"/>
    </row>
    <row r="1300" spans="1:1">
      <c r="A1300" s="109"/>
    </row>
    <row r="1301" spans="1:1">
      <c r="A1301" s="109"/>
    </row>
    <row r="1302" spans="1:1">
      <c r="A1302" s="109"/>
    </row>
    <row r="1303" spans="1:1">
      <c r="A1303" s="109"/>
    </row>
    <row r="1304" spans="1:1">
      <c r="A1304" s="109"/>
    </row>
    <row r="1305" spans="1:1">
      <c r="A1305" s="109"/>
    </row>
    <row r="1306" spans="1:1">
      <c r="A1306" s="109"/>
    </row>
    <row r="1307" spans="1:1">
      <c r="A1307" s="109"/>
    </row>
    <row r="1308" spans="1:1">
      <c r="A1308" s="109"/>
    </row>
    <row r="1309" spans="1:1">
      <c r="A1309" s="109"/>
    </row>
    <row r="1310" spans="1:1">
      <c r="A1310" s="109"/>
    </row>
    <row r="1311" spans="1:1">
      <c r="A1311" s="109"/>
    </row>
    <row r="1312" spans="1:1">
      <c r="A1312" s="109"/>
    </row>
    <row r="1313" spans="1:1">
      <c r="A1313" s="109"/>
    </row>
    <row r="1314" spans="1:1">
      <c r="A1314" s="109"/>
    </row>
    <row r="1315" spans="1:1">
      <c r="A1315" s="109"/>
    </row>
    <row r="1316" spans="1:1">
      <c r="A1316" s="109"/>
    </row>
    <row r="1317" spans="1:1">
      <c r="A1317" s="109"/>
    </row>
    <row r="1318" spans="1:1">
      <c r="A1318" s="109"/>
    </row>
    <row r="1319" spans="1:1">
      <c r="A1319" s="109"/>
    </row>
    <row r="1320" spans="1:1">
      <c r="A1320" s="109"/>
    </row>
    <row r="1321" spans="1:1">
      <c r="A1321" s="109"/>
    </row>
    <row r="1322" spans="1:1">
      <c r="A1322" s="109"/>
    </row>
    <row r="1323" spans="1:1">
      <c r="A1323" s="109"/>
    </row>
    <row r="1324" spans="1:1">
      <c r="A1324" s="109"/>
    </row>
    <row r="1325" spans="1:1">
      <c r="A1325" s="109"/>
    </row>
    <row r="1326" spans="1:1">
      <c r="A1326" s="109"/>
    </row>
    <row r="1327" spans="1:1">
      <c r="A1327" s="109"/>
    </row>
    <row r="1328" spans="1:1">
      <c r="A1328" s="109"/>
    </row>
    <row r="1329" spans="1:1">
      <c r="A1329" s="109"/>
    </row>
    <row r="1330" spans="1:1">
      <c r="A1330" s="109"/>
    </row>
    <row r="1331" spans="1:1">
      <c r="A1331" s="109"/>
    </row>
    <row r="1332" spans="1:1">
      <c r="A1332" s="109"/>
    </row>
    <row r="1333" spans="1:1">
      <c r="A1333" s="109"/>
    </row>
    <row r="1334" spans="1:1">
      <c r="A1334" s="109"/>
    </row>
    <row r="1335" spans="1:1">
      <c r="A1335" s="109"/>
    </row>
    <row r="1336" spans="1:1">
      <c r="A1336" s="109"/>
    </row>
    <row r="1337" spans="1:1">
      <c r="A1337" s="109"/>
    </row>
    <row r="1338" spans="1:1">
      <c r="A1338" s="109"/>
    </row>
    <row r="1339" spans="1:1">
      <c r="A1339" s="109"/>
    </row>
    <row r="1340" spans="1:1">
      <c r="A1340" s="109"/>
    </row>
    <row r="1341" spans="1:1">
      <c r="A1341" s="109"/>
    </row>
    <row r="1342" spans="1:1">
      <c r="A1342" s="109"/>
    </row>
    <row r="1343" spans="1:1">
      <c r="A1343" s="109"/>
    </row>
    <row r="1344" spans="1:1">
      <c r="A1344" s="109"/>
    </row>
    <row r="1345" spans="1:1">
      <c r="A1345" s="109"/>
    </row>
    <row r="1346" spans="1:1">
      <c r="A1346" s="109"/>
    </row>
    <row r="1347" spans="1:1">
      <c r="A1347" s="109"/>
    </row>
    <row r="1348" spans="1:1">
      <c r="A1348" s="109"/>
    </row>
    <row r="1349" spans="1:1">
      <c r="A1349" s="109"/>
    </row>
    <row r="1350" spans="1:1">
      <c r="A1350" s="109"/>
    </row>
    <row r="1351" spans="1:1">
      <c r="A1351" s="109"/>
    </row>
    <row r="1352" spans="1:1">
      <c r="A1352" s="109"/>
    </row>
    <row r="1353" spans="1:1">
      <c r="A1353" s="109"/>
    </row>
    <row r="1354" spans="1:1">
      <c r="A1354" s="109"/>
    </row>
    <row r="1355" spans="1:1">
      <c r="A1355" s="109"/>
    </row>
    <row r="1356" spans="1:1">
      <c r="A1356" s="109"/>
    </row>
    <row r="1357" spans="1:1">
      <c r="A1357" s="109"/>
    </row>
    <row r="1358" spans="1:1">
      <c r="A1358" s="109"/>
    </row>
    <row r="1359" spans="1:1">
      <c r="A1359" s="109"/>
    </row>
    <row r="1360" spans="1:1">
      <c r="A1360" s="109"/>
    </row>
    <row r="1361" spans="1:1">
      <c r="A1361" s="109"/>
    </row>
    <row r="1362" spans="1:1">
      <c r="A1362" s="109"/>
    </row>
    <row r="1363" spans="1:1">
      <c r="A1363" s="109"/>
    </row>
    <row r="1364" spans="1:1">
      <c r="A1364" s="109"/>
    </row>
    <row r="1365" spans="1:1">
      <c r="A1365" s="109"/>
    </row>
    <row r="1366" spans="1:1">
      <c r="A1366" s="109"/>
    </row>
    <row r="1367" spans="1:1">
      <c r="A1367" s="109"/>
    </row>
    <row r="1368" spans="1:1">
      <c r="A1368" s="109"/>
    </row>
    <row r="1369" spans="1:1">
      <c r="A1369" s="109"/>
    </row>
    <row r="1370" spans="1:1">
      <c r="A1370" s="109"/>
    </row>
    <row r="1371" spans="1:1">
      <c r="A1371" s="109"/>
    </row>
    <row r="1372" spans="1:1">
      <c r="A1372" s="109"/>
    </row>
    <row r="1373" spans="1:1">
      <c r="A1373" s="109"/>
    </row>
    <row r="1374" spans="1:1">
      <c r="A1374" s="109"/>
    </row>
    <row r="1375" spans="1:1">
      <c r="A1375" s="109"/>
    </row>
    <row r="1376" spans="1:1">
      <c r="A1376" s="109"/>
    </row>
    <row r="1377" spans="1:1">
      <c r="A1377" s="109"/>
    </row>
    <row r="1378" spans="1:1">
      <c r="A1378" s="109"/>
    </row>
    <row r="1379" spans="1:1">
      <c r="A1379" s="109"/>
    </row>
    <row r="1380" spans="1:1">
      <c r="A1380" s="109"/>
    </row>
    <row r="1381" spans="1:1">
      <c r="A1381" s="109"/>
    </row>
    <row r="1382" spans="1:1">
      <c r="A1382" s="109"/>
    </row>
    <row r="1383" spans="1:1">
      <c r="A1383" s="109"/>
    </row>
    <row r="1384" spans="1:1">
      <c r="A1384" s="109"/>
    </row>
    <row r="1385" spans="1:1">
      <c r="A1385" s="109"/>
    </row>
    <row r="1386" spans="1:1">
      <c r="A1386" s="109"/>
    </row>
    <row r="1387" spans="1:1">
      <c r="A1387" s="109"/>
    </row>
    <row r="1388" spans="1:1">
      <c r="A1388" s="109"/>
    </row>
    <row r="1389" spans="1:1">
      <c r="A1389" s="109"/>
    </row>
    <row r="1390" spans="1:1">
      <c r="A1390" s="109"/>
    </row>
    <row r="1391" spans="1:1">
      <c r="A1391" s="109"/>
    </row>
    <row r="1392" spans="1:1">
      <c r="A1392" s="109"/>
    </row>
    <row r="1393" spans="1:1">
      <c r="A1393" s="109"/>
    </row>
    <row r="1394" spans="1:1">
      <c r="A1394" s="109"/>
    </row>
    <row r="1395" spans="1:1">
      <c r="A1395" s="109"/>
    </row>
    <row r="1396" spans="1:1">
      <c r="A1396" s="109"/>
    </row>
    <row r="1397" spans="1:1">
      <c r="A1397" s="109"/>
    </row>
    <row r="1398" spans="1:1">
      <c r="A1398" s="109"/>
    </row>
    <row r="1399" spans="1:1">
      <c r="A1399" s="109"/>
    </row>
    <row r="1400" spans="1:1">
      <c r="A1400" s="109"/>
    </row>
    <row r="1401" spans="1:1">
      <c r="A1401" s="109"/>
    </row>
    <row r="1402" spans="1:1">
      <c r="A1402" s="109"/>
    </row>
    <row r="1403" spans="1:1">
      <c r="A1403" s="109"/>
    </row>
    <row r="1404" spans="1:1">
      <c r="A1404" s="109"/>
    </row>
    <row r="1405" spans="1:1">
      <c r="A1405" s="109"/>
    </row>
    <row r="1406" spans="1:1">
      <c r="A1406" s="109"/>
    </row>
    <row r="1407" spans="1:1">
      <c r="A1407" s="109"/>
    </row>
    <row r="1408" spans="1:1">
      <c r="A1408" s="109"/>
    </row>
    <row r="1409" spans="1:1">
      <c r="A1409" s="109"/>
    </row>
    <row r="1410" spans="1:1">
      <c r="A1410" s="109"/>
    </row>
    <row r="1411" spans="1:1">
      <c r="A1411" s="109"/>
    </row>
    <row r="1412" spans="1:1">
      <c r="A1412" s="109"/>
    </row>
    <row r="1413" spans="1:1">
      <c r="A1413" s="109"/>
    </row>
    <row r="1414" spans="1:1">
      <c r="A1414" s="109"/>
    </row>
    <row r="1415" spans="1:1">
      <c r="A1415" s="109"/>
    </row>
    <row r="1416" spans="1:1">
      <c r="A1416" s="109"/>
    </row>
    <row r="1417" spans="1:1">
      <c r="A1417" s="109"/>
    </row>
    <row r="1418" spans="1:1">
      <c r="A1418" s="109"/>
    </row>
    <row r="1419" spans="1:1">
      <c r="A1419" s="109"/>
    </row>
    <row r="1420" spans="1:1">
      <c r="A1420" s="109"/>
    </row>
    <row r="1421" spans="1:1">
      <c r="A1421" s="109"/>
    </row>
    <row r="1422" spans="1:1">
      <c r="A1422" s="109"/>
    </row>
    <row r="1423" spans="1:1">
      <c r="A1423" s="109"/>
    </row>
    <row r="1424" spans="1:1">
      <c r="A1424" s="109"/>
    </row>
    <row r="1425" spans="1:1">
      <c r="A1425" s="109"/>
    </row>
    <row r="1426" spans="1:1">
      <c r="A1426" s="109"/>
    </row>
    <row r="1427" spans="1:1">
      <c r="A1427" s="109"/>
    </row>
    <row r="1428" spans="1:1">
      <c r="A1428" s="109"/>
    </row>
    <row r="1429" spans="1:1">
      <c r="A1429" s="109"/>
    </row>
    <row r="1430" spans="1:1">
      <c r="A1430" s="109"/>
    </row>
    <row r="1431" spans="1:1">
      <c r="A1431" s="109"/>
    </row>
    <row r="1432" spans="1:1">
      <c r="A1432" s="109"/>
    </row>
    <row r="1433" spans="1:1">
      <c r="A1433" s="109"/>
    </row>
    <row r="1434" spans="1:1">
      <c r="A1434" s="109"/>
    </row>
    <row r="1435" spans="1:1">
      <c r="A1435" s="109"/>
    </row>
    <row r="1436" spans="1:1">
      <c r="A1436" s="109"/>
    </row>
    <row r="1437" spans="1:1">
      <c r="A1437" s="109"/>
    </row>
    <row r="1438" spans="1:1">
      <c r="A1438" s="109"/>
    </row>
    <row r="1439" spans="1:1">
      <c r="A1439" s="109"/>
    </row>
    <row r="1440" spans="1:1">
      <c r="A1440" s="109"/>
    </row>
    <row r="1441" spans="1:1">
      <c r="A1441" s="109"/>
    </row>
    <row r="1442" spans="1:1">
      <c r="A1442" s="109"/>
    </row>
    <row r="1443" spans="1:1">
      <c r="A1443" s="109"/>
    </row>
    <row r="1444" spans="1:1">
      <c r="A1444" s="109"/>
    </row>
    <row r="1445" spans="1:1">
      <c r="A1445" s="109"/>
    </row>
    <row r="1446" spans="1:1">
      <c r="A1446" s="109"/>
    </row>
    <row r="1447" spans="1:1">
      <c r="A1447" s="109"/>
    </row>
    <row r="1448" spans="1:1">
      <c r="A1448" s="109"/>
    </row>
    <row r="1449" spans="1:1">
      <c r="A1449" s="109"/>
    </row>
    <row r="1450" spans="1:1">
      <c r="A1450" s="109"/>
    </row>
    <row r="1451" spans="1:1">
      <c r="A1451" s="109"/>
    </row>
    <row r="1452" spans="1:1">
      <c r="A1452" s="109"/>
    </row>
    <row r="1453" spans="1:1">
      <c r="A1453" s="109"/>
    </row>
    <row r="1454" spans="1:1">
      <c r="A1454" s="109"/>
    </row>
    <row r="1455" spans="1:1">
      <c r="A1455" s="109"/>
    </row>
    <row r="1456" spans="1:1">
      <c r="A1456" s="109"/>
    </row>
    <row r="1457" spans="1:1">
      <c r="A1457" s="109"/>
    </row>
    <row r="1458" spans="1:1">
      <c r="A1458" s="109"/>
    </row>
    <row r="1459" spans="1:1">
      <c r="A1459" s="109"/>
    </row>
    <row r="1460" spans="1:1">
      <c r="A1460" s="109"/>
    </row>
    <row r="1461" spans="1:1">
      <c r="A1461" s="109"/>
    </row>
    <row r="1462" spans="1:1">
      <c r="A1462" s="109"/>
    </row>
    <row r="1463" spans="1:1">
      <c r="A1463" s="109"/>
    </row>
    <row r="1464" spans="1:1">
      <c r="A1464" s="109"/>
    </row>
    <row r="1465" spans="1:1">
      <c r="A1465" s="109"/>
    </row>
    <row r="1466" spans="1:1">
      <c r="A1466" s="109"/>
    </row>
    <row r="1467" spans="1:1">
      <c r="A1467" s="109"/>
    </row>
    <row r="1468" spans="1:1">
      <c r="A1468" s="109"/>
    </row>
    <row r="1469" spans="1:1">
      <c r="A1469" s="109"/>
    </row>
    <row r="1470" spans="1:1">
      <c r="A1470" s="109"/>
    </row>
    <row r="1471" spans="1:1">
      <c r="A1471" s="109"/>
    </row>
    <row r="1472" spans="1:1">
      <c r="A1472" s="109"/>
    </row>
    <row r="1473" spans="1:1">
      <c r="A1473" s="109"/>
    </row>
    <row r="1474" spans="1:1">
      <c r="A1474" s="109"/>
    </row>
    <row r="1475" spans="1:1">
      <c r="A1475" s="109"/>
    </row>
    <row r="1476" spans="1:1">
      <c r="A1476" s="109"/>
    </row>
    <row r="1477" spans="1:1">
      <c r="A1477" s="109"/>
    </row>
    <row r="1478" spans="1:1">
      <c r="A1478" s="109"/>
    </row>
    <row r="1479" spans="1:1">
      <c r="A1479" s="109"/>
    </row>
    <row r="1480" spans="1:1">
      <c r="A1480" s="109"/>
    </row>
    <row r="1481" spans="1:1">
      <c r="A1481" s="109"/>
    </row>
    <row r="1482" spans="1:1">
      <c r="A1482" s="109"/>
    </row>
    <row r="1483" spans="1:1">
      <c r="A1483" s="109"/>
    </row>
    <row r="1484" spans="1:1">
      <c r="A1484" s="109"/>
    </row>
    <row r="1485" spans="1:1">
      <c r="A1485" s="109"/>
    </row>
    <row r="1486" spans="1:1">
      <c r="A1486" s="109"/>
    </row>
    <row r="1487" spans="1:1">
      <c r="A1487" s="109"/>
    </row>
    <row r="1488" spans="1:1">
      <c r="A1488" s="109"/>
    </row>
    <row r="1489" spans="1:1">
      <c r="A1489" s="109"/>
    </row>
    <row r="1490" spans="1:1">
      <c r="A1490" s="109"/>
    </row>
    <row r="1491" spans="1:1">
      <c r="A1491" s="109"/>
    </row>
    <row r="1492" spans="1:1">
      <c r="A1492" s="109"/>
    </row>
    <row r="1493" spans="1:1">
      <c r="A1493" s="109"/>
    </row>
    <row r="1494" spans="1:1">
      <c r="A1494" s="109"/>
    </row>
    <row r="1495" spans="1:1">
      <c r="A1495" s="109"/>
    </row>
    <row r="1496" spans="1:1">
      <c r="A1496" s="109"/>
    </row>
    <row r="1497" spans="1:1">
      <c r="A1497" s="109"/>
    </row>
    <row r="1498" spans="1:1">
      <c r="A1498" s="109"/>
    </row>
    <row r="1499" spans="1:1">
      <c r="A1499" s="109"/>
    </row>
    <row r="1500" spans="1:1">
      <c r="A1500" s="109"/>
    </row>
    <row r="1501" spans="1:1">
      <c r="A1501" s="109"/>
    </row>
    <row r="1502" spans="1:1">
      <c r="A1502" s="109"/>
    </row>
    <row r="1503" spans="1:1">
      <c r="A1503" s="109"/>
    </row>
    <row r="1504" spans="1:1">
      <c r="A1504" s="109"/>
    </row>
    <row r="1505" spans="1:1">
      <c r="A1505" s="109"/>
    </row>
    <row r="1506" spans="1:1">
      <c r="A1506" s="109"/>
    </row>
    <row r="1507" spans="1:1">
      <c r="A1507" s="109"/>
    </row>
    <row r="1508" spans="1:1">
      <c r="A1508" s="109"/>
    </row>
    <row r="1509" spans="1:1">
      <c r="A1509" s="109"/>
    </row>
    <row r="1510" spans="1:1">
      <c r="A1510" s="109"/>
    </row>
    <row r="1511" spans="1:1">
      <c r="A1511" s="109"/>
    </row>
    <row r="1512" spans="1:1">
      <c r="A1512" s="109"/>
    </row>
    <row r="1513" spans="1:1">
      <c r="A1513" s="109"/>
    </row>
    <row r="1514" spans="1:1">
      <c r="A1514" s="109"/>
    </row>
    <row r="1515" spans="1:1">
      <c r="A1515" s="109"/>
    </row>
    <row r="1516" spans="1:1">
      <c r="A1516" s="109"/>
    </row>
    <row r="1517" spans="1:1">
      <c r="A1517" s="109"/>
    </row>
    <row r="1518" spans="1:1">
      <c r="A1518" s="109"/>
    </row>
    <row r="1519" spans="1:1">
      <c r="A1519" s="109"/>
    </row>
    <row r="1520" spans="1:1">
      <c r="A1520" s="109"/>
    </row>
    <row r="1521" spans="1:1">
      <c r="A1521" s="109"/>
    </row>
    <row r="1522" spans="1:1">
      <c r="A1522" s="109"/>
    </row>
    <row r="1523" spans="1:1">
      <c r="A1523" s="109"/>
    </row>
    <row r="1524" spans="1:1">
      <c r="A1524" s="109"/>
    </row>
    <row r="1525" spans="1:1">
      <c r="A1525" s="109"/>
    </row>
    <row r="1526" spans="1:1">
      <c r="A1526" s="109"/>
    </row>
    <row r="1527" spans="1:1">
      <c r="A1527" s="109"/>
    </row>
    <row r="1528" spans="1:1">
      <c r="A1528" s="109"/>
    </row>
    <row r="1529" spans="1:1">
      <c r="A1529" s="109"/>
    </row>
    <row r="1530" spans="1:1">
      <c r="A1530" s="109"/>
    </row>
    <row r="1531" spans="1:1">
      <c r="A1531" s="109"/>
    </row>
    <row r="1532" spans="1:1">
      <c r="A1532" s="109"/>
    </row>
    <row r="1533" spans="1:1">
      <c r="A1533" s="109"/>
    </row>
    <row r="1534" spans="1:1">
      <c r="A1534" s="109"/>
    </row>
    <row r="1535" spans="1:1">
      <c r="A1535" s="109"/>
    </row>
    <row r="1536" spans="1:1">
      <c r="A1536" s="109"/>
    </row>
    <row r="1537" spans="1:1">
      <c r="A1537" s="109"/>
    </row>
    <row r="1538" spans="1:1">
      <c r="A1538" s="109"/>
    </row>
    <row r="1539" spans="1:1">
      <c r="A1539" s="109"/>
    </row>
    <row r="1540" spans="1:1">
      <c r="A1540" s="109"/>
    </row>
    <row r="1541" spans="1:1">
      <c r="A1541" s="109"/>
    </row>
    <row r="1542" spans="1:1">
      <c r="A1542" s="109"/>
    </row>
    <row r="1543" spans="1:1">
      <c r="A1543" s="109"/>
    </row>
    <row r="1544" spans="1:1">
      <c r="A1544" s="109"/>
    </row>
    <row r="1545" spans="1:1">
      <c r="A1545" s="109"/>
    </row>
    <row r="1546" spans="1:1">
      <c r="A1546" s="109"/>
    </row>
    <row r="1547" spans="1:1">
      <c r="A1547" s="109"/>
    </row>
    <row r="1548" spans="1:1">
      <c r="A1548" s="109"/>
    </row>
    <row r="1549" spans="1:1">
      <c r="A1549" s="109"/>
    </row>
    <row r="1550" spans="1:1">
      <c r="A1550" s="109"/>
    </row>
    <row r="1551" spans="1:1">
      <c r="A1551" s="109"/>
    </row>
    <row r="1552" spans="1:1">
      <c r="A1552" s="109"/>
    </row>
    <row r="1553" spans="1:1">
      <c r="A1553" s="109"/>
    </row>
    <row r="1554" spans="1:1">
      <c r="A1554" s="109"/>
    </row>
    <row r="1555" spans="1:1">
      <c r="A1555" s="109"/>
    </row>
    <row r="1556" spans="1:1">
      <c r="A1556" s="109"/>
    </row>
    <row r="1557" spans="1:1">
      <c r="A1557" s="109"/>
    </row>
    <row r="1558" spans="1:1">
      <c r="A1558" s="109"/>
    </row>
    <row r="1559" spans="1:1">
      <c r="A1559" s="109"/>
    </row>
    <row r="1560" spans="1:1">
      <c r="A1560" s="109"/>
    </row>
    <row r="1561" spans="1:1">
      <c r="A1561" s="109"/>
    </row>
    <row r="1562" spans="1:1">
      <c r="A1562" s="109"/>
    </row>
    <row r="1563" spans="1:1">
      <c r="A1563" s="109"/>
    </row>
    <row r="1564" spans="1:1">
      <c r="A1564" s="109"/>
    </row>
    <row r="1565" spans="1:1">
      <c r="A1565" s="109"/>
    </row>
    <row r="1566" spans="1:1">
      <c r="A1566" s="109"/>
    </row>
    <row r="1567" spans="1:1">
      <c r="A1567" s="109"/>
    </row>
    <row r="1568" spans="1:1">
      <c r="A1568" s="109"/>
    </row>
    <row r="1569" spans="1:1">
      <c r="A1569" s="109"/>
    </row>
    <row r="1570" spans="1:1">
      <c r="A1570" s="109"/>
    </row>
    <row r="1571" spans="1:1">
      <c r="A1571" s="109"/>
    </row>
    <row r="1572" spans="1:1">
      <c r="A1572" s="109"/>
    </row>
    <row r="1573" spans="1:1">
      <c r="A1573" s="109"/>
    </row>
    <row r="1574" spans="1:1">
      <c r="A1574" s="109"/>
    </row>
    <row r="1575" spans="1:1">
      <c r="A1575" s="109"/>
    </row>
    <row r="1576" spans="1:1">
      <c r="A1576" s="109"/>
    </row>
    <row r="1577" spans="1:1">
      <c r="A1577" s="109"/>
    </row>
    <row r="1578" spans="1:1">
      <c r="A1578" s="109"/>
    </row>
    <row r="1579" spans="1:1">
      <c r="A1579" s="109"/>
    </row>
    <row r="1580" spans="1:1">
      <c r="A1580" s="109"/>
    </row>
    <row r="1581" spans="1:1">
      <c r="A1581" s="109"/>
    </row>
    <row r="1582" spans="1:1">
      <c r="A1582" s="109"/>
    </row>
    <row r="1583" spans="1:1">
      <c r="A1583" s="109"/>
    </row>
    <row r="1584" spans="1:1">
      <c r="A1584" s="109"/>
    </row>
    <row r="1585" spans="1:1">
      <c r="A1585" s="109"/>
    </row>
    <row r="1586" spans="1:1">
      <c r="A1586" s="109"/>
    </row>
    <row r="1587" spans="1:1">
      <c r="A1587" s="109"/>
    </row>
    <row r="1588" spans="1:1">
      <c r="A1588" s="109"/>
    </row>
    <row r="1589" spans="1:1">
      <c r="A1589" s="109"/>
    </row>
    <row r="1590" spans="1:1">
      <c r="A1590" s="109"/>
    </row>
    <row r="1591" spans="1:1">
      <c r="A1591" s="109"/>
    </row>
    <row r="1592" spans="1:1">
      <c r="A1592" s="109"/>
    </row>
    <row r="1593" spans="1:1">
      <c r="A1593" s="109"/>
    </row>
    <row r="1594" spans="1:1">
      <c r="A1594" s="109"/>
    </row>
    <row r="1595" spans="1:1">
      <c r="A1595" s="109"/>
    </row>
    <row r="1596" spans="1:1">
      <c r="A1596" s="109"/>
    </row>
    <row r="1597" spans="1:1">
      <c r="A1597" s="109"/>
    </row>
    <row r="1598" spans="1:1">
      <c r="A1598" s="109"/>
    </row>
    <row r="1599" spans="1:1">
      <c r="A1599" s="109"/>
    </row>
    <row r="1600" spans="1:1">
      <c r="A1600" s="109"/>
    </row>
    <row r="1601" spans="1:1">
      <c r="A1601" s="109"/>
    </row>
    <row r="1602" spans="1:1">
      <c r="A1602" s="109"/>
    </row>
    <row r="1603" spans="1:1">
      <c r="A1603" s="109"/>
    </row>
    <row r="1604" spans="1:1">
      <c r="A1604" s="109"/>
    </row>
    <row r="1605" spans="1:1">
      <c r="A1605" s="109"/>
    </row>
    <row r="1606" spans="1:1">
      <c r="A1606" s="109"/>
    </row>
    <row r="1607" spans="1:1">
      <c r="A1607" s="109"/>
    </row>
    <row r="1608" spans="1:1">
      <c r="A1608" s="109"/>
    </row>
    <row r="1609" spans="1:1">
      <c r="A1609" s="109"/>
    </row>
    <row r="1610" spans="1:1">
      <c r="A1610" s="109"/>
    </row>
    <row r="1611" spans="1:1">
      <c r="A1611" s="109"/>
    </row>
    <row r="1612" spans="1:1">
      <c r="A1612" s="109"/>
    </row>
    <row r="1613" spans="1:1">
      <c r="A1613" s="109"/>
    </row>
    <row r="1614" spans="1:1">
      <c r="A1614" s="109"/>
    </row>
    <row r="1615" spans="1:1">
      <c r="A1615" s="109"/>
    </row>
    <row r="1616" spans="1:1">
      <c r="A1616" s="109"/>
    </row>
    <row r="1617" spans="1:1">
      <c r="A1617" s="109"/>
    </row>
    <row r="1618" spans="1:1">
      <c r="A1618" s="109"/>
    </row>
    <row r="1619" spans="1:1">
      <c r="A1619" s="109"/>
    </row>
    <row r="1620" spans="1:1">
      <c r="A1620" s="109"/>
    </row>
    <row r="1621" spans="1:1">
      <c r="A1621" s="109"/>
    </row>
    <row r="1622" spans="1:1">
      <c r="A1622" s="109"/>
    </row>
    <row r="1623" spans="1:1">
      <c r="A1623" s="109"/>
    </row>
    <row r="1624" spans="1:1">
      <c r="A1624" s="109"/>
    </row>
    <row r="1625" spans="1:1">
      <c r="A1625" s="109"/>
    </row>
    <row r="1626" spans="1:1">
      <c r="A1626" s="109"/>
    </row>
    <row r="1627" spans="1:1">
      <c r="A1627" s="109"/>
    </row>
    <row r="1628" spans="1:1">
      <c r="A1628" s="109"/>
    </row>
    <row r="1629" spans="1:1">
      <c r="A1629" s="109"/>
    </row>
    <row r="1630" spans="1:1">
      <c r="A1630" s="109"/>
    </row>
    <row r="1631" spans="1:1">
      <c r="A1631" s="109"/>
    </row>
    <row r="1632" spans="1:1">
      <c r="A1632" s="109"/>
    </row>
    <row r="1633" spans="1:1">
      <c r="A1633" s="109"/>
    </row>
    <row r="1634" spans="1:1">
      <c r="A1634" s="109"/>
    </row>
    <row r="1635" spans="1:1">
      <c r="A1635" s="109"/>
    </row>
    <row r="1636" spans="1:1">
      <c r="A1636" s="109"/>
    </row>
    <row r="1637" spans="1:1">
      <c r="A1637" s="109"/>
    </row>
    <row r="1638" spans="1:1">
      <c r="A1638" s="109"/>
    </row>
    <row r="1639" spans="1:1">
      <c r="A1639" s="109"/>
    </row>
    <row r="1640" spans="1:1">
      <c r="A1640" s="109"/>
    </row>
    <row r="1641" spans="1:1">
      <c r="A1641" s="109"/>
    </row>
    <row r="1642" spans="1:1">
      <c r="A1642" s="109"/>
    </row>
    <row r="1643" spans="1:1">
      <c r="A1643" s="109"/>
    </row>
    <row r="1644" spans="1:1">
      <c r="A1644" s="109"/>
    </row>
    <row r="1645" spans="1:1">
      <c r="A1645" s="109"/>
    </row>
    <row r="1646" spans="1:1">
      <c r="A1646" s="109"/>
    </row>
    <row r="1647" spans="1:1">
      <c r="A1647" s="109"/>
    </row>
    <row r="1648" spans="1:1">
      <c r="A1648" s="109"/>
    </row>
    <row r="1649" spans="1:1">
      <c r="A1649" s="109"/>
    </row>
    <row r="1650" spans="1:1">
      <c r="A1650" s="109"/>
    </row>
    <row r="1651" spans="1:1">
      <c r="A1651" s="109"/>
    </row>
    <row r="1652" spans="1:1">
      <c r="A1652" s="109"/>
    </row>
    <row r="1653" spans="1:1">
      <c r="A1653" s="109"/>
    </row>
    <row r="1654" spans="1:1">
      <c r="A1654" s="109"/>
    </row>
    <row r="1655" spans="1:1">
      <c r="A1655" s="109"/>
    </row>
    <row r="1656" spans="1:1">
      <c r="A1656" s="109"/>
    </row>
    <row r="1657" spans="1:1">
      <c r="A1657" s="109"/>
    </row>
    <row r="1658" spans="1:1">
      <c r="A1658" s="109"/>
    </row>
    <row r="1659" spans="1:1">
      <c r="A1659" s="109"/>
    </row>
    <row r="1660" spans="1:1">
      <c r="A1660" s="109"/>
    </row>
    <row r="1661" spans="1:1">
      <c r="A1661" s="109"/>
    </row>
    <row r="1662" spans="1:1">
      <c r="A1662" s="109"/>
    </row>
    <row r="1663" spans="1:1">
      <c r="A1663" s="109"/>
    </row>
    <row r="1664" spans="1:1">
      <c r="A1664" s="109"/>
    </row>
    <row r="1665" spans="1:1">
      <c r="A1665" s="109"/>
    </row>
    <row r="1666" spans="1:1">
      <c r="A1666" s="109"/>
    </row>
    <row r="1667" spans="1:1">
      <c r="A1667" s="109"/>
    </row>
    <row r="1668" spans="1:1">
      <c r="A1668" s="109"/>
    </row>
    <row r="1669" spans="1:1">
      <c r="A1669" s="109"/>
    </row>
    <row r="1670" spans="1:1">
      <c r="A1670" s="109"/>
    </row>
    <row r="1671" spans="1:1">
      <c r="A1671" s="109"/>
    </row>
    <row r="1672" spans="1:1">
      <c r="A1672" s="109"/>
    </row>
    <row r="1673" spans="1:1">
      <c r="A1673" s="109"/>
    </row>
    <row r="1674" spans="1:1">
      <c r="A1674" s="109"/>
    </row>
    <row r="1675" spans="1:1">
      <c r="A1675" s="109"/>
    </row>
    <row r="1676" spans="1:1">
      <c r="A1676" s="109"/>
    </row>
    <row r="1677" spans="1:1">
      <c r="A1677" s="109"/>
    </row>
    <row r="1678" spans="1:1">
      <c r="A1678" s="109"/>
    </row>
    <row r="1679" spans="1:1">
      <c r="A1679" s="109"/>
    </row>
    <row r="1680" spans="1:1">
      <c r="A1680" s="109"/>
    </row>
    <row r="1681" spans="1:1">
      <c r="A1681" s="109"/>
    </row>
    <row r="1682" spans="1:1">
      <c r="A1682" s="109"/>
    </row>
    <row r="1683" spans="1:1">
      <c r="A1683" s="109"/>
    </row>
    <row r="1684" spans="1:1">
      <c r="A1684" s="109"/>
    </row>
    <row r="1685" spans="1:1">
      <c r="A1685" s="109"/>
    </row>
    <row r="1686" spans="1:1">
      <c r="A1686" s="109"/>
    </row>
    <row r="1687" spans="1:1">
      <c r="A1687" s="109"/>
    </row>
    <row r="1688" spans="1:1">
      <c r="A1688" s="109"/>
    </row>
    <row r="1689" spans="1:1">
      <c r="A1689" s="109"/>
    </row>
    <row r="1690" spans="1:1">
      <c r="A1690" s="109"/>
    </row>
    <row r="1691" spans="1:1">
      <c r="A1691" s="109"/>
    </row>
    <row r="1692" spans="1:1">
      <c r="A1692" s="109"/>
    </row>
    <row r="1693" spans="1:1">
      <c r="A1693" s="109"/>
    </row>
    <row r="1694" spans="1:1">
      <c r="A1694" s="109"/>
    </row>
    <row r="1695" spans="1:1">
      <c r="A1695" s="109"/>
    </row>
    <row r="1696" spans="1:1">
      <c r="A1696" s="109"/>
    </row>
    <row r="1697" spans="1:1">
      <c r="A1697" s="109"/>
    </row>
    <row r="1698" spans="1:1">
      <c r="A1698" s="109"/>
    </row>
    <row r="1699" spans="1:1">
      <c r="A1699" s="109"/>
    </row>
    <row r="1700" spans="1:1">
      <c r="A1700" s="109"/>
    </row>
    <row r="1701" spans="1:1">
      <c r="A1701" s="109"/>
    </row>
    <row r="1702" spans="1:1">
      <c r="A1702" s="109"/>
    </row>
    <row r="1703" spans="1:1">
      <c r="A1703" s="109"/>
    </row>
    <row r="1704" spans="1:1">
      <c r="A1704" s="109"/>
    </row>
    <row r="1705" spans="1:1">
      <c r="A1705" s="109"/>
    </row>
    <row r="1706" spans="1:1">
      <c r="A1706" s="109"/>
    </row>
    <row r="1707" spans="1:1">
      <c r="A1707" s="109"/>
    </row>
    <row r="1708" spans="1:1">
      <c r="A1708" s="109"/>
    </row>
    <row r="1709" spans="1:1">
      <c r="A1709" s="109"/>
    </row>
    <row r="1710" spans="1:1">
      <c r="A1710" s="109"/>
    </row>
    <row r="1711" spans="1:1">
      <c r="A1711" s="109"/>
    </row>
    <row r="1712" spans="1:1">
      <c r="A1712" s="109"/>
    </row>
    <row r="1713" spans="1:1">
      <c r="A1713" s="109"/>
    </row>
    <row r="1714" spans="1:1">
      <c r="A1714" s="109"/>
    </row>
    <row r="1715" spans="1:1">
      <c r="A1715" s="109"/>
    </row>
    <row r="1716" spans="1:1">
      <c r="A1716" s="109"/>
    </row>
    <row r="1717" spans="1:1">
      <c r="A1717" s="109"/>
    </row>
    <row r="1718" spans="1:1">
      <c r="A1718" s="109"/>
    </row>
    <row r="1719" spans="1:1">
      <c r="A1719" s="109"/>
    </row>
    <row r="1720" spans="1:1">
      <c r="A1720" s="109"/>
    </row>
    <row r="1721" spans="1:1">
      <c r="A1721" s="109"/>
    </row>
    <row r="1722" spans="1:1">
      <c r="A1722" s="109"/>
    </row>
    <row r="1723" spans="1:1">
      <c r="A1723" s="109"/>
    </row>
    <row r="1724" spans="1:1">
      <c r="A1724" s="109"/>
    </row>
    <row r="1725" spans="1:1">
      <c r="A1725" s="109"/>
    </row>
    <row r="1726" spans="1:1">
      <c r="A1726" s="109"/>
    </row>
    <row r="1727" spans="1:1">
      <c r="A1727" s="109"/>
    </row>
    <row r="1728" spans="1:1">
      <c r="A1728" s="109"/>
    </row>
    <row r="1729" spans="1:1">
      <c r="A1729" s="109"/>
    </row>
    <row r="1730" spans="1:1">
      <c r="A1730" s="109"/>
    </row>
    <row r="1731" spans="1:1">
      <c r="A1731" s="109"/>
    </row>
    <row r="1732" spans="1:1">
      <c r="A1732" s="109"/>
    </row>
    <row r="1733" spans="1:1">
      <c r="A1733" s="109"/>
    </row>
    <row r="1734" spans="1:1">
      <c r="A1734" s="109"/>
    </row>
    <row r="1735" spans="1:1">
      <c r="A1735" s="109"/>
    </row>
    <row r="1736" spans="1:1">
      <c r="A1736" s="109"/>
    </row>
    <row r="1737" spans="1:1">
      <c r="A1737" s="109"/>
    </row>
    <row r="1738" spans="1:1">
      <c r="A1738" s="109"/>
    </row>
    <row r="1739" spans="1:1">
      <c r="A1739" s="109"/>
    </row>
    <row r="1740" spans="1:1">
      <c r="A1740" s="109"/>
    </row>
    <row r="1741" spans="1:1">
      <c r="A1741" s="109"/>
    </row>
    <row r="1742" spans="1:1">
      <c r="A1742" s="109"/>
    </row>
    <row r="1743" spans="1:1">
      <c r="A1743" s="109"/>
    </row>
    <row r="1744" spans="1:1">
      <c r="A1744" s="109"/>
    </row>
    <row r="1745" spans="1:1">
      <c r="A1745" s="109"/>
    </row>
    <row r="1746" spans="1:1">
      <c r="A1746" s="109"/>
    </row>
    <row r="1747" spans="1:1">
      <c r="A1747" s="109"/>
    </row>
    <row r="1748" spans="1:1">
      <c r="A1748" s="109"/>
    </row>
    <row r="1749" spans="1:1">
      <c r="A1749" s="109"/>
    </row>
    <row r="1750" spans="1:1">
      <c r="A1750" s="109"/>
    </row>
    <row r="1751" spans="1:1">
      <c r="A1751" s="109"/>
    </row>
    <row r="1752" spans="1:1">
      <c r="A1752" s="109"/>
    </row>
    <row r="1753" spans="1:1">
      <c r="A1753" s="109"/>
    </row>
    <row r="1754" spans="1:1">
      <c r="A1754" s="109"/>
    </row>
    <row r="1755" spans="1:1">
      <c r="A1755" s="109"/>
    </row>
    <row r="1756" spans="1:1">
      <c r="A1756" s="109"/>
    </row>
    <row r="1757" spans="1:1">
      <c r="A1757" s="109"/>
    </row>
    <row r="1758" spans="1:1">
      <c r="A1758" s="109"/>
    </row>
    <row r="1759" spans="1:1">
      <c r="A1759" s="109"/>
    </row>
    <row r="1760" spans="1:1">
      <c r="A1760" s="109"/>
    </row>
    <row r="1761" spans="1:1">
      <c r="A1761" s="109"/>
    </row>
    <row r="1762" spans="1:1">
      <c r="A1762" s="109"/>
    </row>
    <row r="1763" spans="1:1">
      <c r="A1763" s="109"/>
    </row>
    <row r="1764" spans="1:1">
      <c r="A1764" s="109"/>
    </row>
    <row r="1765" spans="1:1">
      <c r="A1765" s="109"/>
    </row>
    <row r="1766" spans="1:1">
      <c r="A1766" s="109"/>
    </row>
    <row r="1767" spans="1:1">
      <c r="A1767" s="109"/>
    </row>
    <row r="1768" spans="1:1">
      <c r="A1768" s="109"/>
    </row>
    <row r="1769" spans="1:1">
      <c r="A1769" s="109"/>
    </row>
    <row r="1770" spans="1:1">
      <c r="A1770" s="109"/>
    </row>
    <row r="1771" spans="1:1">
      <c r="A1771" s="109"/>
    </row>
    <row r="1772" spans="1:1">
      <c r="A1772" s="109"/>
    </row>
    <row r="1773" spans="1:1">
      <c r="A1773" s="109"/>
    </row>
    <row r="1774" spans="1:1">
      <c r="A1774" s="109"/>
    </row>
    <row r="1775" spans="1:1">
      <c r="A1775" s="109"/>
    </row>
    <row r="1776" spans="1:1">
      <c r="A1776" s="109"/>
    </row>
    <row r="1777" spans="1:1">
      <c r="A1777" s="109"/>
    </row>
    <row r="1778" spans="1:1">
      <c r="A1778" s="109"/>
    </row>
    <row r="1779" spans="1:1">
      <c r="A1779" s="109"/>
    </row>
    <row r="1780" spans="1:1">
      <c r="A1780" s="109"/>
    </row>
    <row r="1781" spans="1:1">
      <c r="A1781" s="109"/>
    </row>
    <row r="1782" spans="1:1">
      <c r="A1782" s="109"/>
    </row>
    <row r="1783" spans="1:1">
      <c r="A1783" s="109"/>
    </row>
    <row r="1784" spans="1:1">
      <c r="A1784" s="109"/>
    </row>
    <row r="1785" spans="1:1">
      <c r="A1785" s="109"/>
    </row>
    <row r="1786" spans="1:1">
      <c r="A1786" s="109"/>
    </row>
    <row r="1787" spans="1:1">
      <c r="A1787" s="109"/>
    </row>
    <row r="1788" spans="1:1">
      <c r="A1788" s="109"/>
    </row>
    <row r="1789" spans="1:1">
      <c r="A1789" s="109"/>
    </row>
    <row r="1790" spans="1:1">
      <c r="A1790" s="109"/>
    </row>
    <row r="1791" spans="1:1">
      <c r="A1791" s="109"/>
    </row>
    <row r="1792" spans="1:1">
      <c r="A1792" s="109"/>
    </row>
    <row r="1793" spans="1:1">
      <c r="A1793" s="109"/>
    </row>
    <row r="1794" spans="1:1">
      <c r="A1794" s="109"/>
    </row>
    <row r="1795" spans="1:1">
      <c r="A1795" s="109"/>
    </row>
    <row r="1796" spans="1:1">
      <c r="A1796" s="109"/>
    </row>
    <row r="1797" spans="1:1">
      <c r="A1797" s="109"/>
    </row>
    <row r="1798" spans="1:1">
      <c r="A1798" s="109"/>
    </row>
    <row r="1799" spans="1:1">
      <c r="A1799" s="109"/>
    </row>
    <row r="1800" spans="1:1">
      <c r="A1800" s="109"/>
    </row>
    <row r="1801" spans="1:1">
      <c r="A1801" s="109"/>
    </row>
    <row r="1802" spans="1:1">
      <c r="A1802" s="109"/>
    </row>
    <row r="1803" spans="1:1">
      <c r="A1803" s="109"/>
    </row>
    <row r="1804" spans="1:1">
      <c r="A1804" s="109"/>
    </row>
    <row r="1805" spans="1:1">
      <c r="A1805" s="109"/>
    </row>
    <row r="1806" spans="1:1">
      <c r="A1806" s="109"/>
    </row>
    <row r="1807" spans="1:1">
      <c r="A1807" s="109"/>
    </row>
    <row r="1808" spans="1:1">
      <c r="A1808" s="109"/>
    </row>
    <row r="1809" spans="1:1">
      <c r="A1809" s="109"/>
    </row>
    <row r="1810" spans="1:1">
      <c r="A1810" s="109"/>
    </row>
    <row r="1811" spans="1:1">
      <c r="A1811" s="109"/>
    </row>
    <row r="1812" spans="1:1">
      <c r="A1812" s="109"/>
    </row>
    <row r="1813" spans="1:1">
      <c r="A1813" s="109"/>
    </row>
    <row r="1814" spans="1:1">
      <c r="A1814" s="109"/>
    </row>
    <row r="1815" spans="1:1">
      <c r="A1815" s="109"/>
    </row>
    <row r="1816" spans="1:1">
      <c r="A1816" s="109"/>
    </row>
    <row r="1817" spans="1:1">
      <c r="A1817" s="109"/>
    </row>
    <row r="1818" spans="1:1">
      <c r="A1818" s="109"/>
    </row>
    <row r="1819" spans="1:1">
      <c r="A1819" s="109"/>
    </row>
    <row r="1820" spans="1:1">
      <c r="A1820" s="109"/>
    </row>
    <row r="1821" spans="1:1">
      <c r="A1821" s="109"/>
    </row>
    <row r="1822" spans="1:1">
      <c r="A1822" s="109"/>
    </row>
    <row r="1823" spans="1:1">
      <c r="A1823" s="109"/>
    </row>
    <row r="1824" spans="1:1">
      <c r="A1824" s="109"/>
    </row>
    <row r="1825" spans="1:1">
      <c r="A1825" s="109"/>
    </row>
    <row r="1826" spans="1:1">
      <c r="A1826" s="109"/>
    </row>
    <row r="1827" spans="1:1">
      <c r="A1827" s="109"/>
    </row>
    <row r="1828" spans="1:1">
      <c r="A1828" s="109"/>
    </row>
    <row r="1829" spans="1:1">
      <c r="A1829" s="109"/>
    </row>
    <row r="1830" spans="1:1">
      <c r="A1830" s="109"/>
    </row>
    <row r="1831" spans="1:1">
      <c r="A1831" s="109"/>
    </row>
    <row r="1832" spans="1:1">
      <c r="A1832" s="109"/>
    </row>
    <row r="1833" spans="1:1">
      <c r="A1833" s="109"/>
    </row>
    <row r="1834" spans="1:1">
      <c r="A1834" s="109"/>
    </row>
    <row r="1835" spans="1:1">
      <c r="A1835" s="109"/>
    </row>
    <row r="1836" spans="1:1">
      <c r="A1836" s="109"/>
    </row>
    <row r="1837" spans="1:1">
      <c r="A1837" s="109"/>
    </row>
    <row r="1838" spans="1:1">
      <c r="A1838" s="109"/>
    </row>
    <row r="1839" spans="1:1">
      <c r="A1839" s="109"/>
    </row>
    <row r="1840" spans="1:1">
      <c r="A1840" s="109"/>
    </row>
    <row r="1841" spans="1:1">
      <c r="A1841" s="109"/>
    </row>
    <row r="1842" spans="1:1">
      <c r="A1842" s="109"/>
    </row>
    <row r="1843" spans="1:1">
      <c r="A1843" s="109"/>
    </row>
    <row r="1844" spans="1:1">
      <c r="A1844" s="109"/>
    </row>
    <row r="1845" spans="1:1">
      <c r="A1845" s="109"/>
    </row>
    <row r="1846" spans="1:1">
      <c r="A1846" s="109"/>
    </row>
    <row r="1847" spans="1:1">
      <c r="A1847" s="109"/>
    </row>
    <row r="1848" spans="1:1">
      <c r="A1848" s="109"/>
    </row>
    <row r="1849" spans="1:1">
      <c r="A1849" s="109"/>
    </row>
    <row r="1850" spans="1:1">
      <c r="A1850" s="109"/>
    </row>
    <row r="1851" spans="1:1">
      <c r="A1851" s="109"/>
    </row>
    <row r="1852" spans="1:1">
      <c r="A1852" s="109"/>
    </row>
    <row r="1853" spans="1:1">
      <c r="A1853" s="109"/>
    </row>
    <row r="1854" spans="1:1">
      <c r="A1854" s="109"/>
    </row>
    <row r="1855" spans="1:1">
      <c r="A1855" s="109"/>
    </row>
    <row r="1856" spans="1:1">
      <c r="A1856" s="109"/>
    </row>
    <row r="1857" spans="1:1">
      <c r="A1857" s="109"/>
    </row>
    <row r="1858" spans="1:1">
      <c r="A1858" s="109"/>
    </row>
    <row r="1859" spans="1:1">
      <c r="A1859" s="109"/>
    </row>
    <row r="1860" spans="1:1">
      <c r="A1860" s="109"/>
    </row>
    <row r="1861" spans="1:1">
      <c r="A1861" s="109"/>
    </row>
    <row r="1862" spans="1:1">
      <c r="A1862" s="109"/>
    </row>
    <row r="1863" spans="1:1">
      <c r="A1863" s="109"/>
    </row>
    <row r="1864" spans="1:1">
      <c r="A1864" s="109"/>
    </row>
    <row r="1865" spans="1:1">
      <c r="A1865" s="109"/>
    </row>
    <row r="1866" spans="1:1">
      <c r="A1866" s="109"/>
    </row>
    <row r="1867" spans="1:1">
      <c r="A1867" s="109"/>
    </row>
    <row r="1868" spans="1:1">
      <c r="A1868" s="109"/>
    </row>
    <row r="1869" spans="1:1">
      <c r="A1869" s="109"/>
    </row>
    <row r="1870" spans="1:1">
      <c r="A1870" s="109"/>
    </row>
    <row r="1871" spans="1:1">
      <c r="A1871" s="109"/>
    </row>
    <row r="1872" spans="1:1">
      <c r="A1872" s="109"/>
    </row>
    <row r="1873" spans="1:1">
      <c r="A1873" s="109"/>
    </row>
    <row r="1874" spans="1:1">
      <c r="A1874" s="109"/>
    </row>
    <row r="1875" spans="1:1">
      <c r="A1875" s="109"/>
    </row>
    <row r="1876" spans="1:1">
      <c r="A1876" s="109"/>
    </row>
    <row r="1877" spans="1:1">
      <c r="A1877" s="109"/>
    </row>
    <row r="1878" spans="1:1">
      <c r="A1878" s="109"/>
    </row>
    <row r="1879" spans="1:1">
      <c r="A1879" s="109"/>
    </row>
    <row r="1880" spans="1:1">
      <c r="A1880" s="109"/>
    </row>
    <row r="1881" spans="1:1">
      <c r="A1881" s="109"/>
    </row>
    <row r="1882" spans="1:1">
      <c r="A1882" s="109"/>
    </row>
    <row r="1883" spans="1:1">
      <c r="A1883" s="109"/>
    </row>
    <row r="1884" spans="1:1">
      <c r="A1884" s="109"/>
    </row>
    <row r="1885" spans="1:1">
      <c r="A1885" s="109"/>
    </row>
    <row r="1886" spans="1:1">
      <c r="A1886" s="109"/>
    </row>
    <row r="1887" spans="1:1">
      <c r="A1887" s="109"/>
    </row>
    <row r="1888" spans="1:1">
      <c r="A1888" s="109"/>
    </row>
    <row r="1889" spans="1:1">
      <c r="A1889" s="109"/>
    </row>
    <row r="1890" spans="1:1">
      <c r="A1890" s="109"/>
    </row>
    <row r="1891" spans="1:1">
      <c r="A1891" s="109"/>
    </row>
    <row r="1892" spans="1:1">
      <c r="A1892" s="109"/>
    </row>
    <row r="1893" spans="1:1">
      <c r="A1893" s="109"/>
    </row>
    <row r="1894" spans="1:1">
      <c r="A1894" s="109"/>
    </row>
    <row r="1895" spans="1:1">
      <c r="A1895" s="109"/>
    </row>
    <row r="1896" spans="1:1">
      <c r="A1896" s="109"/>
    </row>
    <row r="1897" spans="1:1">
      <c r="A1897" s="109"/>
    </row>
    <row r="1898" spans="1:1">
      <c r="A1898" s="109"/>
    </row>
    <row r="1899" spans="1:1">
      <c r="A1899" s="109"/>
    </row>
    <row r="1900" spans="1:1">
      <c r="A1900" s="109"/>
    </row>
    <row r="1901" spans="1:1">
      <c r="A1901" s="109"/>
    </row>
    <row r="1902" spans="1:1">
      <c r="A1902" s="109"/>
    </row>
    <row r="1903" spans="1:1">
      <c r="A1903" s="109"/>
    </row>
    <row r="1904" spans="1:1">
      <c r="A1904" s="109"/>
    </row>
    <row r="1905" spans="1:1">
      <c r="A1905" s="109"/>
    </row>
    <row r="1906" spans="1:1">
      <c r="A1906" s="109"/>
    </row>
    <row r="1907" spans="1:1">
      <c r="A1907" s="109"/>
    </row>
    <row r="1908" spans="1:1">
      <c r="A1908" s="109"/>
    </row>
    <row r="1909" spans="1:1">
      <c r="A1909" s="109"/>
    </row>
    <row r="1910" spans="1:1">
      <c r="A1910" s="109"/>
    </row>
    <row r="1911" spans="1:1">
      <c r="A1911" s="109"/>
    </row>
    <row r="1912" spans="1:1">
      <c r="A1912" s="109"/>
    </row>
    <row r="1913" spans="1:1">
      <c r="A1913" s="109"/>
    </row>
    <row r="1914" spans="1:1">
      <c r="A1914" s="109"/>
    </row>
    <row r="1915" spans="1:1">
      <c r="A1915" s="109"/>
    </row>
    <row r="1916" spans="1:1">
      <c r="A1916" s="109"/>
    </row>
    <row r="1917" spans="1:1">
      <c r="A1917" s="109"/>
    </row>
    <row r="1918" spans="1:1">
      <c r="A1918" s="109"/>
    </row>
    <row r="1919" spans="1:1">
      <c r="A1919" s="109"/>
    </row>
    <row r="1920" spans="1:1">
      <c r="A1920" s="109"/>
    </row>
    <row r="1921" spans="1:1">
      <c r="A1921" s="109"/>
    </row>
    <row r="1922" spans="1:1">
      <c r="A1922" s="109"/>
    </row>
    <row r="1923" spans="1:1">
      <c r="A1923" s="109"/>
    </row>
    <row r="1924" spans="1:1">
      <c r="A1924" s="109"/>
    </row>
    <row r="1925" spans="1:1">
      <c r="A1925" s="109"/>
    </row>
    <row r="1926" spans="1:1">
      <c r="A1926" s="109"/>
    </row>
    <row r="1927" spans="1:1">
      <c r="A1927" s="109"/>
    </row>
    <row r="1928" spans="1:1">
      <c r="A1928" s="109"/>
    </row>
    <row r="1929" spans="1:1">
      <c r="A1929" s="109"/>
    </row>
    <row r="1930" spans="1:1">
      <c r="A1930" s="109"/>
    </row>
    <row r="1931" spans="1:1">
      <c r="A1931" s="109"/>
    </row>
    <row r="1932" spans="1:1">
      <c r="A1932" s="109"/>
    </row>
    <row r="1933" spans="1:1">
      <c r="A1933" s="109"/>
    </row>
    <row r="1934" spans="1:1">
      <c r="A1934" s="109"/>
    </row>
    <row r="1935" spans="1:1">
      <c r="A1935" s="109"/>
    </row>
    <row r="1936" spans="1:1">
      <c r="A1936" s="109"/>
    </row>
    <row r="1937" spans="1:1">
      <c r="A1937" s="109"/>
    </row>
    <row r="1938" spans="1:1">
      <c r="A1938" s="109"/>
    </row>
    <row r="1939" spans="1:1">
      <c r="A1939" s="109"/>
    </row>
    <row r="1940" spans="1:1">
      <c r="A1940" s="109"/>
    </row>
    <row r="1941" spans="1:1">
      <c r="A1941" s="109"/>
    </row>
    <row r="1942" spans="1:1">
      <c r="A1942" s="109"/>
    </row>
    <row r="1943" spans="1:1">
      <c r="A1943" s="109"/>
    </row>
    <row r="1944" spans="1:1">
      <c r="A1944" s="109"/>
    </row>
    <row r="1945" spans="1:1">
      <c r="A1945" s="109"/>
    </row>
    <row r="1946" spans="1:1">
      <c r="A1946" s="109"/>
    </row>
    <row r="1947" spans="1:1">
      <c r="A1947" s="109"/>
    </row>
    <row r="1948" spans="1:1">
      <c r="A1948" s="109"/>
    </row>
    <row r="1949" spans="1:1">
      <c r="A1949" s="109"/>
    </row>
    <row r="1950" spans="1:1">
      <c r="A1950" s="109"/>
    </row>
    <row r="1951" spans="1:1">
      <c r="A1951" s="109"/>
    </row>
    <row r="1952" spans="1:1">
      <c r="A1952" s="109"/>
    </row>
    <row r="1953" spans="1:1">
      <c r="A1953" s="109"/>
    </row>
    <row r="1954" spans="1:1">
      <c r="A1954" s="109"/>
    </row>
    <row r="1955" spans="1:1">
      <c r="A1955" s="109"/>
    </row>
    <row r="1956" spans="1:1">
      <c r="A1956" s="11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C135-FAA3-4102-A5BE-6C181E3EE75E}">
  <dimension ref="A1:X9"/>
  <sheetViews>
    <sheetView workbookViewId="0">
      <selection activeCell="E3" sqref="E3"/>
    </sheetView>
  </sheetViews>
  <sheetFormatPr defaultColWidth="30.81640625" defaultRowHeight="14.5"/>
  <cols>
    <col min="1" max="2" width="30.81640625" style="174"/>
    <col min="3" max="3" width="1" style="198" customWidth="1"/>
    <col min="4" max="4" width="30.81640625" style="190"/>
    <col min="5" max="5" width="30.81640625" style="174"/>
    <col min="6" max="6" width="1.1796875" style="199" customWidth="1"/>
    <col min="7" max="8" width="30.81640625" style="190"/>
    <col min="9" max="9" width="0.81640625" style="199" customWidth="1"/>
    <col min="10" max="11" width="30.81640625" style="190"/>
    <col min="12" max="12" width="0.7265625" style="199" customWidth="1"/>
    <col min="13" max="14" width="30.81640625" style="190"/>
    <col min="15" max="15" width="1" style="199" customWidth="1"/>
    <col min="16" max="24" width="30.81640625" style="190"/>
    <col min="25" max="16384" width="30.81640625" style="3"/>
  </cols>
  <sheetData>
    <row r="1" spans="1:24" s="161" customFormat="1" ht="16" thickBot="1">
      <c r="A1" s="169" t="s">
        <v>1125</v>
      </c>
      <c r="B1" s="175" t="s">
        <v>1126</v>
      </c>
      <c r="C1" s="176"/>
      <c r="D1" s="177" t="s">
        <v>1127</v>
      </c>
      <c r="E1" s="178" t="s">
        <v>1128</v>
      </c>
      <c r="F1" s="179"/>
      <c r="G1" s="180" t="s">
        <v>1129</v>
      </c>
      <c r="H1" s="180" t="s">
        <v>1130</v>
      </c>
      <c r="I1" s="181"/>
      <c r="J1" s="180" t="s">
        <v>1131</v>
      </c>
      <c r="K1" s="180" t="s">
        <v>1132</v>
      </c>
      <c r="L1" s="181"/>
      <c r="M1" s="180" t="s">
        <v>1133</v>
      </c>
      <c r="N1" s="180" t="s">
        <v>1133</v>
      </c>
      <c r="O1" s="181"/>
      <c r="P1" s="180" t="s">
        <v>1134</v>
      </c>
      <c r="Q1" s="180" t="s">
        <v>1134</v>
      </c>
      <c r="R1" s="177"/>
      <c r="S1" s="177"/>
      <c r="T1" s="177"/>
      <c r="U1" s="177"/>
      <c r="V1" s="177"/>
      <c r="W1" s="177"/>
      <c r="X1" s="177"/>
    </row>
    <row r="2" spans="1:24" ht="78">
      <c r="A2" s="170" t="s">
        <v>1135</v>
      </c>
      <c r="B2" s="182" t="s">
        <v>1136</v>
      </c>
      <c r="C2" s="183"/>
      <c r="D2" s="184" t="s">
        <v>1137</v>
      </c>
      <c r="E2" s="185" t="s">
        <v>1138</v>
      </c>
      <c r="F2" s="186"/>
      <c r="G2" s="187" t="s">
        <v>1139</v>
      </c>
      <c r="H2" s="185" t="s">
        <v>1138</v>
      </c>
      <c r="I2" s="188"/>
      <c r="J2" s="184" t="s">
        <v>1140</v>
      </c>
      <c r="K2" s="185" t="s">
        <v>1138</v>
      </c>
      <c r="L2" s="189"/>
      <c r="M2" s="184" t="s">
        <v>1141</v>
      </c>
      <c r="N2" s="185" t="s">
        <v>1138</v>
      </c>
      <c r="O2" s="189"/>
      <c r="P2" s="187" t="s">
        <v>1142</v>
      </c>
      <c r="Q2" s="185" t="s">
        <v>1138</v>
      </c>
    </row>
    <row r="3" spans="1:24" ht="78">
      <c r="A3" s="171" t="s">
        <v>1143</v>
      </c>
      <c r="B3" s="182" t="s">
        <v>1136</v>
      </c>
      <c r="C3" s="191"/>
      <c r="D3" s="192" t="s">
        <v>1144</v>
      </c>
      <c r="E3" s="182" t="s">
        <v>1136</v>
      </c>
      <c r="F3" s="193"/>
      <c r="G3" s="187" t="s">
        <v>1145</v>
      </c>
      <c r="H3" s="182" t="s">
        <v>1136</v>
      </c>
      <c r="I3" s="194"/>
      <c r="J3" s="184" t="s">
        <v>1146</v>
      </c>
      <c r="K3" s="185" t="s">
        <v>1138</v>
      </c>
      <c r="L3" s="189"/>
      <c r="M3" s="184" t="s">
        <v>1147</v>
      </c>
      <c r="N3" s="185" t="s">
        <v>1138</v>
      </c>
      <c r="O3" s="195"/>
      <c r="P3" s="196" t="s">
        <v>1148</v>
      </c>
      <c r="Q3" s="185" t="s">
        <v>1138</v>
      </c>
    </row>
    <row r="4" spans="1:24" ht="78">
      <c r="A4" s="171" t="s">
        <v>1149</v>
      </c>
      <c r="B4" s="185" t="s">
        <v>1138</v>
      </c>
      <c r="C4" s="191"/>
      <c r="D4" s="196" t="s">
        <v>1150</v>
      </c>
      <c r="E4" s="185" t="s">
        <v>1138</v>
      </c>
      <c r="F4" s="193"/>
      <c r="G4" s="196" t="s">
        <v>1151</v>
      </c>
      <c r="H4" s="185" t="s">
        <v>1138</v>
      </c>
      <c r="I4" s="194"/>
      <c r="J4" s="192" t="s">
        <v>1152</v>
      </c>
      <c r="K4" s="182" t="s">
        <v>1136</v>
      </c>
      <c r="L4" s="195"/>
      <c r="M4" s="196" t="s">
        <v>1153</v>
      </c>
      <c r="N4" s="182" t="s">
        <v>1136</v>
      </c>
      <c r="O4" s="194"/>
      <c r="P4" s="196" t="s">
        <v>1154</v>
      </c>
      <c r="Q4" s="185" t="s">
        <v>1138</v>
      </c>
    </row>
    <row r="5" spans="1:24" ht="117.5">
      <c r="A5" s="171" t="s">
        <v>1155</v>
      </c>
      <c r="B5" s="185" t="s">
        <v>1138</v>
      </c>
      <c r="C5" s="191"/>
      <c r="D5" s="196" t="s">
        <v>1156</v>
      </c>
      <c r="E5" s="185" t="s">
        <v>1138</v>
      </c>
      <c r="F5" s="193"/>
      <c r="G5" s="196" t="s">
        <v>1157</v>
      </c>
      <c r="H5" s="182" t="s">
        <v>1136</v>
      </c>
      <c r="I5" s="194"/>
      <c r="J5" s="196"/>
      <c r="K5" s="196"/>
      <c r="L5" s="194"/>
      <c r="M5" s="196"/>
      <c r="N5" s="196"/>
      <c r="O5" s="194"/>
      <c r="P5" s="200" t="s">
        <v>1158</v>
      </c>
      <c r="Q5" s="185" t="s">
        <v>1138</v>
      </c>
    </row>
    <row r="6" spans="1:24" ht="78">
      <c r="A6" s="171" t="s">
        <v>1159</v>
      </c>
      <c r="B6" s="185" t="s">
        <v>1138</v>
      </c>
      <c r="C6" s="191"/>
      <c r="D6" s="196"/>
      <c r="E6" s="173"/>
      <c r="F6" s="194"/>
      <c r="G6" s="196"/>
      <c r="H6" s="196"/>
      <c r="I6" s="194"/>
      <c r="J6" s="196"/>
      <c r="K6" s="196"/>
      <c r="L6" s="194"/>
      <c r="M6" s="196"/>
      <c r="N6" s="196"/>
      <c r="O6" s="194"/>
      <c r="P6" s="196" t="s">
        <v>1160</v>
      </c>
      <c r="Q6" s="185" t="s">
        <v>1138</v>
      </c>
    </row>
    <row r="7" spans="1:24" ht="78.5">
      <c r="A7" s="172" t="s">
        <v>1161</v>
      </c>
      <c r="B7" s="185" t="s">
        <v>1138</v>
      </c>
      <c r="C7" s="191"/>
      <c r="D7" s="196"/>
      <c r="E7" s="173"/>
      <c r="F7" s="194"/>
      <c r="G7" s="196"/>
      <c r="H7" s="196"/>
      <c r="I7" s="194"/>
      <c r="J7" s="196"/>
      <c r="K7" s="196"/>
      <c r="L7" s="194"/>
      <c r="M7" s="196"/>
      <c r="N7" s="196"/>
      <c r="O7" s="194"/>
      <c r="P7" s="196" t="s">
        <v>1162</v>
      </c>
      <c r="Q7" s="185" t="s">
        <v>1138</v>
      </c>
    </row>
    <row r="8" spans="1:24" ht="78">
      <c r="A8" s="173"/>
      <c r="B8" s="173"/>
      <c r="C8" s="197"/>
      <c r="D8" s="196"/>
      <c r="E8" s="173"/>
      <c r="F8" s="194"/>
      <c r="G8" s="196"/>
      <c r="H8" s="196"/>
      <c r="I8" s="194"/>
      <c r="J8" s="196"/>
      <c r="K8" s="196"/>
      <c r="L8" s="194"/>
      <c r="M8" s="196"/>
      <c r="N8" s="196"/>
      <c r="O8" s="194"/>
      <c r="P8" s="196" t="s">
        <v>1163</v>
      </c>
      <c r="Q8" s="185" t="s">
        <v>1138</v>
      </c>
    </row>
    <row r="9" spans="1:24" ht="78">
      <c r="A9" s="173"/>
      <c r="B9" s="173"/>
      <c r="C9" s="197"/>
      <c r="D9" s="196"/>
      <c r="E9" s="173"/>
      <c r="F9" s="194"/>
      <c r="G9" s="196"/>
      <c r="H9" s="196"/>
      <c r="I9" s="194"/>
      <c r="J9" s="196"/>
      <c r="K9" s="196"/>
      <c r="L9" s="194"/>
      <c r="M9" s="196"/>
      <c r="N9" s="196"/>
      <c r="O9" s="194"/>
      <c r="P9" s="196" t="s">
        <v>1164</v>
      </c>
      <c r="Q9" s="185" t="s">
        <v>1138</v>
      </c>
    </row>
  </sheetData>
  <dataConsolid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7A3EB-5146-4726-8A1F-42EEEE110312}">
  <dimension ref="A1:H46"/>
  <sheetViews>
    <sheetView topLeftCell="E1" workbookViewId="0">
      <selection sqref="A1:XFD1048576"/>
    </sheetView>
  </sheetViews>
  <sheetFormatPr defaultColWidth="8.81640625" defaultRowHeight="14.5"/>
  <cols>
    <col min="1" max="1" width="64.453125" customWidth="1"/>
    <col min="2" max="2" width="40" customWidth="1"/>
    <col min="3" max="3" width="16.26953125" customWidth="1"/>
    <col min="4" max="4" width="15.453125" customWidth="1"/>
    <col min="5" max="5" width="31.26953125" customWidth="1"/>
    <col min="6" max="6" width="91.81640625" customWidth="1"/>
    <col min="7" max="7" width="125.26953125" customWidth="1"/>
    <col min="8" max="8" width="76.453125" customWidth="1"/>
  </cols>
  <sheetData>
    <row r="1" spans="1:8">
      <c r="A1" s="49" t="s">
        <v>1165</v>
      </c>
      <c r="B1" s="50" t="s">
        <v>1166</v>
      </c>
      <c r="C1" s="50" t="s">
        <v>3</v>
      </c>
      <c r="D1" s="49" t="s">
        <v>5</v>
      </c>
      <c r="E1" s="50" t="s">
        <v>1167</v>
      </c>
      <c r="F1" s="51" t="s">
        <v>1168</v>
      </c>
      <c r="G1" s="65" t="s">
        <v>1169</v>
      </c>
      <c r="H1" t="s">
        <v>1170</v>
      </c>
    </row>
    <row r="2" spans="1:8" ht="409.5">
      <c r="A2" s="44" t="s">
        <v>534</v>
      </c>
      <c r="B2" s="45" t="s">
        <v>1171</v>
      </c>
      <c r="C2" s="45" t="s">
        <v>1172</v>
      </c>
      <c r="D2" s="46">
        <v>20250701</v>
      </c>
      <c r="E2" s="47" t="s">
        <v>528</v>
      </c>
      <c r="F2" s="47" t="s">
        <v>1173</v>
      </c>
      <c r="G2" s="48" t="s">
        <v>1174</v>
      </c>
    </row>
    <row r="3" spans="1:8" ht="391.5">
      <c r="A3" s="47" t="s">
        <v>1175</v>
      </c>
      <c r="B3" s="45" t="s">
        <v>1176</v>
      </c>
      <c r="C3" s="45" t="s">
        <v>1177</v>
      </c>
      <c r="D3" s="46">
        <v>20250701</v>
      </c>
      <c r="E3" s="47" t="s">
        <v>437</v>
      </c>
      <c r="F3" s="47" t="s">
        <v>1178</v>
      </c>
      <c r="G3" s="48" t="s">
        <v>1174</v>
      </c>
    </row>
    <row r="4" spans="1:8" ht="409.5">
      <c r="A4" s="47" t="s">
        <v>541</v>
      </c>
      <c r="B4" s="74" t="s">
        <v>1179</v>
      </c>
      <c r="C4" s="74" t="s">
        <v>1180</v>
      </c>
      <c r="D4" s="75">
        <v>20250101</v>
      </c>
      <c r="E4" s="47" t="s">
        <v>528</v>
      </c>
      <c r="F4" s="47" t="s">
        <v>1181</v>
      </c>
      <c r="G4" s="48" t="s">
        <v>1174</v>
      </c>
    </row>
    <row r="5" spans="1:8" ht="261">
      <c r="A5" s="52" t="s">
        <v>1182</v>
      </c>
      <c r="B5" s="45" t="s">
        <v>1171</v>
      </c>
      <c r="C5" s="45" t="s">
        <v>1172</v>
      </c>
      <c r="D5" s="46">
        <v>20250701</v>
      </c>
      <c r="E5" s="47" t="s">
        <v>528</v>
      </c>
      <c r="F5" s="52" t="s">
        <v>1108</v>
      </c>
      <c r="G5" s="60" t="s">
        <v>1183</v>
      </c>
    </row>
    <row r="6" spans="1:8" ht="101.5">
      <c r="A6" s="47" t="s">
        <v>1184</v>
      </c>
      <c r="B6" s="45" t="s">
        <v>1185</v>
      </c>
      <c r="C6" s="45" t="s">
        <v>1186</v>
      </c>
      <c r="D6" s="46">
        <v>20250701</v>
      </c>
      <c r="E6" s="47" t="s">
        <v>1187</v>
      </c>
      <c r="F6" s="56" t="s">
        <v>1188</v>
      </c>
      <c r="G6" s="61" t="s">
        <v>1174</v>
      </c>
    </row>
    <row r="7" spans="1:8" ht="87">
      <c r="A7" s="32" t="s">
        <v>120</v>
      </c>
      <c r="B7" s="67" t="s">
        <v>1189</v>
      </c>
      <c r="C7" s="67" t="s">
        <v>1190</v>
      </c>
      <c r="D7" s="68">
        <v>20250101</v>
      </c>
      <c r="E7" s="32" t="s">
        <v>1191</v>
      </c>
      <c r="F7" s="33" t="s">
        <v>1192</v>
      </c>
      <c r="G7" s="61" t="s">
        <v>1174</v>
      </c>
    </row>
    <row r="8" spans="1:8" ht="261">
      <c r="A8" s="60" t="s">
        <v>1193</v>
      </c>
      <c r="B8" s="60" t="s">
        <v>1194</v>
      </c>
      <c r="C8" s="60" t="s">
        <v>1195</v>
      </c>
      <c r="D8" s="52"/>
      <c r="E8" s="52" t="s">
        <v>1196</v>
      </c>
      <c r="F8" s="60" t="s">
        <v>1197</v>
      </c>
      <c r="G8" s="52" t="s">
        <v>1198</v>
      </c>
    </row>
    <row r="9" spans="1:8">
      <c r="A9" s="3"/>
      <c r="B9" s="3"/>
      <c r="C9" s="3"/>
    </row>
    <row r="10" spans="1:8">
      <c r="A10" s="59" t="s">
        <v>1199</v>
      </c>
      <c r="E10" s="3" t="s">
        <v>1200</v>
      </c>
    </row>
    <row r="11" spans="1:8">
      <c r="A11" s="59" t="s">
        <v>1201</v>
      </c>
      <c r="E11" s="3" t="s">
        <v>1200</v>
      </c>
    </row>
    <row r="12" spans="1:8" ht="116">
      <c r="A12" s="3" t="s">
        <v>1202</v>
      </c>
      <c r="E12" s="3" t="s">
        <v>1203</v>
      </c>
      <c r="F12" s="100" t="s">
        <v>1204</v>
      </c>
      <c r="G12" s="3" t="s">
        <v>1205</v>
      </c>
    </row>
    <row r="13" spans="1:8" ht="43.5">
      <c r="A13" s="3" t="s">
        <v>1206</v>
      </c>
      <c r="E13" s="3" t="s">
        <v>1207</v>
      </c>
      <c r="F13" s="100" t="s">
        <v>1208</v>
      </c>
    </row>
    <row r="14" spans="1:8" ht="43.5">
      <c r="A14" s="3" t="s">
        <v>1209</v>
      </c>
      <c r="E14" s="3" t="s">
        <v>1210</v>
      </c>
      <c r="F14" s="100" t="s">
        <v>1211</v>
      </c>
    </row>
    <row r="15" spans="1:8" ht="43.5">
      <c r="A15" s="3" t="s">
        <v>1212</v>
      </c>
      <c r="E15" s="3" t="s">
        <v>1213</v>
      </c>
      <c r="F15" s="100" t="s">
        <v>1214</v>
      </c>
    </row>
    <row r="16" spans="1:8" ht="87">
      <c r="A16" s="3" t="s">
        <v>1215</v>
      </c>
      <c r="E16" s="3" t="s">
        <v>1216</v>
      </c>
      <c r="F16" s="100" t="s">
        <v>1217</v>
      </c>
      <c r="G16" s="3" t="s">
        <v>1218</v>
      </c>
    </row>
    <row r="17" spans="1:8" ht="43.5">
      <c r="A17" s="3" t="s">
        <v>1219</v>
      </c>
      <c r="E17" s="3" t="s">
        <v>1216</v>
      </c>
      <c r="F17" s="73" t="s">
        <v>1220</v>
      </c>
    </row>
    <row r="18" spans="1:8" ht="87">
      <c r="A18" s="59" t="s">
        <v>1221</v>
      </c>
      <c r="B18" s="4"/>
      <c r="E18" s="3" t="s">
        <v>1222</v>
      </c>
      <c r="G18" s="3" t="s">
        <v>1223</v>
      </c>
    </row>
    <row r="19" spans="1:8">
      <c r="A19" s="59" t="s">
        <v>1224</v>
      </c>
      <c r="B19" s="4"/>
      <c r="E19" s="3" t="s">
        <v>1222</v>
      </c>
    </row>
    <row r="20" spans="1:8" ht="29">
      <c r="A20" s="64" t="s">
        <v>1225</v>
      </c>
      <c r="B20" s="3"/>
      <c r="C20" s="3"/>
      <c r="E20" s="3" t="s">
        <v>1222</v>
      </c>
    </row>
    <row r="21" spans="1:8" ht="29">
      <c r="A21" s="64" t="s">
        <v>1226</v>
      </c>
      <c r="B21" s="3"/>
      <c r="C21" s="3"/>
      <c r="E21" s="3" t="s">
        <v>1222</v>
      </c>
    </row>
    <row r="22" spans="1:8" ht="29">
      <c r="A22" s="64" t="s">
        <v>1227</v>
      </c>
      <c r="B22" s="3"/>
      <c r="C22" s="3"/>
      <c r="E22" s="3" t="s">
        <v>1222</v>
      </c>
    </row>
    <row r="23" spans="1:8" ht="29">
      <c r="A23" s="64" t="s">
        <v>1228</v>
      </c>
      <c r="B23" s="3"/>
      <c r="C23" s="3"/>
      <c r="E23" s="3" t="s">
        <v>1222</v>
      </c>
    </row>
    <row r="24" spans="1:8">
      <c r="A24" s="59" t="s">
        <v>1229</v>
      </c>
      <c r="B24" s="3"/>
      <c r="C24" s="34"/>
      <c r="E24" t="s">
        <v>1230</v>
      </c>
    </row>
    <row r="25" spans="1:8">
      <c r="A25" s="59" t="s">
        <v>1231</v>
      </c>
      <c r="B25" s="3"/>
      <c r="C25" s="34"/>
      <c r="E25" t="s">
        <v>1230</v>
      </c>
    </row>
    <row r="26" spans="1:8">
      <c r="A26" s="59" t="s">
        <v>1232</v>
      </c>
      <c r="B26" s="3"/>
      <c r="C26" s="34"/>
      <c r="E26" t="s">
        <v>1230</v>
      </c>
    </row>
    <row r="27" spans="1:8">
      <c r="A27" s="59" t="s">
        <v>1233</v>
      </c>
      <c r="B27" s="3"/>
      <c r="C27" s="34"/>
      <c r="E27" t="s">
        <v>1230</v>
      </c>
    </row>
    <row r="28" spans="1:8">
      <c r="A28" s="59" t="s">
        <v>1234</v>
      </c>
      <c r="B28" s="3"/>
      <c r="C28" s="34"/>
      <c r="E28" t="s">
        <v>1230</v>
      </c>
    </row>
    <row r="29" spans="1:8">
      <c r="A29" s="59" t="s">
        <v>1235</v>
      </c>
      <c r="B29" s="3"/>
      <c r="C29" s="3"/>
      <c r="E29" t="s">
        <v>1230</v>
      </c>
    </row>
    <row r="30" spans="1:8" ht="409.5">
      <c r="A30" s="57" t="s">
        <v>1236</v>
      </c>
      <c r="B30" s="28" t="s">
        <v>1237</v>
      </c>
      <c r="C30" s="28" t="s">
        <v>1195</v>
      </c>
      <c r="D30" s="29">
        <v>20250701</v>
      </c>
      <c r="E30" s="55" t="s">
        <v>619</v>
      </c>
      <c r="F30" s="47" t="s">
        <v>1238</v>
      </c>
      <c r="G30" s="52"/>
    </row>
    <row r="31" spans="1:8" ht="145">
      <c r="A31" s="58" t="s">
        <v>710</v>
      </c>
      <c r="B31" s="30" t="s">
        <v>1239</v>
      </c>
      <c r="C31" s="28" t="s">
        <v>1240</v>
      </c>
      <c r="D31" s="29">
        <v>20250101</v>
      </c>
      <c r="E31" s="31" t="s">
        <v>619</v>
      </c>
      <c r="F31" s="47" t="s">
        <v>1241</v>
      </c>
      <c r="G31" s="52"/>
    </row>
    <row r="32" spans="1:8" ht="132">
      <c r="A32" s="70" t="s">
        <v>1242</v>
      </c>
      <c r="C32" s="13"/>
      <c r="D32" s="13"/>
      <c r="E32" s="63" t="s">
        <v>1243</v>
      </c>
      <c r="F32" s="3" t="s">
        <v>1244</v>
      </c>
      <c r="G32" s="13"/>
      <c r="H32" s="72" t="s">
        <v>1245</v>
      </c>
    </row>
    <row r="33" spans="1:8" ht="59">
      <c r="A33" s="70" t="s">
        <v>1246</v>
      </c>
      <c r="C33" s="13"/>
      <c r="D33" s="13"/>
      <c r="E33" s="62" t="s">
        <v>1247</v>
      </c>
      <c r="F33" s="3" t="s">
        <v>1248</v>
      </c>
      <c r="G33" s="13"/>
      <c r="H33" s="72"/>
    </row>
    <row r="34" spans="1:8" ht="58">
      <c r="A34" s="70" t="s">
        <v>1249</v>
      </c>
      <c r="C34" s="13"/>
      <c r="D34" s="13"/>
      <c r="E34" s="62" t="s">
        <v>1247</v>
      </c>
      <c r="F34" s="3" t="s">
        <v>1250</v>
      </c>
      <c r="G34" s="13"/>
    </row>
    <row r="35" spans="1:8" ht="43.5">
      <c r="A35" s="70" t="s">
        <v>1251</v>
      </c>
      <c r="C35" s="13"/>
      <c r="D35" s="13"/>
      <c r="E35" s="62" t="s">
        <v>1247</v>
      </c>
      <c r="F35" s="3" t="s">
        <v>1252</v>
      </c>
      <c r="G35" s="13"/>
    </row>
    <row r="36" spans="1:8" ht="82.5">
      <c r="A36" s="71" t="s">
        <v>1253</v>
      </c>
      <c r="B36" s="62"/>
      <c r="C36" s="13"/>
      <c r="D36" s="13"/>
      <c r="E36" s="62"/>
      <c r="F36" s="71" t="s">
        <v>1254</v>
      </c>
      <c r="G36" s="13"/>
    </row>
    <row r="43" spans="1:8" ht="362.5">
      <c r="A43" s="41" t="s">
        <v>1255</v>
      </c>
      <c r="B43" s="41"/>
      <c r="C43" s="41"/>
      <c r="D43" s="41"/>
      <c r="E43" s="42" t="s">
        <v>468</v>
      </c>
      <c r="F43" s="41"/>
      <c r="G43" s="43" t="s">
        <v>1256</v>
      </c>
      <c r="H43" s="43" t="s">
        <v>1257</v>
      </c>
    </row>
    <row r="44" spans="1:8" ht="409.5">
      <c r="A44" s="41" t="s">
        <v>1258</v>
      </c>
      <c r="B44" s="41"/>
      <c r="C44" s="41"/>
      <c r="D44" s="41"/>
      <c r="E44" s="42" t="s">
        <v>468</v>
      </c>
      <c r="F44" s="41"/>
      <c r="G44" s="43" t="s">
        <v>1259</v>
      </c>
      <c r="H44" s="43" t="s">
        <v>1257</v>
      </c>
    </row>
    <row r="45" spans="1:8" ht="246.5">
      <c r="A45" s="41" t="s">
        <v>1260</v>
      </c>
      <c r="B45" s="53"/>
      <c r="C45" s="53"/>
      <c r="D45" s="54"/>
      <c r="E45" s="42" t="s">
        <v>1261</v>
      </c>
      <c r="F45" s="41"/>
      <c r="G45" s="43" t="s">
        <v>1262</v>
      </c>
      <c r="H45" s="43" t="s">
        <v>1257</v>
      </c>
    </row>
    <row r="46" spans="1:8" ht="409.5">
      <c r="A46" s="41" t="s">
        <v>1263</v>
      </c>
      <c r="B46" s="53"/>
      <c r="C46" s="53"/>
      <c r="D46" s="54"/>
      <c r="E46" s="42" t="s">
        <v>1261</v>
      </c>
      <c r="F46" s="41"/>
      <c r="G46" s="43" t="s">
        <v>1264</v>
      </c>
      <c r="H46" s="43" t="s">
        <v>1257</v>
      </c>
    </row>
  </sheetData>
  <autoFilter ref="A1:H46" xr:uid="{F467A3EB-5146-4726-8A1F-42EEEE11031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04A56-7B63-460D-BEC7-9C09A797268C}">
  <dimension ref="A1:R16"/>
  <sheetViews>
    <sheetView workbookViewId="0">
      <selection activeCell="A11" sqref="A11"/>
    </sheetView>
  </sheetViews>
  <sheetFormatPr defaultColWidth="8.81640625" defaultRowHeight="14.5"/>
  <cols>
    <col min="1" max="1" width="37.7265625" customWidth="1"/>
    <col min="2" max="2" width="16.453125" customWidth="1"/>
    <col min="3" max="3" width="18.26953125" customWidth="1"/>
    <col min="4" max="4" width="15.453125" customWidth="1"/>
    <col min="5" max="5" width="32.453125" customWidth="1"/>
    <col min="17" max="17" width="10" bestFit="1" customWidth="1"/>
    <col min="18" max="18" width="44.453125" customWidth="1"/>
    <col min="19" max="19" width="15.7265625" customWidth="1"/>
  </cols>
  <sheetData>
    <row r="1" spans="1:18" ht="26.5">
      <c r="A1" s="35" t="s">
        <v>1265</v>
      </c>
      <c r="B1" s="36" t="s">
        <v>1266</v>
      </c>
      <c r="C1" s="36" t="s">
        <v>1267</v>
      </c>
      <c r="D1" s="36" t="s">
        <v>1268</v>
      </c>
      <c r="E1" s="36" t="s">
        <v>1269</v>
      </c>
      <c r="F1" s="36" t="s">
        <v>1247</v>
      </c>
      <c r="G1" s="36" t="s">
        <v>80</v>
      </c>
      <c r="H1" s="36" t="s">
        <v>29</v>
      </c>
      <c r="I1" s="36" t="s">
        <v>1270</v>
      </c>
      <c r="J1" s="36" t="s">
        <v>207</v>
      </c>
      <c r="K1" s="36" t="s">
        <v>1271</v>
      </c>
      <c r="L1" s="36" t="s">
        <v>1272</v>
      </c>
      <c r="M1" s="36" t="s">
        <v>1273</v>
      </c>
      <c r="N1" s="36" t="s">
        <v>1274</v>
      </c>
      <c r="O1" s="36" t="s">
        <v>1275</v>
      </c>
      <c r="P1" s="36" t="s">
        <v>142</v>
      </c>
      <c r="Q1" s="36" t="s">
        <v>1276</v>
      </c>
      <c r="R1" s="36" t="s">
        <v>1277</v>
      </c>
    </row>
    <row r="2" spans="1:18">
      <c r="A2" s="37" t="s">
        <v>1278</v>
      </c>
      <c r="B2" s="38" t="s">
        <v>1279</v>
      </c>
      <c r="C2" s="38" t="s">
        <v>1279</v>
      </c>
      <c r="D2" s="38" t="s">
        <v>1279</v>
      </c>
      <c r="E2" s="38" t="s">
        <v>1279</v>
      </c>
      <c r="F2" s="39" t="s">
        <v>1279</v>
      </c>
      <c r="G2" s="39" t="s">
        <v>1279</v>
      </c>
      <c r="H2" s="39" t="s">
        <v>1279</v>
      </c>
      <c r="I2" s="39" t="s">
        <v>1279</v>
      </c>
      <c r="J2" s="39" t="s">
        <v>1279</v>
      </c>
      <c r="K2" s="39" t="s">
        <v>1279</v>
      </c>
      <c r="L2" s="39" t="s">
        <v>1280</v>
      </c>
      <c r="M2" s="39" t="s">
        <v>1279</v>
      </c>
      <c r="N2" s="39" t="s">
        <v>1279</v>
      </c>
      <c r="O2" s="39" t="s">
        <v>1279</v>
      </c>
      <c r="P2" s="39" t="s">
        <v>1279</v>
      </c>
      <c r="Q2" s="39" t="s">
        <v>1279</v>
      </c>
      <c r="R2" s="40" t="s">
        <v>1279</v>
      </c>
    </row>
    <row r="3" spans="1:18" ht="43.5">
      <c r="A3" s="37" t="s">
        <v>1281</v>
      </c>
      <c r="B3" s="38" t="s">
        <v>1279</v>
      </c>
      <c r="C3" s="38" t="s">
        <v>1279</v>
      </c>
      <c r="D3" s="38" t="s">
        <v>1279</v>
      </c>
      <c r="E3" s="38" t="s">
        <v>1282</v>
      </c>
      <c r="F3" s="38" t="s">
        <v>1280</v>
      </c>
      <c r="G3" s="39" t="s">
        <v>1279</v>
      </c>
      <c r="H3" s="39" t="s">
        <v>1279</v>
      </c>
      <c r="I3" s="39" t="s">
        <v>1279</v>
      </c>
      <c r="J3" s="39" t="s">
        <v>1279</v>
      </c>
      <c r="K3" s="39" t="s">
        <v>1279</v>
      </c>
      <c r="L3" s="39" t="s">
        <v>1279</v>
      </c>
      <c r="M3" s="39" t="s">
        <v>1279</v>
      </c>
      <c r="N3" s="39" t="s">
        <v>1279</v>
      </c>
      <c r="O3" s="39" t="s">
        <v>1280</v>
      </c>
      <c r="P3" s="39" t="s">
        <v>1280</v>
      </c>
      <c r="Q3" s="40" t="s">
        <v>1283</v>
      </c>
      <c r="R3" s="40" t="s">
        <v>1284</v>
      </c>
    </row>
    <row r="4" spans="1:18" ht="29">
      <c r="A4" s="37" t="s">
        <v>1285</v>
      </c>
      <c r="B4" s="38" t="s">
        <v>1279</v>
      </c>
      <c r="C4" s="38" t="s">
        <v>1279</v>
      </c>
      <c r="D4" s="38" t="s">
        <v>1279</v>
      </c>
      <c r="E4" s="38" t="s">
        <v>1279</v>
      </c>
      <c r="F4" s="39" t="s">
        <v>1279</v>
      </c>
      <c r="G4" s="39" t="s">
        <v>1280</v>
      </c>
      <c r="H4" s="38" t="s">
        <v>1280</v>
      </c>
      <c r="I4" s="39" t="s">
        <v>1279</v>
      </c>
      <c r="J4" s="39" t="s">
        <v>1279</v>
      </c>
      <c r="K4" s="39" t="s">
        <v>1279</v>
      </c>
      <c r="L4" s="39" t="s">
        <v>1279</v>
      </c>
      <c r="M4" s="39" t="s">
        <v>1280</v>
      </c>
      <c r="N4" s="39" t="s">
        <v>1280</v>
      </c>
      <c r="O4" s="39" t="s">
        <v>1280</v>
      </c>
      <c r="P4" s="39" t="s">
        <v>1280</v>
      </c>
      <c r="Q4" s="40" t="s">
        <v>1286</v>
      </c>
      <c r="R4" s="40" t="s">
        <v>468</v>
      </c>
    </row>
    <row r="5" spans="1:18" ht="29">
      <c r="A5" s="37" t="s">
        <v>1287</v>
      </c>
      <c r="B5" s="38" t="s">
        <v>1279</v>
      </c>
      <c r="C5" s="38" t="s">
        <v>1279</v>
      </c>
      <c r="D5" s="38" t="s">
        <v>1279</v>
      </c>
      <c r="E5" s="38" t="s">
        <v>1279</v>
      </c>
      <c r="F5" s="39" t="s">
        <v>1279</v>
      </c>
      <c r="G5" s="39" t="s">
        <v>1279</v>
      </c>
      <c r="H5" s="39" t="s">
        <v>1279</v>
      </c>
      <c r="I5" s="39" t="s">
        <v>1279</v>
      </c>
      <c r="J5" s="39" t="s">
        <v>1279</v>
      </c>
      <c r="K5" s="39" t="s">
        <v>1279</v>
      </c>
      <c r="L5" s="39" t="s">
        <v>1279</v>
      </c>
      <c r="M5" s="39" t="s">
        <v>1279</v>
      </c>
      <c r="N5" s="39" t="s">
        <v>1279</v>
      </c>
      <c r="O5" s="39" t="s">
        <v>1280</v>
      </c>
      <c r="P5" s="39" t="s">
        <v>1280</v>
      </c>
      <c r="Q5" s="40" t="s">
        <v>1288</v>
      </c>
      <c r="R5" s="40" t="s">
        <v>1289</v>
      </c>
    </row>
    <row r="6" spans="1:18" ht="58">
      <c r="A6" s="69" t="s">
        <v>1290</v>
      </c>
      <c r="B6" s="38" t="s">
        <v>1279</v>
      </c>
      <c r="C6" s="38" t="s">
        <v>1279</v>
      </c>
      <c r="D6" s="38" t="s">
        <v>1279</v>
      </c>
      <c r="E6" s="38" t="s">
        <v>1279</v>
      </c>
      <c r="F6" s="39" t="s">
        <v>1279</v>
      </c>
      <c r="G6" s="39" t="s">
        <v>1279</v>
      </c>
      <c r="H6" s="39" t="s">
        <v>1279</v>
      </c>
      <c r="I6" s="39" t="s">
        <v>1280</v>
      </c>
      <c r="J6" s="39" t="s">
        <v>1279</v>
      </c>
      <c r="K6" s="39" t="s">
        <v>1279</v>
      </c>
      <c r="L6" s="39" t="s">
        <v>1279</v>
      </c>
      <c r="M6" s="39" t="s">
        <v>1279</v>
      </c>
      <c r="N6" s="39" t="s">
        <v>1279</v>
      </c>
      <c r="O6" s="39" t="s">
        <v>1279</v>
      </c>
      <c r="P6" s="39" t="s">
        <v>1279</v>
      </c>
      <c r="Q6" s="40" t="s">
        <v>1291</v>
      </c>
      <c r="R6" s="40" t="s">
        <v>1292</v>
      </c>
    </row>
    <row r="7" spans="1:18" ht="261">
      <c r="A7" s="37" t="s">
        <v>1293</v>
      </c>
      <c r="B7" s="38" t="s">
        <v>1279</v>
      </c>
      <c r="C7" s="38" t="s">
        <v>1279</v>
      </c>
      <c r="D7" s="38" t="s">
        <v>1279</v>
      </c>
      <c r="E7" s="38" t="s">
        <v>1279</v>
      </c>
      <c r="F7" s="39" t="s">
        <v>1279</v>
      </c>
      <c r="G7" s="39" t="s">
        <v>1279</v>
      </c>
      <c r="H7" s="39" t="s">
        <v>1279</v>
      </c>
      <c r="I7" s="39" t="s">
        <v>1279</v>
      </c>
      <c r="J7" s="39" t="s">
        <v>1280</v>
      </c>
      <c r="K7" s="39" t="s">
        <v>1280</v>
      </c>
      <c r="L7" s="39" t="s">
        <v>1294</v>
      </c>
      <c r="M7" s="39" t="s">
        <v>1279</v>
      </c>
      <c r="N7" s="39" t="s">
        <v>1279</v>
      </c>
      <c r="O7" s="39" t="s">
        <v>1279</v>
      </c>
      <c r="P7" s="39" t="s">
        <v>1279</v>
      </c>
      <c r="Q7" s="40" t="s">
        <v>1295</v>
      </c>
      <c r="R7" s="40" t="s">
        <v>1296</v>
      </c>
    </row>
    <row r="8" spans="1:18" ht="159.5">
      <c r="A8" s="37" t="s">
        <v>1297</v>
      </c>
      <c r="B8" s="38" t="s">
        <v>1279</v>
      </c>
      <c r="C8" s="38" t="s">
        <v>1279</v>
      </c>
      <c r="D8" s="38" t="s">
        <v>1279</v>
      </c>
      <c r="E8" s="38" t="s">
        <v>1279</v>
      </c>
      <c r="F8" s="39" t="s">
        <v>1279</v>
      </c>
      <c r="G8" s="39" t="s">
        <v>1279</v>
      </c>
      <c r="H8" s="39" t="s">
        <v>1279</v>
      </c>
      <c r="I8" s="39" t="s">
        <v>1279</v>
      </c>
      <c r="J8" s="39" t="s">
        <v>1279</v>
      </c>
      <c r="K8" s="39" t="s">
        <v>1279</v>
      </c>
      <c r="L8" s="39" t="s">
        <v>1279</v>
      </c>
      <c r="M8" s="39" t="s">
        <v>1279</v>
      </c>
      <c r="N8" s="39" t="s">
        <v>1279</v>
      </c>
      <c r="O8" s="39" t="s">
        <v>1280</v>
      </c>
      <c r="P8" s="39" t="s">
        <v>1279</v>
      </c>
      <c r="Q8" s="39" t="s">
        <v>1298</v>
      </c>
      <c r="R8" s="40" t="s">
        <v>1299</v>
      </c>
    </row>
    <row r="9" spans="1:18">
      <c r="A9" s="37" t="s">
        <v>1300</v>
      </c>
      <c r="B9" s="38" t="s">
        <v>1279</v>
      </c>
      <c r="C9" s="38" t="s">
        <v>1279</v>
      </c>
      <c r="D9" s="38" t="s">
        <v>1279</v>
      </c>
      <c r="E9" s="38" t="s">
        <v>1279</v>
      </c>
      <c r="F9" s="39" t="s">
        <v>1279</v>
      </c>
      <c r="G9" s="39" t="s">
        <v>1279</v>
      </c>
      <c r="H9" s="39" t="s">
        <v>1279</v>
      </c>
      <c r="I9" s="39" t="s">
        <v>1279</v>
      </c>
      <c r="J9" s="39" t="s">
        <v>1279</v>
      </c>
      <c r="K9" s="39" t="s">
        <v>1279</v>
      </c>
      <c r="L9" s="39" t="s">
        <v>1279</v>
      </c>
      <c r="M9" s="39" t="s">
        <v>1280</v>
      </c>
      <c r="N9" s="39" t="s">
        <v>1280</v>
      </c>
      <c r="O9" s="39" t="s">
        <v>1279</v>
      </c>
      <c r="P9" s="39" t="s">
        <v>1279</v>
      </c>
      <c r="Q9" s="39" t="s">
        <v>1279</v>
      </c>
      <c r="R9" s="40" t="s">
        <v>1301</v>
      </c>
    </row>
    <row r="10" spans="1:18">
      <c r="A10" s="37" t="s">
        <v>1302</v>
      </c>
      <c r="B10" s="38" t="s">
        <v>1279</v>
      </c>
      <c r="C10" s="38" t="s">
        <v>1279</v>
      </c>
      <c r="D10" s="38" t="s">
        <v>1279</v>
      </c>
      <c r="E10" s="38" t="s">
        <v>1279</v>
      </c>
      <c r="F10" s="39" t="s">
        <v>1279</v>
      </c>
      <c r="G10" s="39" t="s">
        <v>1279</v>
      </c>
      <c r="H10" s="39" t="s">
        <v>1279</v>
      </c>
      <c r="I10" s="39" t="s">
        <v>1279</v>
      </c>
      <c r="J10" s="39" t="s">
        <v>1279</v>
      </c>
      <c r="K10" s="39" t="s">
        <v>1279</v>
      </c>
      <c r="L10" s="39" t="s">
        <v>1279</v>
      </c>
      <c r="M10" s="39" t="s">
        <v>1280</v>
      </c>
      <c r="N10" s="39" t="s">
        <v>1280</v>
      </c>
      <c r="O10" s="39" t="s">
        <v>1279</v>
      </c>
      <c r="P10" s="39" t="s">
        <v>1279</v>
      </c>
      <c r="Q10" s="39" t="s">
        <v>1279</v>
      </c>
      <c r="R10" s="40" t="s">
        <v>1279</v>
      </c>
    </row>
    <row r="11" spans="1:18">
      <c r="A11" s="37" t="s">
        <v>1303</v>
      </c>
      <c r="B11" s="38" t="s">
        <v>1279</v>
      </c>
      <c r="C11" s="38" t="s">
        <v>1279</v>
      </c>
      <c r="D11" s="38" t="s">
        <v>1279</v>
      </c>
      <c r="E11" s="38" t="s">
        <v>1279</v>
      </c>
      <c r="F11" s="39" t="s">
        <v>1279</v>
      </c>
      <c r="G11" s="39" t="s">
        <v>1279</v>
      </c>
      <c r="H11" s="39" t="s">
        <v>1279</v>
      </c>
      <c r="I11" s="39" t="s">
        <v>1279</v>
      </c>
      <c r="J11" s="39" t="s">
        <v>1279</v>
      </c>
      <c r="K11" s="39" t="s">
        <v>1279</v>
      </c>
      <c r="L11" s="39" t="s">
        <v>1279</v>
      </c>
      <c r="M11" s="39" t="s">
        <v>1279</v>
      </c>
      <c r="N11" s="39" t="s">
        <v>1279</v>
      </c>
      <c r="O11" s="39" t="s">
        <v>1280</v>
      </c>
      <c r="P11" s="39" t="s">
        <v>1280</v>
      </c>
      <c r="Q11" s="39" t="s">
        <v>1298</v>
      </c>
      <c r="R11" s="40" t="s">
        <v>1304</v>
      </c>
    </row>
    <row r="12" spans="1:18">
      <c r="A12" s="37" t="s">
        <v>1305</v>
      </c>
      <c r="B12" s="38" t="s">
        <v>1279</v>
      </c>
      <c r="C12" s="38" t="s">
        <v>1279</v>
      </c>
      <c r="D12" s="38" t="s">
        <v>1279</v>
      </c>
      <c r="E12" s="38" t="s">
        <v>1279</v>
      </c>
      <c r="F12" s="39" t="s">
        <v>1279</v>
      </c>
      <c r="G12" s="39" t="s">
        <v>1279</v>
      </c>
      <c r="H12" s="39" t="s">
        <v>1279</v>
      </c>
      <c r="I12" s="39" t="s">
        <v>1279</v>
      </c>
      <c r="J12" s="39" t="s">
        <v>1279</v>
      </c>
      <c r="K12" s="39" t="s">
        <v>1279</v>
      </c>
      <c r="L12" s="39" t="s">
        <v>1279</v>
      </c>
      <c r="M12" s="39" t="s">
        <v>1279</v>
      </c>
      <c r="N12" s="39" t="s">
        <v>1279</v>
      </c>
      <c r="O12" s="39" t="s">
        <v>1279</v>
      </c>
      <c r="P12" s="39" t="s">
        <v>1279</v>
      </c>
      <c r="Q12" s="39" t="s">
        <v>1279</v>
      </c>
      <c r="R12" s="40" t="s">
        <v>1279</v>
      </c>
    </row>
    <row r="13" spans="1:18">
      <c r="A13" s="37" t="s">
        <v>1306</v>
      </c>
      <c r="B13" s="38" t="s">
        <v>1279</v>
      </c>
      <c r="C13" s="38" t="s">
        <v>1279</v>
      </c>
      <c r="D13" s="38" t="s">
        <v>1279</v>
      </c>
      <c r="E13" s="38" t="s">
        <v>1279</v>
      </c>
      <c r="F13" s="39" t="s">
        <v>1279</v>
      </c>
      <c r="G13" s="39" t="s">
        <v>1279</v>
      </c>
      <c r="H13" s="39" t="s">
        <v>1279</v>
      </c>
      <c r="I13" s="39" t="s">
        <v>1279</v>
      </c>
      <c r="J13" s="39" t="s">
        <v>1279</v>
      </c>
      <c r="K13" s="39" t="s">
        <v>1279</v>
      </c>
      <c r="L13" s="39" t="s">
        <v>1279</v>
      </c>
      <c r="M13" s="39" t="s">
        <v>1279</v>
      </c>
      <c r="N13" s="39" t="s">
        <v>1279</v>
      </c>
      <c r="O13" s="39" t="s">
        <v>1279</v>
      </c>
      <c r="P13" s="39" t="s">
        <v>1279</v>
      </c>
      <c r="Q13" s="39" t="s">
        <v>1279</v>
      </c>
      <c r="R13" s="40" t="s">
        <v>1279</v>
      </c>
    </row>
    <row r="14" spans="1:18" ht="26.5">
      <c r="A14" s="37" t="s">
        <v>1307</v>
      </c>
      <c r="B14" s="38" t="s">
        <v>1279</v>
      </c>
      <c r="C14" s="38" t="s">
        <v>1279</v>
      </c>
      <c r="D14" s="38" t="s">
        <v>1279</v>
      </c>
      <c r="E14" s="38" t="s">
        <v>1279</v>
      </c>
      <c r="F14" s="39" t="s">
        <v>1279</v>
      </c>
      <c r="G14" s="39" t="s">
        <v>1279</v>
      </c>
      <c r="H14" s="39" t="s">
        <v>1279</v>
      </c>
      <c r="I14" s="39" t="s">
        <v>1279</v>
      </c>
      <c r="J14" s="39" t="s">
        <v>1279</v>
      </c>
      <c r="K14" s="39" t="s">
        <v>1279</v>
      </c>
      <c r="L14" s="39" t="s">
        <v>1279</v>
      </c>
      <c r="M14" s="39" t="s">
        <v>1279</v>
      </c>
      <c r="N14" s="39" t="s">
        <v>1279</v>
      </c>
      <c r="O14" s="39" t="s">
        <v>1279</v>
      </c>
      <c r="P14" s="39" t="s">
        <v>1279</v>
      </c>
      <c r="Q14" s="39" t="s">
        <v>1279</v>
      </c>
      <c r="R14" s="40" t="s">
        <v>1279</v>
      </c>
    </row>
    <row r="15" spans="1:18">
      <c r="A15" s="37" t="s">
        <v>1279</v>
      </c>
      <c r="B15" s="38" t="s">
        <v>1279</v>
      </c>
      <c r="C15" s="38" t="s">
        <v>1279</v>
      </c>
      <c r="D15" s="38" t="s">
        <v>1279</v>
      </c>
      <c r="E15" s="38" t="s">
        <v>1279</v>
      </c>
      <c r="F15" s="39" t="s">
        <v>1279</v>
      </c>
      <c r="G15" s="39" t="s">
        <v>1279</v>
      </c>
      <c r="H15" s="39" t="s">
        <v>1279</v>
      </c>
      <c r="I15" s="39" t="s">
        <v>1279</v>
      </c>
      <c r="J15" s="39" t="s">
        <v>1279</v>
      </c>
      <c r="K15" s="39" t="s">
        <v>1279</v>
      </c>
      <c r="L15" s="39" t="s">
        <v>1279</v>
      </c>
      <c r="M15" s="39" t="s">
        <v>1279</v>
      </c>
      <c r="N15" s="39" t="s">
        <v>1279</v>
      </c>
      <c r="O15" s="39" t="s">
        <v>1279</v>
      </c>
      <c r="P15" s="39" t="s">
        <v>1279</v>
      </c>
      <c r="Q15" s="39" t="s">
        <v>1279</v>
      </c>
      <c r="R15" s="40" t="s">
        <v>1279</v>
      </c>
    </row>
    <row r="16" spans="1:18">
      <c r="A16" s="66" t="s">
        <v>1308</v>
      </c>
      <c r="B16" s="38" t="s">
        <v>1279</v>
      </c>
      <c r="C16" s="38" t="s">
        <v>1279</v>
      </c>
      <c r="D16" s="38" t="s">
        <v>1279</v>
      </c>
      <c r="E16" s="38" t="s">
        <v>1279</v>
      </c>
      <c r="F16" s="39" t="s">
        <v>1279</v>
      </c>
      <c r="G16" s="39" t="s">
        <v>1279</v>
      </c>
      <c r="H16" s="39" t="s">
        <v>1279</v>
      </c>
      <c r="I16" s="39" t="s">
        <v>1279</v>
      </c>
      <c r="J16" s="39" t="s">
        <v>1279</v>
      </c>
      <c r="K16" s="39" t="s">
        <v>1279</v>
      </c>
      <c r="L16" s="39" t="s">
        <v>1279</v>
      </c>
      <c r="M16" s="39" t="s">
        <v>1279</v>
      </c>
      <c r="N16" s="39" t="s">
        <v>1279</v>
      </c>
      <c r="O16" s="39" t="s">
        <v>1279</v>
      </c>
      <c r="P16" s="39" t="s">
        <v>1279</v>
      </c>
      <c r="Q16" s="39" t="s">
        <v>1279</v>
      </c>
      <c r="R16" s="40" t="s">
        <v>1279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30"/>
  <sheetViews>
    <sheetView workbookViewId="0">
      <selection activeCell="A2" sqref="A2"/>
    </sheetView>
  </sheetViews>
  <sheetFormatPr defaultColWidth="8.81640625" defaultRowHeight="14.5"/>
  <cols>
    <col min="1" max="1" width="31" customWidth="1"/>
    <col min="2" max="2" width="23.453125" customWidth="1"/>
    <col min="3" max="3" width="12.453125" customWidth="1"/>
    <col min="4" max="4" width="13.453125" customWidth="1"/>
    <col min="5" max="5" width="11.81640625" customWidth="1"/>
    <col min="6" max="6" width="86.453125" customWidth="1"/>
    <col min="7" max="7" width="66.81640625" style="13" customWidth="1"/>
  </cols>
  <sheetData>
    <row r="1" spans="1:7" ht="29">
      <c r="A1" s="5" t="s">
        <v>1165</v>
      </c>
      <c r="B1" s="6" t="s">
        <v>1166</v>
      </c>
      <c r="C1" s="6" t="s">
        <v>3</v>
      </c>
      <c r="D1" s="6" t="s">
        <v>5</v>
      </c>
      <c r="E1" s="6" t="s">
        <v>1167</v>
      </c>
      <c r="F1" s="6" t="s">
        <v>1168</v>
      </c>
      <c r="G1" s="10" t="s">
        <v>1309</v>
      </c>
    </row>
    <row r="2" spans="1:7" ht="409.5">
      <c r="A2" s="16" t="s">
        <v>873</v>
      </c>
      <c r="B2" s="17" t="s">
        <v>1310</v>
      </c>
      <c r="C2" s="18" t="s">
        <v>1311</v>
      </c>
      <c r="D2" s="18">
        <v>20260101</v>
      </c>
      <c r="E2" s="18" t="s">
        <v>48</v>
      </c>
      <c r="F2" s="17" t="s">
        <v>1312</v>
      </c>
      <c r="G2" s="19" t="s">
        <v>1174</v>
      </c>
    </row>
    <row r="3" spans="1:7" ht="87">
      <c r="A3" s="16" t="s">
        <v>889</v>
      </c>
      <c r="B3" s="17" t="s">
        <v>1313</v>
      </c>
      <c r="C3" s="18" t="s">
        <v>1314</v>
      </c>
      <c r="D3" s="18">
        <v>20260101</v>
      </c>
      <c r="E3" s="18" t="s">
        <v>48</v>
      </c>
      <c r="F3" s="17" t="s">
        <v>1315</v>
      </c>
      <c r="G3" s="19" t="s">
        <v>1174</v>
      </c>
    </row>
    <row r="4" spans="1:7" ht="409.5">
      <c r="A4" s="16" t="s">
        <v>881</v>
      </c>
      <c r="B4" s="17" t="s">
        <v>1313</v>
      </c>
      <c r="C4" s="18" t="s">
        <v>1316</v>
      </c>
      <c r="D4" s="18">
        <v>20260101</v>
      </c>
      <c r="E4" s="18" t="s">
        <v>48</v>
      </c>
      <c r="F4" s="17" t="s">
        <v>1317</v>
      </c>
      <c r="G4" s="19" t="s">
        <v>1174</v>
      </c>
    </row>
    <row r="5" spans="1:7" ht="409.5">
      <c r="A5" s="16" t="s">
        <v>1075</v>
      </c>
      <c r="B5" s="17" t="s">
        <v>1313</v>
      </c>
      <c r="C5" s="20" t="s">
        <v>1318</v>
      </c>
      <c r="D5" s="20">
        <v>20250101</v>
      </c>
      <c r="E5" s="20" t="s">
        <v>29</v>
      </c>
      <c r="F5" s="17" t="s">
        <v>1319</v>
      </c>
      <c r="G5" s="19" t="s">
        <v>1174</v>
      </c>
    </row>
    <row r="6" spans="1:7" ht="409.5">
      <c r="A6" s="16" t="s">
        <v>1057</v>
      </c>
      <c r="B6" s="17" t="s">
        <v>1313</v>
      </c>
      <c r="C6" s="20" t="s">
        <v>1320</v>
      </c>
      <c r="D6" s="20">
        <v>20250101</v>
      </c>
      <c r="E6" s="20" t="s">
        <v>48</v>
      </c>
      <c r="F6" s="17" t="s">
        <v>1321</v>
      </c>
      <c r="G6" s="19" t="s">
        <v>1174</v>
      </c>
    </row>
    <row r="7" spans="1:7" ht="377">
      <c r="A7" s="16" t="s">
        <v>1034</v>
      </c>
      <c r="B7" s="17" t="s">
        <v>1313</v>
      </c>
      <c r="C7" s="20" t="s">
        <v>1322</v>
      </c>
      <c r="D7" s="20">
        <v>20250701</v>
      </c>
      <c r="E7" s="20" t="s">
        <v>48</v>
      </c>
      <c r="F7" s="17" t="s">
        <v>1323</v>
      </c>
      <c r="G7" s="19" t="s">
        <v>1174</v>
      </c>
    </row>
    <row r="8" spans="1:7" ht="409.5">
      <c r="A8" s="16" t="s">
        <v>1046</v>
      </c>
      <c r="B8" s="17" t="s">
        <v>1313</v>
      </c>
      <c r="C8" s="20" t="s">
        <v>1324</v>
      </c>
      <c r="D8" s="20">
        <v>20250101</v>
      </c>
      <c r="E8" s="20" t="s">
        <v>48</v>
      </c>
      <c r="F8" s="17" t="s">
        <v>1325</v>
      </c>
      <c r="G8" s="19" t="s">
        <v>1326</v>
      </c>
    </row>
    <row r="9" spans="1:7" ht="289.5" customHeight="1">
      <c r="A9" s="16" t="s">
        <v>1093</v>
      </c>
      <c r="B9" s="17" t="s">
        <v>1313</v>
      </c>
      <c r="C9" s="20" t="s">
        <v>1327</v>
      </c>
      <c r="D9" s="20">
        <v>20250101</v>
      </c>
      <c r="E9" s="20" t="s">
        <v>29</v>
      </c>
      <c r="F9" s="17" t="s">
        <v>1328</v>
      </c>
      <c r="G9" s="19" t="s">
        <v>1174</v>
      </c>
    </row>
    <row r="10" spans="1:7" ht="409.5">
      <c r="A10" s="16" t="s">
        <v>1054</v>
      </c>
      <c r="B10" s="17" t="s">
        <v>1313</v>
      </c>
      <c r="C10" s="20" t="s">
        <v>1329</v>
      </c>
      <c r="D10" s="20">
        <v>20250101</v>
      </c>
      <c r="E10" s="20" t="s">
        <v>48</v>
      </c>
      <c r="F10" s="17" t="s">
        <v>1330</v>
      </c>
      <c r="G10" s="21" t="s">
        <v>1331</v>
      </c>
    </row>
    <row r="11" spans="1:7" ht="409.5">
      <c r="A11" s="16" t="s">
        <v>901</v>
      </c>
      <c r="B11" s="17" t="s">
        <v>1313</v>
      </c>
      <c r="C11" s="18" t="s">
        <v>1332</v>
      </c>
      <c r="D11" s="18">
        <v>20260101</v>
      </c>
      <c r="E11" s="18" t="s">
        <v>1333</v>
      </c>
      <c r="F11" s="17" t="s">
        <v>1334</v>
      </c>
      <c r="G11" s="21" t="s">
        <v>1335</v>
      </c>
    </row>
    <row r="12" spans="1:7" ht="409.5">
      <c r="A12" s="16" t="s">
        <v>903</v>
      </c>
      <c r="B12" s="17" t="s">
        <v>1313</v>
      </c>
      <c r="C12" s="20" t="s">
        <v>1336</v>
      </c>
      <c r="D12" s="20">
        <v>20260101</v>
      </c>
      <c r="E12" s="20" t="s">
        <v>1333</v>
      </c>
      <c r="F12" s="17" t="s">
        <v>1337</v>
      </c>
      <c r="G12" s="14" t="s">
        <v>1338</v>
      </c>
    </row>
    <row r="13" spans="1:7" ht="409.5">
      <c r="A13" s="16" t="s">
        <v>895</v>
      </c>
      <c r="B13" s="17" t="s">
        <v>1313</v>
      </c>
      <c r="C13" s="18" t="s">
        <v>1339</v>
      </c>
      <c r="D13" s="18">
        <v>20260101</v>
      </c>
      <c r="E13" s="18" t="s">
        <v>1333</v>
      </c>
      <c r="F13" s="17" t="s">
        <v>1340</v>
      </c>
      <c r="G13" s="21" t="s">
        <v>1341</v>
      </c>
    </row>
    <row r="14" spans="1:7" ht="409.5">
      <c r="A14" s="16" t="s">
        <v>1342</v>
      </c>
      <c r="B14" s="17" t="s">
        <v>1313</v>
      </c>
      <c r="C14" s="18" t="s">
        <v>1343</v>
      </c>
      <c r="D14" s="18">
        <v>20260101</v>
      </c>
      <c r="E14" s="18" t="s">
        <v>48</v>
      </c>
      <c r="F14" s="17" t="s">
        <v>1344</v>
      </c>
      <c r="G14" s="21" t="s">
        <v>1345</v>
      </c>
    </row>
    <row r="15" spans="1:7" ht="409.5">
      <c r="A15" s="16" t="s">
        <v>1346</v>
      </c>
      <c r="B15" s="17" t="s">
        <v>1313</v>
      </c>
      <c r="C15" s="18" t="s">
        <v>1347</v>
      </c>
      <c r="D15" s="18">
        <v>20260101</v>
      </c>
      <c r="E15" s="18" t="s">
        <v>48</v>
      </c>
      <c r="F15" s="17" t="s">
        <v>1348</v>
      </c>
      <c r="G15" s="19" t="s">
        <v>1174</v>
      </c>
    </row>
    <row r="16" spans="1:7" ht="409.5">
      <c r="A16" s="16" t="s">
        <v>876</v>
      </c>
      <c r="B16" s="17" t="s">
        <v>1313</v>
      </c>
      <c r="C16" s="18" t="s">
        <v>1349</v>
      </c>
      <c r="D16" s="18">
        <v>20260101</v>
      </c>
      <c r="E16" s="18" t="s">
        <v>48</v>
      </c>
      <c r="F16" s="17" t="s">
        <v>1350</v>
      </c>
      <c r="G16" s="19" t="s">
        <v>1174</v>
      </c>
    </row>
    <row r="17" spans="1:7" ht="409.5">
      <c r="A17" s="16" t="s">
        <v>899</v>
      </c>
      <c r="B17" s="17" t="s">
        <v>1313</v>
      </c>
      <c r="C17" s="18" t="s">
        <v>1351</v>
      </c>
      <c r="D17" s="18">
        <v>20260101</v>
      </c>
      <c r="E17" s="18" t="s">
        <v>29</v>
      </c>
      <c r="F17" s="17" t="s">
        <v>1352</v>
      </c>
      <c r="G17" s="19" t="s">
        <v>1174</v>
      </c>
    </row>
    <row r="18" spans="1:7" ht="58">
      <c r="A18" s="16" t="s">
        <v>897</v>
      </c>
      <c r="B18" s="17" t="s">
        <v>1313</v>
      </c>
      <c r="C18" s="18" t="s">
        <v>1332</v>
      </c>
      <c r="D18" s="18">
        <v>20260101</v>
      </c>
      <c r="E18" s="18" t="s">
        <v>29</v>
      </c>
      <c r="F18" s="17" t="s">
        <v>1353</v>
      </c>
      <c r="G18" s="19" t="s">
        <v>1174</v>
      </c>
    </row>
    <row r="19" spans="1:7" ht="391.5">
      <c r="A19" s="16" t="s">
        <v>885</v>
      </c>
      <c r="B19" s="17" t="s">
        <v>1313</v>
      </c>
      <c r="C19" s="18" t="s">
        <v>1354</v>
      </c>
      <c r="D19" s="18">
        <v>20260101</v>
      </c>
      <c r="E19" s="18" t="s">
        <v>48</v>
      </c>
      <c r="F19" s="17" t="s">
        <v>1355</v>
      </c>
      <c r="G19" s="19" t="s">
        <v>1174</v>
      </c>
    </row>
    <row r="20" spans="1:7" ht="72.5">
      <c r="A20" s="16" t="s">
        <v>399</v>
      </c>
      <c r="B20" s="17" t="s">
        <v>1313</v>
      </c>
      <c r="C20" s="18" t="s">
        <v>1356</v>
      </c>
      <c r="D20" s="18">
        <v>20260101</v>
      </c>
      <c r="E20" s="18" t="s">
        <v>48</v>
      </c>
      <c r="F20" s="17" t="s">
        <v>1357</v>
      </c>
      <c r="G20" s="19" t="s">
        <v>1174</v>
      </c>
    </row>
    <row r="21" spans="1:7" ht="409.5">
      <c r="A21" s="16" t="s">
        <v>891</v>
      </c>
      <c r="B21" s="17" t="s">
        <v>1313</v>
      </c>
      <c r="C21" s="18" t="s">
        <v>1358</v>
      </c>
      <c r="D21" s="18">
        <v>20260101</v>
      </c>
      <c r="E21" s="18" t="s">
        <v>48</v>
      </c>
      <c r="F21" s="17" t="s">
        <v>1359</v>
      </c>
      <c r="G21" s="19" t="s">
        <v>1174</v>
      </c>
    </row>
    <row r="22" spans="1:7" ht="409.5">
      <c r="A22" s="16" t="s">
        <v>871</v>
      </c>
      <c r="B22" s="17" t="s">
        <v>1313</v>
      </c>
      <c r="C22" s="18" t="s">
        <v>1360</v>
      </c>
      <c r="D22" s="18">
        <v>20260101</v>
      </c>
      <c r="E22" s="18" t="s">
        <v>48</v>
      </c>
      <c r="F22" s="17" t="s">
        <v>1361</v>
      </c>
      <c r="G22" s="19" t="s">
        <v>1174</v>
      </c>
    </row>
    <row r="23" spans="1:7" ht="188.5">
      <c r="A23" s="16" t="s">
        <v>1038</v>
      </c>
      <c r="B23" s="17" t="s">
        <v>1362</v>
      </c>
      <c r="C23" s="20" t="s">
        <v>1363</v>
      </c>
      <c r="D23" s="20">
        <v>20250101</v>
      </c>
      <c r="E23" s="20" t="s">
        <v>48</v>
      </c>
      <c r="F23" s="17" t="s">
        <v>1364</v>
      </c>
      <c r="G23" s="19" t="s">
        <v>1174</v>
      </c>
    </row>
    <row r="24" spans="1:7" ht="58">
      <c r="A24" s="22" t="s">
        <v>1042</v>
      </c>
      <c r="B24" s="23" t="s">
        <v>1365</v>
      </c>
      <c r="C24" s="24" t="s">
        <v>1366</v>
      </c>
      <c r="D24" s="24">
        <v>20250101</v>
      </c>
      <c r="E24" s="24" t="s">
        <v>29</v>
      </c>
      <c r="F24" s="23" t="s">
        <v>1367</v>
      </c>
      <c r="G24" s="25" t="s">
        <v>1174</v>
      </c>
    </row>
    <row r="25" spans="1:7" ht="84">
      <c r="A25" s="15" t="s">
        <v>496</v>
      </c>
      <c r="B25" s="7" t="s">
        <v>1365</v>
      </c>
      <c r="C25" s="26" t="s">
        <v>1363</v>
      </c>
      <c r="D25" s="26">
        <v>20250101</v>
      </c>
      <c r="E25" s="26" t="s">
        <v>48</v>
      </c>
      <c r="F25" s="7" t="s">
        <v>1368</v>
      </c>
      <c r="G25" s="11" t="s">
        <v>1369</v>
      </c>
    </row>
    <row r="26" spans="1:7" ht="70">
      <c r="A26" s="8" t="s">
        <v>1050</v>
      </c>
      <c r="B26" s="9" t="s">
        <v>1365</v>
      </c>
      <c r="C26" s="27" t="s">
        <v>1370</v>
      </c>
      <c r="D26" s="27">
        <v>20250102</v>
      </c>
      <c r="E26" s="27" t="s">
        <v>48</v>
      </c>
      <c r="F26" s="9" t="s">
        <v>1368</v>
      </c>
      <c r="G26" s="12" t="s">
        <v>1371</v>
      </c>
    </row>
    <row r="27" spans="1:7">
      <c r="A27" s="157"/>
      <c r="B27" s="158"/>
      <c r="C27" s="1"/>
      <c r="D27" s="2"/>
      <c r="E27" s="1"/>
      <c r="F27" s="157"/>
      <c r="G27" s="159"/>
    </row>
    <row r="28" spans="1:7">
      <c r="A28" s="157"/>
      <c r="B28" s="158"/>
      <c r="C28" s="1"/>
      <c r="D28" s="2"/>
      <c r="E28" s="1"/>
      <c r="F28" s="157"/>
      <c r="G28" s="159"/>
    </row>
    <row r="29" spans="1:7">
      <c r="A29" s="157"/>
      <c r="B29" s="158"/>
      <c r="C29" s="1"/>
      <c r="D29" s="2"/>
      <c r="E29" s="1"/>
      <c r="F29" s="157"/>
      <c r="G29" s="159"/>
    </row>
    <row r="30" spans="1:7">
      <c r="A30" s="157"/>
      <c r="B30" s="158"/>
      <c r="C30" s="1"/>
      <c r="D30" s="2"/>
      <c r="E30" s="1"/>
      <c r="F30" s="157"/>
      <c r="G30" s="159"/>
    </row>
    <row r="31" spans="1:7">
      <c r="A31" s="157"/>
      <c r="B31" s="158"/>
      <c r="C31" s="1"/>
      <c r="D31" s="2"/>
      <c r="E31" s="1"/>
      <c r="F31" s="157"/>
      <c r="G31" s="159"/>
    </row>
    <row r="32" spans="1:7">
      <c r="A32" s="157"/>
      <c r="B32" s="158"/>
      <c r="C32" s="1"/>
      <c r="D32" s="2"/>
      <c r="E32" s="1"/>
      <c r="F32" s="157"/>
      <c r="G32" s="159"/>
    </row>
    <row r="33" spans="1:7">
      <c r="A33" s="157"/>
      <c r="B33" s="158"/>
      <c r="C33" s="1"/>
      <c r="D33" s="2"/>
      <c r="E33" s="1"/>
      <c r="F33" s="157"/>
      <c r="G33" s="159"/>
    </row>
    <row r="34" spans="1:7">
      <c r="A34" s="157"/>
      <c r="B34" s="158"/>
      <c r="C34" s="1"/>
      <c r="D34" s="2"/>
      <c r="E34" s="1"/>
      <c r="F34" s="157"/>
      <c r="G34" s="159"/>
    </row>
    <row r="35" spans="1:7">
      <c r="A35" s="157"/>
      <c r="B35" s="158"/>
      <c r="C35" s="1"/>
      <c r="D35" s="2"/>
      <c r="E35" s="1"/>
      <c r="F35" s="157"/>
      <c r="G35" s="159"/>
    </row>
    <row r="36" spans="1:7">
      <c r="A36" s="157"/>
      <c r="B36" s="158"/>
      <c r="C36" s="1"/>
      <c r="D36" s="2"/>
      <c r="E36" s="1"/>
      <c r="F36" s="157"/>
      <c r="G36" s="159"/>
    </row>
    <row r="37" spans="1:7">
      <c r="A37" s="157"/>
      <c r="B37" s="158"/>
      <c r="C37" s="1"/>
      <c r="D37" s="2"/>
      <c r="E37" s="1"/>
      <c r="F37" s="157"/>
      <c r="G37" s="159"/>
    </row>
    <row r="38" spans="1:7">
      <c r="A38" s="157"/>
      <c r="B38" s="158"/>
      <c r="C38" s="1"/>
      <c r="D38" s="2"/>
      <c r="E38" s="1"/>
      <c r="F38" s="157"/>
      <c r="G38" s="159"/>
    </row>
    <row r="39" spans="1:7">
      <c r="A39" s="157"/>
      <c r="B39" s="158"/>
      <c r="C39" s="1"/>
      <c r="D39" s="2"/>
      <c r="E39" s="1"/>
      <c r="F39" s="157"/>
      <c r="G39" s="159"/>
    </row>
    <row r="40" spans="1:7">
      <c r="A40" s="157"/>
      <c r="B40" s="158"/>
      <c r="C40" s="1"/>
      <c r="D40" s="2"/>
      <c r="E40" s="1"/>
      <c r="F40" s="157"/>
      <c r="G40" s="159"/>
    </row>
    <row r="41" spans="1:7">
      <c r="A41" s="157"/>
      <c r="B41" s="158"/>
      <c r="C41" s="1"/>
      <c r="D41" s="2"/>
      <c r="E41" s="1"/>
      <c r="F41" s="157"/>
      <c r="G41" s="159"/>
    </row>
    <row r="42" spans="1:7">
      <c r="A42" s="157"/>
      <c r="B42" s="158"/>
      <c r="C42" s="1"/>
      <c r="D42" s="2"/>
      <c r="E42" s="1"/>
      <c r="F42" s="157"/>
      <c r="G42" s="159"/>
    </row>
    <row r="43" spans="1:7">
      <c r="A43" s="157"/>
      <c r="B43" s="158"/>
      <c r="C43" s="1"/>
      <c r="D43" s="2"/>
      <c r="E43" s="1"/>
      <c r="F43" s="157"/>
      <c r="G43" s="159"/>
    </row>
    <row r="44" spans="1:7">
      <c r="A44" s="157"/>
      <c r="B44" s="158"/>
      <c r="C44" s="1"/>
      <c r="D44" s="2"/>
      <c r="E44" s="1"/>
      <c r="F44" s="157"/>
      <c r="G44" s="159"/>
    </row>
    <row r="45" spans="1:7">
      <c r="A45" s="157"/>
      <c r="B45" s="158"/>
      <c r="C45" s="1"/>
      <c r="D45" s="2"/>
      <c r="E45" s="1"/>
      <c r="F45" s="157"/>
      <c r="G45" s="159"/>
    </row>
    <row r="46" spans="1:7">
      <c r="A46" s="157"/>
      <c r="B46" s="158"/>
      <c r="C46" s="1"/>
      <c r="D46" s="2"/>
      <c r="E46" s="1"/>
      <c r="F46" s="157"/>
      <c r="G46" s="159"/>
    </row>
    <row r="47" spans="1:7">
      <c r="A47" s="157"/>
      <c r="B47" s="158"/>
      <c r="C47" s="1"/>
      <c r="D47" s="2"/>
      <c r="E47" s="1"/>
      <c r="F47" s="157"/>
      <c r="G47" s="159"/>
    </row>
    <row r="48" spans="1:7">
      <c r="A48" s="157"/>
      <c r="B48" s="158"/>
      <c r="C48" s="1"/>
      <c r="D48" s="2"/>
      <c r="E48" s="1"/>
      <c r="F48" s="157"/>
      <c r="G48" s="159"/>
    </row>
    <row r="49" spans="1:7">
      <c r="A49" s="157"/>
      <c r="B49" s="158"/>
      <c r="C49" s="1"/>
      <c r="D49" s="2"/>
      <c r="E49" s="1"/>
      <c r="F49" s="157"/>
      <c r="G49" s="159"/>
    </row>
    <row r="50" spans="1:7">
      <c r="A50" s="157"/>
      <c r="B50" s="158"/>
      <c r="C50" s="1"/>
      <c r="D50" s="2"/>
      <c r="E50" s="1"/>
      <c r="F50" s="157"/>
      <c r="G50" s="159"/>
    </row>
    <row r="51" spans="1:7">
      <c r="A51" s="157"/>
      <c r="B51" s="158"/>
      <c r="C51" s="1"/>
      <c r="D51" s="2"/>
      <c r="E51" s="1"/>
      <c r="F51" s="157"/>
      <c r="G51" s="159"/>
    </row>
    <row r="52" spans="1:7">
      <c r="A52" s="157"/>
      <c r="B52" s="158"/>
      <c r="C52" s="1"/>
      <c r="D52" s="2"/>
      <c r="E52" s="1"/>
      <c r="F52" s="157"/>
      <c r="G52" s="159"/>
    </row>
    <row r="53" spans="1:7">
      <c r="A53" s="157"/>
      <c r="B53" s="158"/>
      <c r="C53" s="1"/>
      <c r="D53" s="2"/>
      <c r="E53" s="1"/>
      <c r="F53" s="157"/>
      <c r="G53" s="159"/>
    </row>
    <row r="54" spans="1:7">
      <c r="A54" s="157"/>
      <c r="B54" s="158"/>
      <c r="C54" s="1"/>
      <c r="D54" s="2"/>
      <c r="E54" s="1"/>
      <c r="F54" s="157"/>
      <c r="G54" s="159"/>
    </row>
    <row r="55" spans="1:7">
      <c r="A55" s="157"/>
      <c r="B55" s="158"/>
      <c r="C55" s="1"/>
      <c r="D55" s="2"/>
      <c r="E55" s="1"/>
      <c r="F55" s="157"/>
      <c r="G55" s="159"/>
    </row>
    <row r="56" spans="1:7">
      <c r="A56" s="157"/>
      <c r="B56" s="158"/>
      <c r="C56" s="1"/>
      <c r="D56" s="2"/>
      <c r="E56" s="1"/>
      <c r="F56" s="157"/>
      <c r="G56" s="159"/>
    </row>
    <row r="57" spans="1:7">
      <c r="A57" s="157"/>
      <c r="B57" s="158"/>
      <c r="C57" s="1"/>
      <c r="D57" s="2"/>
      <c r="E57" s="1"/>
      <c r="F57" s="157"/>
      <c r="G57" s="159"/>
    </row>
    <row r="58" spans="1:7">
      <c r="A58" s="157"/>
      <c r="B58" s="158"/>
      <c r="C58" s="1"/>
      <c r="D58" s="2"/>
      <c r="E58" s="1"/>
      <c r="F58" s="157"/>
      <c r="G58" s="159"/>
    </row>
    <row r="59" spans="1:7">
      <c r="A59" s="157"/>
      <c r="B59" s="158"/>
      <c r="C59" s="1"/>
      <c r="D59" s="2"/>
      <c r="E59" s="1"/>
      <c r="F59" s="157"/>
      <c r="G59" s="159"/>
    </row>
    <row r="60" spans="1:7">
      <c r="A60" s="157"/>
      <c r="B60" s="158"/>
      <c r="C60" s="1"/>
      <c r="D60" s="2"/>
      <c r="E60" s="1"/>
      <c r="F60" s="157"/>
      <c r="G60" s="159"/>
    </row>
    <row r="61" spans="1:7">
      <c r="A61" s="157"/>
      <c r="B61" s="158"/>
      <c r="C61" s="1"/>
      <c r="D61" s="2"/>
      <c r="E61" s="1"/>
      <c r="F61" s="157"/>
      <c r="G61" s="159"/>
    </row>
    <row r="62" spans="1:7">
      <c r="A62" s="157"/>
      <c r="B62" s="158"/>
      <c r="C62" s="1"/>
      <c r="D62" s="2"/>
      <c r="E62" s="1"/>
      <c r="F62" s="157"/>
      <c r="G62" s="159"/>
    </row>
    <row r="63" spans="1:7">
      <c r="A63" s="157"/>
      <c r="B63" s="158"/>
      <c r="C63" s="1"/>
      <c r="D63" s="2"/>
      <c r="E63" s="1"/>
      <c r="F63" s="157"/>
      <c r="G63" s="159"/>
    </row>
    <row r="64" spans="1:7">
      <c r="A64" s="157"/>
      <c r="B64" s="158"/>
      <c r="C64" s="1"/>
      <c r="D64" s="2"/>
      <c r="E64" s="1"/>
      <c r="F64" s="157"/>
      <c r="G64" s="159"/>
    </row>
    <row r="65" spans="1:7">
      <c r="A65" s="157"/>
      <c r="B65" s="158"/>
      <c r="C65" s="1"/>
      <c r="D65" s="2"/>
      <c r="E65" s="1"/>
      <c r="F65" s="157"/>
      <c r="G65" s="159"/>
    </row>
    <row r="66" spans="1:7">
      <c r="A66" s="157"/>
      <c r="B66" s="158"/>
      <c r="C66" s="1"/>
      <c r="D66" s="2"/>
      <c r="E66" s="1"/>
      <c r="F66" s="157"/>
      <c r="G66" s="159"/>
    </row>
    <row r="67" spans="1:7">
      <c r="A67" s="157"/>
      <c r="B67" s="158"/>
      <c r="C67" s="1"/>
      <c r="D67" s="2"/>
      <c r="E67" s="1"/>
      <c r="F67" s="157"/>
      <c r="G67" s="159"/>
    </row>
    <row r="68" spans="1:7">
      <c r="A68" s="157"/>
      <c r="B68" s="158"/>
      <c r="C68" s="1"/>
      <c r="D68" s="2"/>
      <c r="E68" s="1"/>
      <c r="F68" s="157"/>
      <c r="G68" s="159"/>
    </row>
    <row r="69" spans="1:7">
      <c r="A69" s="157"/>
      <c r="B69" s="158"/>
      <c r="C69" s="1"/>
      <c r="D69" s="2"/>
      <c r="E69" s="1"/>
      <c r="F69" s="157"/>
      <c r="G69" s="159"/>
    </row>
    <row r="70" spans="1:7">
      <c r="A70" s="157"/>
      <c r="B70" s="158"/>
      <c r="C70" s="1"/>
      <c r="D70" s="2"/>
      <c r="E70" s="1"/>
      <c r="F70" s="157"/>
      <c r="G70" s="159"/>
    </row>
    <row r="71" spans="1:7">
      <c r="A71" s="157"/>
      <c r="B71" s="158"/>
      <c r="C71" s="1"/>
      <c r="D71" s="2"/>
      <c r="E71" s="1"/>
      <c r="F71" s="157"/>
      <c r="G71" s="159"/>
    </row>
    <row r="72" spans="1:7">
      <c r="A72" s="157"/>
      <c r="B72" s="158"/>
      <c r="C72" s="1"/>
      <c r="D72" s="2"/>
      <c r="E72" s="1"/>
      <c r="F72" s="157"/>
      <c r="G72" s="159"/>
    </row>
    <row r="73" spans="1:7">
      <c r="A73" s="157"/>
      <c r="B73" s="158"/>
      <c r="C73" s="1"/>
      <c r="D73" s="2"/>
      <c r="E73" s="1"/>
      <c r="F73" s="157"/>
      <c r="G73" s="159"/>
    </row>
    <row r="74" spans="1:7">
      <c r="A74" s="157"/>
      <c r="B74" s="158"/>
      <c r="C74" s="158"/>
      <c r="D74" s="160"/>
      <c r="E74" s="158"/>
      <c r="F74" s="157"/>
      <c r="G74" s="159"/>
    </row>
    <row r="75" spans="1:7">
      <c r="A75" s="157"/>
      <c r="B75" s="158"/>
      <c r="C75" s="158"/>
      <c r="D75" s="160"/>
      <c r="E75" s="158"/>
      <c r="F75" s="157"/>
      <c r="G75" s="159"/>
    </row>
    <row r="76" spans="1:7">
      <c r="A76" s="157"/>
      <c r="B76" s="158"/>
      <c r="C76" s="158"/>
      <c r="D76" s="160"/>
      <c r="E76" s="158"/>
      <c r="F76" s="157"/>
      <c r="G76" s="159"/>
    </row>
    <row r="77" spans="1:7">
      <c r="A77" s="157"/>
      <c r="B77" s="158"/>
      <c r="C77" s="158"/>
      <c r="D77" s="160"/>
      <c r="E77" s="158"/>
      <c r="F77" s="157"/>
      <c r="G77" s="159"/>
    </row>
    <row r="78" spans="1:7">
      <c r="A78" s="157"/>
      <c r="B78" s="158"/>
      <c r="C78" s="158"/>
      <c r="D78" s="160"/>
      <c r="E78" s="158"/>
      <c r="F78" s="157"/>
      <c r="G78" s="159"/>
    </row>
    <row r="79" spans="1:7">
      <c r="A79" s="157"/>
      <c r="B79" s="158"/>
      <c r="C79" s="158"/>
      <c r="D79" s="160"/>
      <c r="E79" s="158"/>
      <c r="F79" s="157"/>
      <c r="G79" s="159"/>
    </row>
    <row r="80" spans="1:7">
      <c r="A80" s="157"/>
      <c r="B80" s="158"/>
      <c r="C80" s="158"/>
      <c r="D80" s="160"/>
      <c r="E80" s="158"/>
      <c r="F80" s="157"/>
      <c r="G80" s="159"/>
    </row>
    <row r="81" spans="1:7">
      <c r="A81" s="157"/>
      <c r="B81" s="158"/>
      <c r="C81" s="158"/>
      <c r="D81" s="160"/>
      <c r="E81" s="158"/>
      <c r="F81" s="157"/>
      <c r="G81" s="159"/>
    </row>
    <row r="82" spans="1:7">
      <c r="A82" s="157"/>
      <c r="B82" s="158"/>
      <c r="C82" s="158"/>
      <c r="D82" s="160"/>
      <c r="E82" s="158"/>
      <c r="F82" s="157"/>
      <c r="G82" s="159"/>
    </row>
    <row r="83" spans="1:7">
      <c r="A83" s="157"/>
      <c r="B83" s="158"/>
      <c r="C83" s="158"/>
      <c r="D83" s="160"/>
      <c r="E83" s="158"/>
      <c r="F83" s="157"/>
      <c r="G83" s="159"/>
    </row>
    <row r="84" spans="1:7">
      <c r="A84" s="157"/>
      <c r="B84" s="158"/>
      <c r="C84" s="158"/>
      <c r="D84" s="160"/>
      <c r="E84" s="158"/>
      <c r="F84" s="157"/>
      <c r="G84" s="159"/>
    </row>
    <row r="85" spans="1:7">
      <c r="A85" s="157"/>
      <c r="B85" s="158"/>
      <c r="C85" s="158"/>
      <c r="D85" s="160"/>
      <c r="E85" s="158"/>
      <c r="F85" s="157"/>
      <c r="G85" s="159"/>
    </row>
    <row r="86" spans="1:7">
      <c r="A86" s="157"/>
      <c r="B86" s="158"/>
      <c r="C86" s="158"/>
      <c r="D86" s="160"/>
      <c r="E86" s="158"/>
      <c r="F86" s="157"/>
      <c r="G86" s="159"/>
    </row>
    <row r="87" spans="1:7">
      <c r="A87" s="157"/>
      <c r="B87" s="158"/>
      <c r="C87" s="158"/>
      <c r="D87" s="160"/>
      <c r="E87" s="158"/>
      <c r="F87" s="157"/>
      <c r="G87" s="159"/>
    </row>
    <row r="88" spans="1:7">
      <c r="A88" s="157"/>
      <c r="B88" s="158"/>
      <c r="C88" s="158"/>
      <c r="D88" s="160"/>
      <c r="E88" s="158"/>
      <c r="F88" s="157"/>
      <c r="G88" s="159"/>
    </row>
    <row r="89" spans="1:7">
      <c r="A89" s="157"/>
      <c r="B89" s="158"/>
      <c r="C89" s="158"/>
      <c r="D89" s="160"/>
      <c r="E89" s="158"/>
      <c r="F89" s="157"/>
      <c r="G89" s="159"/>
    </row>
    <row r="90" spans="1:7">
      <c r="A90" s="157"/>
      <c r="B90" s="158"/>
      <c r="C90" s="158"/>
      <c r="D90" s="160"/>
      <c r="E90" s="158"/>
      <c r="F90" s="157"/>
      <c r="G90" s="159"/>
    </row>
    <row r="91" spans="1:7">
      <c r="A91" s="157"/>
      <c r="B91" s="158"/>
      <c r="C91" s="158"/>
      <c r="D91" s="160"/>
      <c r="E91" s="158"/>
      <c r="F91" s="157"/>
      <c r="G91" s="159"/>
    </row>
    <row r="92" spans="1:7">
      <c r="A92" s="157"/>
      <c r="B92" s="158"/>
      <c r="C92" s="158"/>
      <c r="D92" s="160"/>
      <c r="E92" s="158"/>
      <c r="F92" s="157"/>
      <c r="G92" s="159"/>
    </row>
    <row r="93" spans="1:7">
      <c r="A93" s="157"/>
      <c r="B93" s="158"/>
      <c r="C93" s="158"/>
      <c r="D93" s="160"/>
      <c r="E93" s="158"/>
      <c r="F93" s="157"/>
      <c r="G93" s="159"/>
    </row>
    <row r="94" spans="1:7">
      <c r="A94" s="157"/>
      <c r="B94" s="158"/>
      <c r="C94" s="158"/>
      <c r="D94" s="160"/>
      <c r="E94" s="158"/>
      <c r="F94" s="157"/>
      <c r="G94" s="159"/>
    </row>
    <row r="95" spans="1:7">
      <c r="A95" s="157"/>
      <c r="B95" s="158"/>
      <c r="C95" s="158"/>
      <c r="D95" s="160"/>
      <c r="E95" s="158"/>
      <c r="F95" s="157"/>
      <c r="G95" s="159"/>
    </row>
    <row r="96" spans="1:7">
      <c r="A96" s="157"/>
      <c r="B96" s="158"/>
      <c r="C96" s="158"/>
      <c r="D96" s="160"/>
      <c r="E96" s="158"/>
      <c r="F96" s="157"/>
      <c r="G96" s="159"/>
    </row>
    <row r="97" spans="1:7">
      <c r="A97" s="157"/>
      <c r="B97" s="158"/>
      <c r="C97" s="158"/>
      <c r="D97" s="160"/>
      <c r="E97" s="158"/>
      <c r="F97" s="157"/>
      <c r="G97" s="159"/>
    </row>
    <row r="98" spans="1:7">
      <c r="A98" s="157"/>
      <c r="B98" s="158"/>
      <c r="C98" s="158"/>
      <c r="D98" s="160"/>
      <c r="E98" s="158"/>
      <c r="F98" s="157"/>
      <c r="G98" s="159"/>
    </row>
    <row r="99" spans="1:7">
      <c r="A99" s="157"/>
      <c r="B99" s="158"/>
      <c r="C99" s="158"/>
      <c r="D99" s="160"/>
      <c r="E99" s="158"/>
      <c r="F99" s="157"/>
      <c r="G99" s="159"/>
    </row>
    <row r="100" spans="1:7">
      <c r="A100" s="157"/>
      <c r="B100" s="158"/>
      <c r="C100" s="158"/>
      <c r="D100" s="160"/>
      <c r="E100" s="158"/>
      <c r="F100" s="157"/>
      <c r="G100" s="159"/>
    </row>
    <row r="101" spans="1:7">
      <c r="A101" s="157"/>
      <c r="B101" s="158"/>
      <c r="C101" s="158"/>
      <c r="D101" s="160"/>
      <c r="E101" s="158"/>
      <c r="F101" s="157"/>
      <c r="G101" s="159"/>
    </row>
    <row r="102" spans="1:7">
      <c r="A102" s="157"/>
      <c r="B102" s="158"/>
      <c r="C102" s="158"/>
      <c r="D102" s="160"/>
      <c r="E102" s="158"/>
      <c r="F102" s="157"/>
      <c r="G102" s="159"/>
    </row>
    <row r="103" spans="1:7">
      <c r="A103" s="157"/>
      <c r="B103" s="158"/>
      <c r="C103" s="158"/>
      <c r="D103" s="160"/>
      <c r="E103" s="158"/>
      <c r="F103" s="157"/>
      <c r="G103" s="159"/>
    </row>
    <row r="104" spans="1:7">
      <c r="A104" s="157"/>
      <c r="B104" s="158"/>
      <c r="C104" s="158"/>
      <c r="D104" s="160"/>
      <c r="E104" s="158"/>
      <c r="F104" s="157"/>
      <c r="G104" s="159"/>
    </row>
    <row r="105" spans="1:7">
      <c r="A105" s="157"/>
      <c r="B105" s="158"/>
      <c r="C105" s="158"/>
      <c r="D105" s="160"/>
      <c r="E105" s="158"/>
      <c r="F105" s="157"/>
      <c r="G105" s="159"/>
    </row>
    <row r="106" spans="1:7">
      <c r="A106" s="157"/>
      <c r="B106" s="158"/>
      <c r="C106" s="158"/>
      <c r="D106" s="160"/>
      <c r="E106" s="158"/>
      <c r="F106" s="157"/>
      <c r="G106" s="159"/>
    </row>
    <row r="107" spans="1:7">
      <c r="A107" s="157"/>
      <c r="B107" s="158"/>
      <c r="C107" s="158"/>
      <c r="D107" s="160"/>
      <c r="E107" s="158"/>
      <c r="F107" s="157"/>
      <c r="G107" s="159"/>
    </row>
    <row r="108" spans="1:7">
      <c r="A108" s="157"/>
      <c r="B108" s="158"/>
      <c r="C108" s="158"/>
      <c r="D108" s="160"/>
      <c r="E108" s="158"/>
      <c r="F108" s="157"/>
      <c r="G108" s="159"/>
    </row>
    <row r="109" spans="1:7">
      <c r="A109" s="157"/>
      <c r="B109" s="158"/>
      <c r="C109" s="158"/>
      <c r="D109" s="160"/>
      <c r="E109" s="158"/>
      <c r="F109" s="157"/>
      <c r="G109" s="159"/>
    </row>
    <row r="110" spans="1:7">
      <c r="A110" s="157"/>
      <c r="B110" s="158"/>
      <c r="C110" s="158"/>
      <c r="D110" s="160"/>
      <c r="E110" s="158"/>
      <c r="F110" s="157"/>
      <c r="G110" s="159"/>
    </row>
    <row r="111" spans="1:7">
      <c r="A111" s="157"/>
      <c r="B111" s="158"/>
      <c r="C111" s="158"/>
      <c r="D111" s="160"/>
      <c r="E111" s="158"/>
      <c r="F111" s="157"/>
      <c r="G111" s="159"/>
    </row>
    <row r="112" spans="1:7">
      <c r="A112" s="157"/>
      <c r="B112" s="158"/>
      <c r="C112" s="158"/>
      <c r="D112" s="160"/>
      <c r="E112" s="158"/>
      <c r="F112" s="157"/>
      <c r="G112" s="159"/>
    </row>
    <row r="113" spans="1:7">
      <c r="A113" s="157"/>
      <c r="B113" s="158"/>
      <c r="C113" s="158"/>
      <c r="D113" s="160"/>
      <c r="E113" s="158"/>
      <c r="F113" s="157"/>
      <c r="G113" s="159"/>
    </row>
    <row r="114" spans="1:7">
      <c r="A114" s="157"/>
      <c r="B114" s="158"/>
      <c r="C114" s="158"/>
      <c r="D114" s="160"/>
      <c r="E114" s="158"/>
      <c r="F114" s="157"/>
      <c r="G114" s="159"/>
    </row>
    <row r="115" spans="1:7">
      <c r="A115" s="157"/>
      <c r="B115" s="158"/>
      <c r="C115" s="158"/>
      <c r="D115" s="160"/>
      <c r="E115" s="158"/>
      <c r="F115" s="157"/>
      <c r="G115" s="159"/>
    </row>
    <row r="116" spans="1:7">
      <c r="A116" s="157"/>
      <c r="B116" s="158"/>
      <c r="C116" s="158"/>
      <c r="D116" s="160"/>
      <c r="E116" s="158"/>
      <c r="F116" s="157"/>
      <c r="G116" s="159"/>
    </row>
    <row r="117" spans="1:7">
      <c r="A117" s="157"/>
      <c r="B117" s="158"/>
      <c r="C117" s="158"/>
      <c r="D117" s="160"/>
      <c r="E117" s="158"/>
      <c r="F117" s="157"/>
      <c r="G117" s="159"/>
    </row>
    <row r="118" spans="1:7">
      <c r="A118" s="157"/>
      <c r="B118" s="158"/>
      <c r="C118" s="158"/>
      <c r="D118" s="160"/>
      <c r="E118" s="158"/>
      <c r="F118" s="157"/>
      <c r="G118" s="159"/>
    </row>
    <row r="119" spans="1:7">
      <c r="A119" s="157"/>
      <c r="B119" s="158"/>
      <c r="C119" s="158"/>
      <c r="D119" s="160"/>
      <c r="E119" s="158"/>
      <c r="F119" s="157"/>
      <c r="G119" s="159"/>
    </row>
    <row r="120" spans="1:7">
      <c r="A120" s="157"/>
      <c r="B120" s="158"/>
      <c r="C120" s="158"/>
      <c r="D120" s="160"/>
      <c r="E120" s="158"/>
      <c r="F120" s="157"/>
      <c r="G120" s="159"/>
    </row>
    <row r="121" spans="1:7">
      <c r="A121" s="157"/>
      <c r="B121" s="158"/>
      <c r="C121" s="158"/>
      <c r="D121" s="160"/>
      <c r="E121" s="158"/>
      <c r="F121" s="157"/>
      <c r="G121" s="159"/>
    </row>
    <row r="122" spans="1:7">
      <c r="A122" s="157"/>
      <c r="B122" s="158"/>
      <c r="C122" s="158"/>
      <c r="D122" s="160"/>
      <c r="E122" s="158"/>
      <c r="F122" s="157"/>
      <c r="G122" s="159"/>
    </row>
    <row r="123" spans="1:7">
      <c r="A123" s="157"/>
      <c r="B123" s="158"/>
      <c r="C123" s="158"/>
      <c r="D123" s="160"/>
      <c r="E123" s="158"/>
      <c r="F123" s="157"/>
      <c r="G123" s="159"/>
    </row>
    <row r="124" spans="1:7">
      <c r="A124" s="157"/>
      <c r="B124" s="158"/>
      <c r="C124" s="158"/>
      <c r="D124" s="160"/>
      <c r="E124" s="158"/>
      <c r="F124" s="157"/>
      <c r="G124" s="159"/>
    </row>
    <row r="125" spans="1:7">
      <c r="A125" s="157"/>
      <c r="B125" s="158"/>
      <c r="C125" s="158"/>
      <c r="D125" s="160"/>
      <c r="E125" s="158"/>
      <c r="F125" s="157"/>
      <c r="G125" s="159"/>
    </row>
    <row r="126" spans="1:7">
      <c r="A126" s="157"/>
      <c r="B126" s="158"/>
      <c r="C126" s="158"/>
      <c r="D126" s="160"/>
      <c r="E126" s="158"/>
      <c r="F126" s="157"/>
      <c r="G126" s="159"/>
    </row>
    <row r="127" spans="1:7">
      <c r="A127" s="157"/>
      <c r="B127" s="158"/>
      <c r="C127" s="158"/>
      <c r="D127" s="160"/>
      <c r="E127" s="158"/>
      <c r="F127" s="157"/>
      <c r="G127" s="159"/>
    </row>
    <row r="128" spans="1:7">
      <c r="A128" s="157"/>
      <c r="B128" s="158"/>
      <c r="C128" s="158"/>
      <c r="D128" s="160"/>
      <c r="E128" s="158"/>
      <c r="F128" s="157"/>
      <c r="G128" s="159"/>
    </row>
    <row r="129" spans="1:7">
      <c r="A129" s="157"/>
      <c r="B129" s="158"/>
      <c r="C129" s="158"/>
      <c r="D129" s="160"/>
      <c r="E129" s="158"/>
      <c r="F129" s="157"/>
      <c r="G129" s="159"/>
    </row>
    <row r="130" spans="1:7">
      <c r="A130" s="157"/>
      <c r="B130" s="158"/>
      <c r="C130" s="158"/>
      <c r="D130" s="160"/>
      <c r="E130" s="158"/>
      <c r="F130" s="157"/>
      <c r="G130" s="159"/>
    </row>
    <row r="131" spans="1:7">
      <c r="A131" s="157"/>
      <c r="B131" s="158"/>
      <c r="C131" s="158"/>
      <c r="D131" s="160"/>
      <c r="E131" s="158"/>
      <c r="F131" s="157"/>
      <c r="G131" s="159"/>
    </row>
    <row r="132" spans="1:7">
      <c r="A132" s="157"/>
      <c r="B132" s="158"/>
      <c r="C132" s="158"/>
      <c r="D132" s="160"/>
      <c r="E132" s="158"/>
      <c r="F132" s="157"/>
      <c r="G132" s="159"/>
    </row>
    <row r="133" spans="1:7">
      <c r="A133" s="157"/>
      <c r="B133" s="158"/>
      <c r="C133" s="158"/>
      <c r="D133" s="160"/>
      <c r="E133" s="158"/>
      <c r="F133" s="157"/>
      <c r="G133" s="159"/>
    </row>
    <row r="134" spans="1:7">
      <c r="A134" s="157"/>
      <c r="B134" s="158"/>
      <c r="C134" s="158"/>
      <c r="D134" s="160"/>
      <c r="E134" s="158"/>
      <c r="F134" s="157"/>
      <c r="G134" s="159"/>
    </row>
    <row r="135" spans="1:7">
      <c r="A135" s="157"/>
      <c r="B135" s="158"/>
      <c r="C135" s="158"/>
      <c r="D135" s="160"/>
      <c r="E135" s="158"/>
      <c r="F135" s="157"/>
      <c r="G135" s="159"/>
    </row>
    <row r="136" spans="1:7">
      <c r="A136" s="157"/>
      <c r="B136" s="158"/>
      <c r="C136" s="158"/>
      <c r="D136" s="160"/>
      <c r="E136" s="158"/>
      <c r="F136" s="157"/>
      <c r="G136" s="159"/>
    </row>
    <row r="137" spans="1:7">
      <c r="A137" s="157"/>
      <c r="B137" s="158"/>
      <c r="C137" s="158"/>
      <c r="D137" s="160"/>
      <c r="E137" s="158"/>
      <c r="F137" s="157"/>
      <c r="G137" s="159"/>
    </row>
    <row r="138" spans="1:7">
      <c r="A138" s="157"/>
      <c r="B138" s="158"/>
      <c r="C138" s="158"/>
      <c r="D138" s="160"/>
      <c r="E138" s="158"/>
      <c r="F138" s="157"/>
      <c r="G138" s="159"/>
    </row>
    <row r="139" spans="1:7">
      <c r="A139" s="157"/>
      <c r="B139" s="158"/>
      <c r="C139" s="158"/>
      <c r="D139" s="160"/>
      <c r="E139" s="158"/>
      <c r="F139" s="157"/>
      <c r="G139" s="159"/>
    </row>
    <row r="140" spans="1:7">
      <c r="A140" s="157"/>
      <c r="B140" s="158"/>
      <c r="C140" s="158"/>
      <c r="D140" s="160"/>
      <c r="E140" s="158"/>
      <c r="F140" s="157"/>
      <c r="G140" s="159"/>
    </row>
    <row r="141" spans="1:7">
      <c r="A141" s="157"/>
      <c r="B141" s="158"/>
      <c r="C141" s="158"/>
      <c r="D141" s="160"/>
      <c r="E141" s="158"/>
      <c r="F141" s="157"/>
      <c r="G141" s="159"/>
    </row>
    <row r="142" spans="1:7">
      <c r="A142" s="157"/>
      <c r="B142" s="158"/>
      <c r="C142" s="158"/>
      <c r="D142" s="160"/>
      <c r="E142" s="158"/>
      <c r="F142" s="157"/>
      <c r="G142" s="159"/>
    </row>
    <row r="143" spans="1:7">
      <c r="A143" s="157"/>
      <c r="B143" s="158"/>
      <c r="C143" s="158"/>
      <c r="D143" s="160"/>
      <c r="E143" s="158"/>
      <c r="F143" s="157"/>
      <c r="G143" s="159"/>
    </row>
    <row r="144" spans="1:7">
      <c r="A144" s="157"/>
      <c r="B144" s="158"/>
      <c r="C144" s="158"/>
      <c r="D144" s="160"/>
      <c r="E144" s="158"/>
      <c r="F144" s="157"/>
      <c r="G144" s="159"/>
    </row>
    <row r="145" spans="1:7">
      <c r="A145" s="157"/>
      <c r="B145" s="158"/>
      <c r="C145" s="158"/>
      <c r="D145" s="160"/>
      <c r="E145" s="158"/>
      <c r="F145" s="157"/>
      <c r="G145" s="159"/>
    </row>
    <row r="146" spans="1:7">
      <c r="A146" s="157"/>
      <c r="B146" s="158"/>
      <c r="C146" s="158"/>
      <c r="D146" s="160"/>
      <c r="E146" s="158"/>
      <c r="F146" s="157"/>
      <c r="G146" s="159"/>
    </row>
    <row r="147" spans="1:7">
      <c r="A147" s="157"/>
      <c r="B147" s="158"/>
      <c r="C147" s="158"/>
      <c r="D147" s="160"/>
      <c r="E147" s="158"/>
      <c r="F147" s="157"/>
      <c r="G147" s="159"/>
    </row>
    <row r="148" spans="1:7">
      <c r="A148" s="157"/>
      <c r="B148" s="158"/>
      <c r="C148" s="158"/>
      <c r="D148" s="160"/>
      <c r="E148" s="158"/>
      <c r="F148" s="157"/>
      <c r="G148" s="159"/>
    </row>
    <row r="149" spans="1:7">
      <c r="A149" s="157"/>
      <c r="B149" s="158"/>
      <c r="C149" s="158"/>
      <c r="D149" s="160"/>
      <c r="E149" s="158"/>
      <c r="F149" s="157"/>
      <c r="G149" s="159"/>
    </row>
    <row r="150" spans="1:7">
      <c r="A150" s="157"/>
      <c r="B150" s="158"/>
      <c r="C150" s="158"/>
      <c r="D150" s="160"/>
      <c r="E150" s="158"/>
      <c r="F150" s="157"/>
      <c r="G150" s="159"/>
    </row>
    <row r="151" spans="1:7">
      <c r="A151" s="157"/>
      <c r="B151" s="158"/>
      <c r="C151" s="158"/>
      <c r="D151" s="160"/>
      <c r="E151" s="158"/>
      <c r="F151" s="157"/>
      <c r="G151" s="159"/>
    </row>
    <row r="152" spans="1:7">
      <c r="A152" s="157"/>
      <c r="B152" s="158"/>
      <c r="C152" s="158"/>
      <c r="D152" s="160"/>
      <c r="E152" s="158"/>
      <c r="F152" s="157"/>
      <c r="G152" s="159"/>
    </row>
    <row r="153" spans="1:7">
      <c r="A153" s="157"/>
      <c r="B153" s="158"/>
      <c r="C153" s="158"/>
      <c r="D153" s="160"/>
      <c r="E153" s="158"/>
      <c r="F153" s="157"/>
      <c r="G153" s="159"/>
    </row>
    <row r="154" spans="1:7">
      <c r="A154" s="157"/>
      <c r="B154" s="158"/>
      <c r="C154" s="158"/>
      <c r="D154" s="160"/>
      <c r="E154" s="158"/>
      <c r="F154" s="157"/>
      <c r="G154" s="159"/>
    </row>
    <row r="155" spans="1:7">
      <c r="A155" s="157"/>
      <c r="B155" s="158"/>
      <c r="C155" s="158"/>
      <c r="D155" s="160"/>
      <c r="E155" s="158"/>
      <c r="F155" s="157"/>
      <c r="G155" s="159"/>
    </row>
    <row r="156" spans="1:7">
      <c r="A156" s="157"/>
      <c r="B156" s="158"/>
      <c r="C156" s="158"/>
      <c r="D156" s="160"/>
      <c r="E156" s="158"/>
      <c r="F156" s="157"/>
      <c r="G156" s="159"/>
    </row>
    <row r="157" spans="1:7">
      <c r="A157" s="157"/>
      <c r="B157" s="158"/>
      <c r="C157" s="158"/>
      <c r="D157" s="160"/>
      <c r="E157" s="158"/>
      <c r="F157" s="157"/>
      <c r="G157" s="159"/>
    </row>
    <row r="158" spans="1:7">
      <c r="A158" s="157"/>
      <c r="B158" s="158"/>
      <c r="C158" s="158"/>
      <c r="D158" s="160"/>
      <c r="E158" s="158"/>
      <c r="F158" s="157"/>
      <c r="G158" s="159"/>
    </row>
    <row r="159" spans="1:7">
      <c r="A159" s="157"/>
      <c r="B159" s="158"/>
      <c r="C159" s="158"/>
      <c r="D159" s="160"/>
      <c r="E159" s="158"/>
      <c r="F159" s="157"/>
      <c r="G159" s="159"/>
    </row>
    <row r="160" spans="1:7">
      <c r="A160" s="157"/>
      <c r="B160" s="158"/>
      <c r="C160" s="158"/>
      <c r="D160" s="160"/>
      <c r="E160" s="158"/>
      <c r="F160" s="157"/>
      <c r="G160" s="159"/>
    </row>
    <row r="161" spans="1:7">
      <c r="A161" s="157"/>
      <c r="B161" s="158"/>
      <c r="C161" s="158"/>
      <c r="D161" s="160"/>
      <c r="E161" s="158"/>
      <c r="F161" s="157"/>
      <c r="G161" s="159"/>
    </row>
    <row r="162" spans="1:7">
      <c r="A162" s="157"/>
      <c r="B162" s="158"/>
      <c r="C162" s="158"/>
      <c r="D162" s="160"/>
      <c r="E162" s="158"/>
      <c r="F162" s="157"/>
      <c r="G162" s="159"/>
    </row>
    <row r="163" spans="1:7">
      <c r="A163" s="157"/>
      <c r="B163" s="158"/>
      <c r="C163" s="158"/>
      <c r="D163" s="160"/>
      <c r="E163" s="158"/>
      <c r="F163" s="157"/>
      <c r="G163" s="159"/>
    </row>
    <row r="164" spans="1:7">
      <c r="A164" s="157"/>
      <c r="B164" s="158"/>
      <c r="C164" s="158"/>
      <c r="D164" s="160"/>
      <c r="E164" s="158"/>
      <c r="F164" s="157"/>
      <c r="G164" s="159"/>
    </row>
    <row r="165" spans="1:7">
      <c r="A165" s="157"/>
      <c r="B165" s="158"/>
      <c r="C165" s="158"/>
      <c r="D165" s="160"/>
      <c r="E165" s="158"/>
      <c r="F165" s="157"/>
      <c r="G165" s="159"/>
    </row>
    <row r="166" spans="1:7">
      <c r="A166" s="157"/>
      <c r="B166" s="158"/>
      <c r="C166" s="158"/>
      <c r="D166" s="160"/>
      <c r="E166" s="158"/>
      <c r="F166" s="157"/>
      <c r="G166" s="159"/>
    </row>
    <row r="167" spans="1:7">
      <c r="A167" s="157"/>
      <c r="B167" s="158"/>
      <c r="C167" s="158"/>
      <c r="D167" s="160"/>
      <c r="E167" s="158"/>
      <c r="F167" s="157"/>
      <c r="G167" s="159"/>
    </row>
    <row r="168" spans="1:7">
      <c r="A168" s="157"/>
      <c r="B168" s="158"/>
      <c r="C168" s="158"/>
      <c r="D168" s="160"/>
      <c r="E168" s="158"/>
      <c r="F168" s="157"/>
      <c r="G168" s="159"/>
    </row>
    <row r="169" spans="1:7">
      <c r="A169" s="157"/>
      <c r="B169" s="158"/>
      <c r="C169" s="158"/>
      <c r="D169" s="160"/>
      <c r="E169" s="158"/>
      <c r="F169" s="157"/>
      <c r="G169" s="159"/>
    </row>
    <row r="170" spans="1:7">
      <c r="A170" s="157"/>
      <c r="B170" s="158"/>
      <c r="C170" s="158"/>
      <c r="D170" s="160"/>
      <c r="E170" s="158"/>
      <c r="F170" s="157"/>
      <c r="G170" s="159"/>
    </row>
    <row r="171" spans="1:7">
      <c r="A171" s="157"/>
      <c r="B171" s="158"/>
      <c r="C171" s="158"/>
      <c r="D171" s="160"/>
      <c r="E171" s="158"/>
      <c r="F171" s="157"/>
      <c r="G171" s="159"/>
    </row>
    <row r="172" spans="1:7">
      <c r="A172" s="157"/>
      <c r="B172" s="158"/>
      <c r="C172" s="158"/>
      <c r="D172" s="160"/>
      <c r="E172" s="158"/>
      <c r="F172" s="157"/>
      <c r="G172" s="159"/>
    </row>
    <row r="173" spans="1:7">
      <c r="A173" s="157"/>
      <c r="B173" s="158"/>
      <c r="C173" s="158"/>
      <c r="D173" s="160"/>
      <c r="E173" s="158"/>
      <c r="F173" s="157"/>
      <c r="G173" s="159"/>
    </row>
    <row r="174" spans="1:7">
      <c r="A174" s="157"/>
      <c r="B174" s="158"/>
      <c r="C174" s="158"/>
      <c r="D174" s="160"/>
      <c r="E174" s="158"/>
      <c r="F174" s="157"/>
      <c r="G174" s="159"/>
    </row>
    <row r="175" spans="1:7">
      <c r="A175" s="157"/>
      <c r="B175" s="158"/>
      <c r="C175" s="158"/>
      <c r="D175" s="160"/>
      <c r="E175" s="158"/>
      <c r="F175" s="157"/>
      <c r="G175" s="159"/>
    </row>
    <row r="176" spans="1:7">
      <c r="A176" s="157"/>
      <c r="B176" s="158"/>
      <c r="C176" s="158"/>
      <c r="D176" s="160"/>
      <c r="E176" s="158"/>
      <c r="F176" s="157"/>
      <c r="G176" s="159"/>
    </row>
    <row r="177" spans="1:7">
      <c r="A177" s="157"/>
      <c r="B177" s="158"/>
      <c r="C177" s="158"/>
      <c r="D177" s="160"/>
      <c r="E177" s="158"/>
      <c r="F177" s="157"/>
      <c r="G177" s="159"/>
    </row>
    <row r="178" spans="1:7">
      <c r="A178" s="157"/>
      <c r="B178" s="158"/>
      <c r="C178" s="158"/>
      <c r="D178" s="160"/>
      <c r="E178" s="158"/>
      <c r="F178" s="157"/>
      <c r="G178" s="159"/>
    </row>
    <row r="179" spans="1:7">
      <c r="A179" s="157"/>
      <c r="B179" s="158"/>
      <c r="C179" s="158"/>
      <c r="D179" s="160"/>
      <c r="E179" s="158"/>
      <c r="F179" s="157"/>
      <c r="G179" s="159"/>
    </row>
    <row r="180" spans="1:7">
      <c r="A180" s="157"/>
      <c r="B180" s="158"/>
      <c r="C180" s="158"/>
      <c r="D180" s="160"/>
      <c r="E180" s="158"/>
      <c r="F180" s="157"/>
      <c r="G180" s="159"/>
    </row>
    <row r="181" spans="1:7">
      <c r="A181" s="157"/>
      <c r="B181" s="158"/>
      <c r="C181" s="158"/>
      <c r="D181" s="160"/>
      <c r="E181" s="158"/>
      <c r="F181" s="157"/>
      <c r="G181" s="159"/>
    </row>
    <row r="182" spans="1:7">
      <c r="A182" s="157"/>
      <c r="B182" s="158"/>
      <c r="C182" s="158"/>
      <c r="D182" s="160"/>
      <c r="E182" s="158"/>
      <c r="F182" s="157"/>
      <c r="G182" s="159"/>
    </row>
    <row r="183" spans="1:7">
      <c r="A183" s="157"/>
      <c r="B183" s="158"/>
      <c r="C183" s="158"/>
      <c r="D183" s="160"/>
      <c r="E183" s="158"/>
      <c r="F183" s="157"/>
      <c r="G183" s="159"/>
    </row>
    <row r="184" spans="1:7">
      <c r="A184" s="157"/>
      <c r="B184" s="158"/>
      <c r="C184" s="158"/>
      <c r="D184" s="160"/>
      <c r="E184" s="158"/>
      <c r="F184" s="157"/>
      <c r="G184" s="159"/>
    </row>
    <row r="185" spans="1:7">
      <c r="A185" s="157"/>
      <c r="B185" s="158"/>
      <c r="C185" s="158"/>
      <c r="D185" s="160"/>
      <c r="E185" s="158"/>
      <c r="F185" s="157"/>
      <c r="G185" s="159"/>
    </row>
    <row r="186" spans="1:7">
      <c r="A186" s="157"/>
      <c r="B186" s="158"/>
      <c r="C186" s="158"/>
      <c r="D186" s="160"/>
      <c r="E186" s="158"/>
      <c r="F186" s="157"/>
      <c r="G186" s="159"/>
    </row>
    <row r="187" spans="1:7">
      <c r="A187" s="157"/>
      <c r="B187" s="158"/>
      <c r="C187" s="158"/>
      <c r="D187" s="160"/>
      <c r="E187" s="158"/>
      <c r="F187" s="157"/>
      <c r="G187" s="159"/>
    </row>
    <row r="188" spans="1:7">
      <c r="A188" s="157"/>
      <c r="B188" s="158"/>
      <c r="C188" s="158"/>
      <c r="D188" s="160"/>
      <c r="E188" s="158"/>
      <c r="F188" s="157"/>
      <c r="G188" s="159"/>
    </row>
    <row r="189" spans="1:7">
      <c r="A189" s="157"/>
      <c r="B189" s="158"/>
      <c r="C189" s="158"/>
      <c r="D189" s="160"/>
      <c r="E189" s="158"/>
      <c r="F189" s="157"/>
      <c r="G189" s="159"/>
    </row>
    <row r="190" spans="1:7">
      <c r="A190" s="157"/>
      <c r="B190" s="158"/>
      <c r="C190" s="158"/>
      <c r="D190" s="160"/>
      <c r="E190" s="158"/>
      <c r="F190" s="157"/>
      <c r="G190" s="159"/>
    </row>
    <row r="191" spans="1:7">
      <c r="A191" s="157"/>
      <c r="B191" s="158"/>
      <c r="C191" s="158"/>
      <c r="D191" s="160"/>
      <c r="E191" s="158"/>
      <c r="F191" s="157"/>
      <c r="G191" s="159"/>
    </row>
    <row r="192" spans="1:7">
      <c r="A192" s="157"/>
      <c r="B192" s="158"/>
      <c r="C192" s="158"/>
      <c r="D192" s="160"/>
      <c r="E192" s="158"/>
      <c r="F192" s="157"/>
      <c r="G192" s="159"/>
    </row>
    <row r="193" spans="1:7">
      <c r="A193" s="157"/>
      <c r="B193" s="158"/>
      <c r="C193" s="158"/>
      <c r="D193" s="160"/>
      <c r="E193" s="158"/>
      <c r="F193" s="157"/>
      <c r="G193" s="159"/>
    </row>
    <row r="194" spans="1:7">
      <c r="A194" s="157"/>
      <c r="B194" s="158"/>
      <c r="C194" s="158"/>
      <c r="D194" s="160"/>
      <c r="E194" s="158"/>
      <c r="F194" s="157"/>
      <c r="G194" s="159"/>
    </row>
    <row r="195" spans="1:7">
      <c r="A195" s="157"/>
      <c r="B195" s="158"/>
      <c r="C195" s="158"/>
      <c r="D195" s="160"/>
      <c r="E195" s="158"/>
      <c r="F195" s="157"/>
      <c r="G195" s="159"/>
    </row>
    <row r="196" spans="1:7">
      <c r="A196" s="157"/>
      <c r="B196" s="158"/>
      <c r="C196" s="158"/>
      <c r="D196" s="160"/>
      <c r="E196" s="158"/>
      <c r="F196" s="157"/>
      <c r="G196" s="159"/>
    </row>
    <row r="197" spans="1:7">
      <c r="A197" s="157"/>
      <c r="B197" s="158"/>
      <c r="C197" s="158"/>
      <c r="D197" s="160"/>
      <c r="E197" s="158"/>
      <c r="F197" s="157"/>
      <c r="G197" s="159"/>
    </row>
    <row r="198" spans="1:7">
      <c r="A198" s="157"/>
      <c r="B198" s="158"/>
      <c r="C198" s="158"/>
      <c r="D198" s="160"/>
      <c r="E198" s="158"/>
      <c r="F198" s="157"/>
      <c r="G198" s="159"/>
    </row>
    <row r="199" spans="1:7">
      <c r="A199" s="157"/>
      <c r="B199" s="158"/>
      <c r="C199" s="158"/>
      <c r="D199" s="160"/>
      <c r="E199" s="158"/>
      <c r="F199" s="157"/>
      <c r="G199" s="159"/>
    </row>
    <row r="200" spans="1:7">
      <c r="A200" s="157"/>
      <c r="B200" s="158"/>
      <c r="C200" s="158"/>
      <c r="D200" s="160"/>
      <c r="E200" s="158"/>
      <c r="F200" s="157"/>
      <c r="G200" s="159"/>
    </row>
    <row r="201" spans="1:7">
      <c r="A201" s="157"/>
      <c r="B201" s="158"/>
      <c r="C201" s="158"/>
      <c r="D201" s="160"/>
      <c r="E201" s="158"/>
      <c r="F201" s="157"/>
      <c r="G201" s="159"/>
    </row>
    <row r="202" spans="1:7">
      <c r="A202" s="157"/>
      <c r="B202" s="158"/>
      <c r="C202" s="158"/>
      <c r="D202" s="160"/>
      <c r="E202" s="158"/>
      <c r="F202" s="157"/>
      <c r="G202" s="159"/>
    </row>
    <row r="203" spans="1:7">
      <c r="A203" s="157"/>
      <c r="B203" s="158"/>
      <c r="C203" s="158"/>
      <c r="D203" s="160"/>
      <c r="E203" s="158"/>
      <c r="F203" s="157"/>
      <c r="G203" s="159"/>
    </row>
    <row r="204" spans="1:7">
      <c r="A204" s="157"/>
      <c r="B204" s="158"/>
      <c r="C204" s="158"/>
      <c r="D204" s="160"/>
      <c r="E204" s="158"/>
      <c r="F204" s="157"/>
      <c r="G204" s="159"/>
    </row>
    <row r="205" spans="1:7">
      <c r="A205" s="157"/>
      <c r="B205" s="158"/>
      <c r="C205" s="158"/>
      <c r="D205" s="160"/>
      <c r="E205" s="158"/>
      <c r="F205" s="157"/>
      <c r="G205" s="159"/>
    </row>
    <row r="206" spans="1:7">
      <c r="A206" s="157"/>
      <c r="B206" s="158"/>
      <c r="C206" s="158"/>
      <c r="D206" s="160"/>
      <c r="E206" s="158"/>
      <c r="F206" s="157"/>
      <c r="G206" s="159"/>
    </row>
    <row r="207" spans="1:7">
      <c r="A207" s="157"/>
      <c r="B207" s="158"/>
      <c r="C207" s="158"/>
      <c r="D207" s="160"/>
      <c r="E207" s="158"/>
      <c r="F207" s="157"/>
      <c r="G207" s="159"/>
    </row>
    <row r="208" spans="1:7">
      <c r="A208" s="157"/>
      <c r="B208" s="158"/>
      <c r="C208" s="158"/>
      <c r="D208" s="160"/>
      <c r="E208" s="158"/>
      <c r="F208" s="157"/>
      <c r="G208" s="159"/>
    </row>
    <row r="209" spans="1:7">
      <c r="A209" s="157"/>
      <c r="B209" s="158"/>
      <c r="C209" s="158"/>
      <c r="D209" s="160"/>
      <c r="E209" s="158"/>
      <c r="F209" s="157"/>
      <c r="G209" s="159"/>
    </row>
    <row r="210" spans="1:7">
      <c r="A210" s="157"/>
      <c r="B210" s="158"/>
      <c r="C210" s="158"/>
      <c r="D210" s="160"/>
      <c r="E210" s="158"/>
      <c r="F210" s="157"/>
      <c r="G210" s="159"/>
    </row>
    <row r="211" spans="1:7">
      <c r="A211" s="157"/>
      <c r="B211" s="158"/>
      <c r="C211" s="158"/>
      <c r="D211" s="160"/>
      <c r="E211" s="158"/>
      <c r="F211" s="157"/>
      <c r="G211" s="159"/>
    </row>
    <row r="212" spans="1:7">
      <c r="A212" s="157"/>
      <c r="B212" s="158"/>
      <c r="C212" s="158"/>
      <c r="D212" s="160"/>
      <c r="E212" s="158"/>
      <c r="F212" s="157"/>
      <c r="G212" s="159"/>
    </row>
    <row r="213" spans="1:7">
      <c r="A213" s="157"/>
      <c r="B213" s="158"/>
      <c r="C213" s="158"/>
      <c r="D213" s="160"/>
      <c r="E213" s="158"/>
      <c r="F213" s="157"/>
      <c r="G213" s="159"/>
    </row>
    <row r="214" spans="1:7">
      <c r="A214" s="157"/>
      <c r="B214" s="158"/>
      <c r="C214" s="158"/>
      <c r="D214" s="160"/>
      <c r="E214" s="158"/>
      <c r="F214" s="157"/>
      <c r="G214" s="159"/>
    </row>
    <row r="215" spans="1:7">
      <c r="A215" s="157"/>
      <c r="B215" s="158"/>
      <c r="C215" s="158"/>
      <c r="D215" s="160"/>
      <c r="E215" s="158"/>
      <c r="F215" s="157"/>
      <c r="G215" s="159"/>
    </row>
    <row r="216" spans="1:7">
      <c r="A216" s="157"/>
      <c r="B216" s="158"/>
      <c r="C216" s="158"/>
      <c r="D216" s="160"/>
      <c r="E216" s="158"/>
      <c r="F216" s="157"/>
      <c r="G216" s="159"/>
    </row>
    <row r="217" spans="1:7">
      <c r="A217" s="157"/>
      <c r="B217" s="158"/>
      <c r="C217" s="158"/>
      <c r="D217" s="160"/>
      <c r="E217" s="158"/>
      <c r="F217" s="157"/>
      <c r="G217" s="159"/>
    </row>
    <row r="218" spans="1:7">
      <c r="A218" s="157"/>
      <c r="B218" s="158"/>
      <c r="C218" s="158"/>
      <c r="D218" s="160"/>
      <c r="E218" s="158"/>
      <c r="F218" s="157"/>
      <c r="G218" s="159"/>
    </row>
    <row r="219" spans="1:7">
      <c r="A219" s="157"/>
      <c r="B219" s="158"/>
      <c r="C219" s="158"/>
      <c r="D219" s="160"/>
      <c r="E219" s="158"/>
      <c r="F219" s="157"/>
      <c r="G219" s="159"/>
    </row>
    <row r="220" spans="1:7">
      <c r="A220" s="157"/>
      <c r="B220" s="158"/>
      <c r="C220" s="158"/>
      <c r="D220" s="160"/>
      <c r="E220" s="158"/>
      <c r="F220" s="157"/>
      <c r="G220" s="159"/>
    </row>
    <row r="221" spans="1:7">
      <c r="A221" s="157"/>
      <c r="B221" s="158"/>
      <c r="C221" s="158"/>
      <c r="D221" s="160"/>
      <c r="E221" s="158"/>
      <c r="F221" s="157"/>
      <c r="G221" s="159"/>
    </row>
    <row r="222" spans="1:7">
      <c r="A222" s="157"/>
      <c r="B222" s="158"/>
      <c r="C222" s="158"/>
      <c r="D222" s="160"/>
      <c r="E222" s="158"/>
      <c r="F222" s="157"/>
      <c r="G222" s="159"/>
    </row>
    <row r="223" spans="1:7">
      <c r="A223" s="157"/>
      <c r="B223" s="158"/>
      <c r="C223" s="158"/>
      <c r="D223" s="160"/>
      <c r="E223" s="158"/>
      <c r="F223" s="157"/>
      <c r="G223" s="159"/>
    </row>
    <row r="224" spans="1:7">
      <c r="A224" s="157"/>
      <c r="B224" s="158"/>
      <c r="C224" s="158"/>
      <c r="D224" s="160"/>
      <c r="E224" s="158"/>
      <c r="F224" s="157"/>
      <c r="G224" s="159"/>
    </row>
    <row r="225" spans="1:7">
      <c r="A225" s="157"/>
      <c r="B225" s="158"/>
      <c r="C225" s="158"/>
      <c r="D225" s="160"/>
      <c r="E225" s="158"/>
      <c r="F225" s="157"/>
      <c r="G225" s="159"/>
    </row>
    <row r="226" spans="1:7">
      <c r="A226" s="157"/>
      <c r="B226" s="158"/>
      <c r="C226" s="158"/>
      <c r="D226" s="160"/>
      <c r="E226" s="158"/>
      <c r="F226" s="157"/>
      <c r="G226" s="159"/>
    </row>
    <row r="227" spans="1:7">
      <c r="A227" s="157"/>
      <c r="B227" s="158"/>
      <c r="C227" s="158"/>
      <c r="D227" s="160"/>
      <c r="E227" s="158"/>
      <c r="F227" s="157"/>
      <c r="G227" s="159"/>
    </row>
    <row r="228" spans="1:7">
      <c r="A228" s="157"/>
      <c r="B228" s="158"/>
      <c r="C228" s="158"/>
      <c r="D228" s="160"/>
      <c r="E228" s="158"/>
      <c r="F228" s="157"/>
      <c r="G228" s="159"/>
    </row>
    <row r="229" spans="1:7">
      <c r="A229" s="157"/>
      <c r="B229" s="158"/>
      <c r="C229" s="158"/>
      <c r="D229" s="160"/>
      <c r="E229" s="158"/>
      <c r="F229" s="157"/>
      <c r="G229" s="159"/>
    </row>
    <row r="230" spans="1:7">
      <c r="A230" s="157"/>
      <c r="B230" s="158"/>
      <c r="C230" s="158"/>
      <c r="D230" s="160"/>
      <c r="E230" s="158"/>
      <c r="F230" s="157"/>
      <c r="G230" s="159"/>
    </row>
    <row r="231" spans="1:7">
      <c r="A231" s="157"/>
      <c r="B231" s="158"/>
      <c r="C231" s="158"/>
      <c r="D231" s="160"/>
      <c r="E231" s="158"/>
      <c r="F231" s="157"/>
      <c r="G231" s="159"/>
    </row>
    <row r="232" spans="1:7">
      <c r="A232" s="157"/>
      <c r="B232" s="158"/>
      <c r="C232" s="158"/>
      <c r="D232" s="160"/>
      <c r="E232" s="158"/>
      <c r="F232" s="157"/>
      <c r="G232" s="159"/>
    </row>
    <row r="233" spans="1:7">
      <c r="A233" s="157"/>
      <c r="B233" s="158"/>
      <c r="C233" s="158"/>
      <c r="D233" s="160"/>
      <c r="E233" s="158"/>
      <c r="F233" s="157"/>
      <c r="G233" s="159"/>
    </row>
    <row r="234" spans="1:7">
      <c r="A234" s="157"/>
      <c r="B234" s="158"/>
      <c r="C234" s="158"/>
      <c r="D234" s="160"/>
      <c r="E234" s="158"/>
      <c r="F234" s="157"/>
      <c r="G234" s="159"/>
    </row>
    <row r="235" spans="1:7">
      <c r="A235" s="157"/>
      <c r="B235" s="158"/>
      <c r="C235" s="158"/>
      <c r="D235" s="160"/>
      <c r="E235" s="158"/>
      <c r="F235" s="157"/>
      <c r="G235" s="159"/>
    </row>
    <row r="236" spans="1:7">
      <c r="A236" s="157"/>
      <c r="B236" s="158"/>
      <c r="C236" s="158"/>
      <c r="D236" s="160"/>
      <c r="E236" s="158"/>
      <c r="F236" s="157"/>
      <c r="G236" s="159"/>
    </row>
    <row r="237" spans="1:7">
      <c r="A237" s="157"/>
      <c r="B237" s="158"/>
      <c r="C237" s="158"/>
      <c r="D237" s="160"/>
      <c r="E237" s="158"/>
      <c r="F237" s="157"/>
      <c r="G237" s="159"/>
    </row>
    <row r="238" spans="1:7">
      <c r="A238" s="157"/>
      <c r="B238" s="158"/>
      <c r="C238" s="158"/>
      <c r="D238" s="160"/>
      <c r="E238" s="158"/>
      <c r="F238" s="157"/>
      <c r="G238" s="159"/>
    </row>
    <row r="239" spans="1:7">
      <c r="A239" s="157"/>
      <c r="B239" s="158"/>
      <c r="C239" s="158"/>
      <c r="D239" s="160"/>
      <c r="E239" s="158"/>
      <c r="F239" s="157"/>
      <c r="G239" s="159"/>
    </row>
    <row r="240" spans="1:7">
      <c r="A240" s="157"/>
      <c r="B240" s="158"/>
      <c r="C240" s="158"/>
      <c r="D240" s="160"/>
      <c r="E240" s="158"/>
      <c r="F240" s="157"/>
      <c r="G240" s="159"/>
    </row>
    <row r="241" spans="1:7">
      <c r="A241" s="157"/>
      <c r="B241" s="158"/>
      <c r="C241" s="158"/>
      <c r="D241" s="160"/>
      <c r="E241" s="158"/>
      <c r="F241" s="157"/>
      <c r="G241" s="159"/>
    </row>
    <row r="242" spans="1:7">
      <c r="A242" s="157"/>
      <c r="B242" s="158"/>
      <c r="C242" s="158"/>
      <c r="D242" s="160"/>
      <c r="E242" s="158"/>
      <c r="F242" s="157"/>
      <c r="G242" s="159"/>
    </row>
    <row r="243" spans="1:7">
      <c r="A243" s="157"/>
      <c r="B243" s="158"/>
      <c r="C243" s="158"/>
      <c r="D243" s="160"/>
      <c r="E243" s="158"/>
      <c r="F243" s="157"/>
      <c r="G243" s="159"/>
    </row>
    <row r="244" spans="1:7">
      <c r="A244" s="157"/>
      <c r="B244" s="158"/>
      <c r="C244" s="158"/>
      <c r="D244" s="160"/>
      <c r="E244" s="158"/>
      <c r="F244" s="157"/>
      <c r="G244" s="159"/>
    </row>
    <row r="245" spans="1:7">
      <c r="A245" s="157"/>
      <c r="B245" s="158"/>
      <c r="C245" s="158"/>
      <c r="D245" s="160"/>
      <c r="E245" s="158"/>
      <c r="F245" s="157"/>
      <c r="G245" s="159"/>
    </row>
    <row r="246" spans="1:7">
      <c r="A246" s="157"/>
      <c r="B246" s="158"/>
      <c r="C246" s="158"/>
      <c r="D246" s="160"/>
      <c r="E246" s="158"/>
      <c r="F246" s="157"/>
      <c r="G246" s="159"/>
    </row>
    <row r="247" spans="1:7">
      <c r="A247" s="157"/>
      <c r="B247" s="158"/>
      <c r="C247" s="158"/>
      <c r="D247" s="160"/>
      <c r="E247" s="158"/>
      <c r="F247" s="157"/>
      <c r="G247" s="159"/>
    </row>
    <row r="248" spans="1:7">
      <c r="A248" s="157"/>
      <c r="B248" s="158"/>
      <c r="C248" s="158"/>
      <c r="D248" s="160"/>
      <c r="E248" s="158"/>
      <c r="F248" s="157"/>
      <c r="G248" s="159"/>
    </row>
    <row r="249" spans="1:7">
      <c r="A249" s="157"/>
      <c r="B249" s="158"/>
      <c r="C249" s="158"/>
      <c r="D249" s="160"/>
      <c r="E249" s="158"/>
      <c r="F249" s="157"/>
      <c r="G249" s="159"/>
    </row>
    <row r="250" spans="1:7">
      <c r="A250" s="157"/>
      <c r="B250" s="158"/>
      <c r="C250" s="158"/>
      <c r="D250" s="160"/>
      <c r="E250" s="158"/>
      <c r="F250" s="157"/>
      <c r="G250" s="159"/>
    </row>
    <row r="251" spans="1:7">
      <c r="A251" s="157"/>
      <c r="B251" s="158"/>
      <c r="C251" s="158"/>
      <c r="D251" s="160"/>
      <c r="E251" s="158"/>
      <c r="F251" s="157"/>
      <c r="G251" s="159"/>
    </row>
    <row r="252" spans="1:7">
      <c r="A252" s="157"/>
      <c r="B252" s="158"/>
      <c r="C252" s="158"/>
      <c r="D252" s="160"/>
      <c r="E252" s="158"/>
      <c r="F252" s="157"/>
      <c r="G252" s="159"/>
    </row>
    <row r="253" spans="1:7">
      <c r="A253" s="157"/>
      <c r="B253" s="158"/>
      <c r="C253" s="158"/>
      <c r="D253" s="160"/>
      <c r="E253" s="158"/>
      <c r="F253" s="157"/>
      <c r="G253" s="159"/>
    </row>
    <row r="254" spans="1:7">
      <c r="A254" s="157"/>
      <c r="B254" s="158"/>
      <c r="C254" s="158"/>
      <c r="D254" s="160"/>
      <c r="E254" s="158"/>
      <c r="F254" s="157"/>
      <c r="G254" s="159"/>
    </row>
    <row r="255" spans="1:7">
      <c r="A255" s="157"/>
      <c r="B255" s="158"/>
      <c r="C255" s="158"/>
      <c r="D255" s="160"/>
      <c r="E255" s="158"/>
      <c r="F255" s="157"/>
      <c r="G255" s="159"/>
    </row>
    <row r="256" spans="1:7">
      <c r="A256" s="157"/>
      <c r="B256" s="158"/>
      <c r="C256" s="158"/>
      <c r="D256" s="160"/>
      <c r="E256" s="158"/>
      <c r="F256" s="157"/>
      <c r="G256" s="159"/>
    </row>
    <row r="257" spans="1:7">
      <c r="A257" s="157"/>
      <c r="B257" s="158"/>
      <c r="C257" s="158"/>
      <c r="D257" s="160"/>
      <c r="E257" s="158"/>
      <c r="F257" s="157"/>
      <c r="G257" s="159"/>
    </row>
    <row r="258" spans="1:7">
      <c r="A258" s="157"/>
      <c r="B258" s="158"/>
      <c r="C258" s="158"/>
      <c r="D258" s="160"/>
      <c r="E258" s="158"/>
      <c r="F258" s="157"/>
      <c r="G258" s="159"/>
    </row>
    <row r="259" spans="1:7">
      <c r="A259" s="157"/>
      <c r="B259" s="158"/>
      <c r="C259" s="158"/>
      <c r="D259" s="160"/>
      <c r="E259" s="158"/>
      <c r="F259" s="157"/>
      <c r="G259" s="159"/>
    </row>
    <row r="260" spans="1:7">
      <c r="A260" s="157"/>
      <c r="B260" s="158"/>
      <c r="C260" s="158"/>
      <c r="D260" s="160"/>
      <c r="E260" s="158"/>
      <c r="F260" s="157"/>
      <c r="G260" s="159"/>
    </row>
    <row r="261" spans="1:7">
      <c r="A261" s="157"/>
      <c r="B261" s="158"/>
      <c r="C261" s="158"/>
      <c r="D261" s="160"/>
      <c r="E261" s="158"/>
      <c r="F261" s="157"/>
      <c r="G261" s="159"/>
    </row>
    <row r="262" spans="1:7">
      <c r="A262" s="157"/>
      <c r="B262" s="158"/>
      <c r="C262" s="158"/>
      <c r="D262" s="160"/>
      <c r="E262" s="158"/>
      <c r="F262" s="157"/>
      <c r="G262" s="159"/>
    </row>
    <row r="263" spans="1:7">
      <c r="A263" s="157"/>
      <c r="B263" s="158"/>
      <c r="C263" s="158"/>
      <c r="D263" s="160"/>
      <c r="E263" s="158"/>
      <c r="F263" s="157"/>
      <c r="G263" s="159"/>
    </row>
    <row r="264" spans="1:7">
      <c r="A264" s="157"/>
      <c r="B264" s="158"/>
      <c r="C264" s="158"/>
      <c r="D264" s="160"/>
      <c r="E264" s="158"/>
      <c r="F264" s="157"/>
      <c r="G264" s="159"/>
    </row>
    <row r="265" spans="1:7">
      <c r="A265" s="157"/>
      <c r="B265" s="158"/>
      <c r="C265" s="158"/>
      <c r="D265" s="160"/>
      <c r="E265" s="158"/>
      <c r="F265" s="157"/>
      <c r="G265" s="159"/>
    </row>
    <row r="266" spans="1:7">
      <c r="A266" s="157"/>
      <c r="B266" s="158"/>
      <c r="C266" s="158"/>
      <c r="D266" s="160"/>
      <c r="E266" s="158"/>
      <c r="F266" s="157"/>
      <c r="G266" s="159"/>
    </row>
    <row r="267" spans="1:7">
      <c r="A267" s="157"/>
      <c r="B267" s="158"/>
      <c r="C267" s="158"/>
      <c r="D267" s="160"/>
      <c r="E267" s="158"/>
      <c r="F267" s="157"/>
      <c r="G267" s="159"/>
    </row>
    <row r="268" spans="1:7">
      <c r="A268" s="157"/>
      <c r="B268" s="158"/>
      <c r="C268" s="158"/>
      <c r="D268" s="160"/>
      <c r="E268" s="158"/>
      <c r="F268" s="157"/>
      <c r="G268" s="159"/>
    </row>
    <row r="269" spans="1:7">
      <c r="A269" s="157"/>
      <c r="B269" s="158"/>
      <c r="C269" s="158"/>
      <c r="D269" s="160"/>
      <c r="E269" s="158"/>
      <c r="F269" s="157"/>
      <c r="G269" s="159"/>
    </row>
    <row r="270" spans="1:7">
      <c r="A270" s="157"/>
      <c r="B270" s="158"/>
      <c r="C270" s="158"/>
      <c r="D270" s="160"/>
      <c r="E270" s="158"/>
      <c r="F270" s="157"/>
      <c r="G270" s="159"/>
    </row>
    <row r="271" spans="1:7">
      <c r="A271" s="157"/>
      <c r="B271" s="158"/>
      <c r="C271" s="158"/>
      <c r="D271" s="160"/>
      <c r="E271" s="158"/>
      <c r="F271" s="157"/>
      <c r="G271" s="159"/>
    </row>
    <row r="272" spans="1:7">
      <c r="A272" s="157"/>
      <c r="B272" s="158"/>
      <c r="C272" s="158"/>
      <c r="D272" s="160"/>
      <c r="E272" s="158"/>
      <c r="F272" s="157"/>
      <c r="G272" s="159"/>
    </row>
    <row r="273" spans="1:7">
      <c r="A273" s="157"/>
      <c r="B273" s="158"/>
      <c r="C273" s="158"/>
      <c r="D273" s="160"/>
      <c r="E273" s="158"/>
      <c r="F273" s="157"/>
      <c r="G273" s="159"/>
    </row>
    <row r="274" spans="1:7">
      <c r="A274" s="157"/>
      <c r="B274" s="158"/>
      <c r="C274" s="158"/>
      <c r="D274" s="160"/>
      <c r="E274" s="158"/>
      <c r="F274" s="157"/>
      <c r="G274" s="159"/>
    </row>
    <row r="275" spans="1:7">
      <c r="A275" s="157"/>
      <c r="B275" s="158"/>
      <c r="C275" s="158"/>
      <c r="D275" s="160"/>
      <c r="E275" s="158"/>
      <c r="F275" s="157"/>
      <c r="G275" s="159"/>
    </row>
    <row r="276" spans="1:7">
      <c r="A276" s="157"/>
      <c r="B276" s="158"/>
      <c r="C276" s="158"/>
      <c r="D276" s="160"/>
      <c r="E276" s="158"/>
      <c r="F276" s="157"/>
      <c r="G276" s="159"/>
    </row>
    <row r="277" spans="1:7">
      <c r="A277" s="157"/>
      <c r="B277" s="158"/>
      <c r="C277" s="158"/>
      <c r="D277" s="160"/>
      <c r="E277" s="158"/>
      <c r="F277" s="157"/>
      <c r="G277" s="159"/>
    </row>
    <row r="278" spans="1:7">
      <c r="A278" s="157"/>
      <c r="B278" s="158"/>
      <c r="C278" s="158"/>
      <c r="D278" s="160"/>
      <c r="E278" s="158"/>
      <c r="F278" s="157"/>
      <c r="G278" s="159"/>
    </row>
    <row r="279" spans="1:7">
      <c r="A279" s="157"/>
      <c r="B279" s="158"/>
      <c r="C279" s="158"/>
      <c r="D279" s="160"/>
      <c r="E279" s="158"/>
      <c r="F279" s="157"/>
      <c r="G279" s="159"/>
    </row>
    <row r="280" spans="1:7">
      <c r="A280" s="157"/>
      <c r="B280" s="158"/>
      <c r="C280" s="158"/>
      <c r="D280" s="160"/>
      <c r="E280" s="158"/>
      <c r="F280" s="157"/>
      <c r="G280" s="159"/>
    </row>
    <row r="281" spans="1:7">
      <c r="A281" s="157"/>
      <c r="B281" s="158"/>
      <c r="C281" s="158"/>
      <c r="D281" s="160"/>
      <c r="E281" s="158"/>
      <c r="F281" s="157"/>
      <c r="G281" s="159"/>
    </row>
    <row r="282" spans="1:7">
      <c r="A282" s="157"/>
      <c r="B282" s="158"/>
      <c r="C282" s="158"/>
      <c r="D282" s="160"/>
      <c r="E282" s="158"/>
      <c r="F282" s="157"/>
      <c r="G282" s="159"/>
    </row>
    <row r="283" spans="1:7">
      <c r="A283" s="157"/>
      <c r="B283" s="158"/>
      <c r="C283" s="158"/>
      <c r="D283" s="160"/>
      <c r="E283" s="158"/>
      <c r="F283" s="157"/>
      <c r="G283" s="159"/>
    </row>
    <row r="284" spans="1:7">
      <c r="A284" s="157"/>
      <c r="B284" s="158"/>
      <c r="C284" s="158"/>
      <c r="D284" s="160"/>
      <c r="E284" s="158"/>
      <c r="F284" s="157"/>
      <c r="G284" s="159"/>
    </row>
    <row r="285" spans="1:7">
      <c r="A285" s="157"/>
      <c r="B285" s="158"/>
      <c r="C285" s="158"/>
      <c r="D285" s="160"/>
      <c r="E285" s="158"/>
      <c r="F285" s="157"/>
      <c r="G285" s="159"/>
    </row>
    <row r="286" spans="1:7">
      <c r="A286" s="157"/>
      <c r="B286" s="158"/>
      <c r="C286" s="158"/>
      <c r="D286" s="160"/>
      <c r="E286" s="158"/>
      <c r="F286" s="157"/>
      <c r="G286" s="159"/>
    </row>
    <row r="287" spans="1:7">
      <c r="A287" s="157"/>
      <c r="B287" s="158"/>
      <c r="C287" s="158"/>
      <c r="D287" s="160"/>
      <c r="E287" s="158"/>
      <c r="F287" s="157"/>
      <c r="G287" s="159"/>
    </row>
    <row r="288" spans="1:7">
      <c r="A288" s="157"/>
      <c r="B288" s="158"/>
      <c r="C288" s="158"/>
      <c r="D288" s="160"/>
      <c r="E288" s="158"/>
      <c r="F288" s="157"/>
      <c r="G288" s="159"/>
    </row>
    <row r="289" spans="1:7">
      <c r="A289" s="157"/>
      <c r="B289" s="158"/>
      <c r="C289" s="158"/>
      <c r="D289" s="160"/>
      <c r="E289" s="158"/>
      <c r="F289" s="157"/>
      <c r="G289" s="159"/>
    </row>
    <row r="290" spans="1:7">
      <c r="A290" s="157"/>
      <c r="B290" s="158"/>
      <c r="C290" s="158"/>
      <c r="D290" s="160"/>
      <c r="E290" s="158"/>
      <c r="F290" s="157"/>
      <c r="G290" s="159"/>
    </row>
    <row r="291" spans="1:7">
      <c r="A291" s="157"/>
      <c r="B291" s="158"/>
      <c r="C291" s="158"/>
      <c r="D291" s="160"/>
      <c r="E291" s="158"/>
      <c r="F291" s="157"/>
      <c r="G291" s="159"/>
    </row>
    <row r="292" spans="1:7">
      <c r="A292" s="157"/>
      <c r="B292" s="158"/>
      <c r="C292" s="158"/>
      <c r="D292" s="160"/>
      <c r="E292" s="158"/>
      <c r="F292" s="157"/>
      <c r="G292" s="159"/>
    </row>
    <row r="293" spans="1:7">
      <c r="A293" s="157"/>
      <c r="B293" s="158"/>
      <c r="C293" s="158"/>
      <c r="D293" s="160"/>
      <c r="E293" s="158"/>
      <c r="F293" s="157"/>
      <c r="G293" s="159"/>
    </row>
    <row r="294" spans="1:7">
      <c r="A294" s="157"/>
      <c r="B294" s="158"/>
      <c r="C294" s="158"/>
      <c r="D294" s="160"/>
      <c r="E294" s="158"/>
      <c r="F294" s="157"/>
      <c r="G294" s="159"/>
    </row>
    <row r="295" spans="1:7">
      <c r="A295" s="157"/>
      <c r="B295" s="158"/>
      <c r="C295" s="158"/>
      <c r="D295" s="160"/>
      <c r="E295" s="158"/>
      <c r="F295" s="157"/>
      <c r="G295" s="159"/>
    </row>
    <row r="296" spans="1:7">
      <c r="A296" s="157"/>
      <c r="B296" s="158"/>
      <c r="C296" s="158"/>
      <c r="D296" s="160"/>
      <c r="E296" s="158"/>
      <c r="F296" s="157"/>
      <c r="G296" s="159"/>
    </row>
    <row r="297" spans="1:7">
      <c r="A297" s="157"/>
      <c r="B297" s="158"/>
      <c r="C297" s="158"/>
      <c r="D297" s="160"/>
      <c r="E297" s="158"/>
      <c r="F297" s="157"/>
      <c r="G297" s="159"/>
    </row>
    <row r="298" spans="1:7">
      <c r="A298" s="157"/>
      <c r="B298" s="158"/>
      <c r="C298" s="158"/>
      <c r="D298" s="160"/>
      <c r="E298" s="158"/>
      <c r="F298" s="157"/>
      <c r="G298" s="159"/>
    </row>
    <row r="299" spans="1:7">
      <c r="A299" s="157"/>
      <c r="B299" s="158"/>
      <c r="C299" s="158"/>
      <c r="D299" s="160"/>
      <c r="E299" s="158"/>
      <c r="F299" s="157"/>
      <c r="G299" s="159"/>
    </row>
    <row r="300" spans="1:7">
      <c r="A300" s="157"/>
      <c r="B300" s="158"/>
      <c r="C300" s="158"/>
      <c r="D300" s="160"/>
      <c r="E300" s="158"/>
      <c r="F300" s="157"/>
      <c r="G300" s="159"/>
    </row>
    <row r="301" spans="1:7">
      <c r="A301" s="157"/>
      <c r="B301" s="158"/>
      <c r="C301" s="158"/>
      <c r="D301" s="160"/>
      <c r="E301" s="158"/>
      <c r="F301" s="157"/>
      <c r="G301" s="159"/>
    </row>
    <row r="302" spans="1:7">
      <c r="A302" s="157"/>
      <c r="B302" s="158"/>
      <c r="C302" s="158"/>
      <c r="D302" s="160"/>
      <c r="E302" s="158"/>
      <c r="F302" s="157"/>
      <c r="G302" s="159"/>
    </row>
    <row r="303" spans="1:7">
      <c r="A303" s="157"/>
      <c r="B303" s="158"/>
      <c r="C303" s="158"/>
      <c r="D303" s="160"/>
      <c r="E303" s="158"/>
      <c r="F303" s="157"/>
      <c r="G303" s="159"/>
    </row>
    <row r="304" spans="1:7">
      <c r="A304" s="157"/>
      <c r="B304" s="158"/>
      <c r="C304" s="158"/>
      <c r="D304" s="160"/>
      <c r="E304" s="158"/>
      <c r="F304" s="157"/>
      <c r="G304" s="159"/>
    </row>
    <row r="305" spans="1:7">
      <c r="A305" s="157"/>
      <c r="B305" s="158"/>
      <c r="C305" s="158"/>
      <c r="D305" s="160"/>
      <c r="E305" s="158"/>
      <c r="F305" s="157"/>
      <c r="G305" s="159"/>
    </row>
    <row r="306" spans="1:7">
      <c r="A306" s="157"/>
      <c r="B306" s="158"/>
      <c r="C306" s="158"/>
      <c r="D306" s="160"/>
      <c r="E306" s="158"/>
      <c r="F306" s="157"/>
      <c r="G306" s="159"/>
    </row>
    <row r="307" spans="1:7">
      <c r="A307" s="157"/>
      <c r="B307" s="158"/>
      <c r="C307" s="158"/>
      <c r="D307" s="160"/>
      <c r="E307" s="158"/>
      <c r="F307" s="157"/>
      <c r="G307" s="159"/>
    </row>
    <row r="308" spans="1:7">
      <c r="A308" s="157"/>
      <c r="B308" s="158"/>
      <c r="C308" s="158"/>
      <c r="D308" s="160"/>
      <c r="E308" s="158"/>
      <c r="F308" s="157"/>
      <c r="G308" s="159"/>
    </row>
    <row r="309" spans="1:7">
      <c r="A309" s="157"/>
      <c r="B309" s="158"/>
      <c r="C309" s="158"/>
      <c r="D309" s="160"/>
      <c r="E309" s="158"/>
      <c r="F309" s="157"/>
      <c r="G309" s="159"/>
    </row>
    <row r="310" spans="1:7">
      <c r="A310" s="157"/>
      <c r="B310" s="158"/>
      <c r="C310" s="158"/>
      <c r="D310" s="160"/>
      <c r="E310" s="158"/>
      <c r="F310" s="157"/>
      <c r="G310" s="159"/>
    </row>
    <row r="311" spans="1:7">
      <c r="A311" s="157"/>
      <c r="B311" s="158"/>
      <c r="C311" s="158"/>
      <c r="D311" s="160"/>
      <c r="E311" s="158"/>
      <c r="F311" s="157"/>
      <c r="G311" s="159"/>
    </row>
    <row r="312" spans="1:7">
      <c r="A312" s="157"/>
      <c r="B312" s="158"/>
      <c r="C312" s="158"/>
      <c r="D312" s="160"/>
      <c r="E312" s="158"/>
      <c r="F312" s="157"/>
      <c r="G312" s="159"/>
    </row>
    <row r="313" spans="1:7">
      <c r="A313" s="157"/>
      <c r="B313" s="158"/>
      <c r="C313" s="158"/>
      <c r="D313" s="160"/>
      <c r="E313" s="158"/>
      <c r="F313" s="157"/>
      <c r="G313" s="159"/>
    </row>
    <row r="314" spans="1:7">
      <c r="A314" s="157"/>
      <c r="B314" s="158"/>
      <c r="C314" s="158"/>
      <c r="D314" s="160"/>
      <c r="E314" s="158"/>
      <c r="F314" s="157"/>
      <c r="G314" s="159"/>
    </row>
    <row r="315" spans="1:7">
      <c r="A315" s="157"/>
      <c r="B315" s="158"/>
      <c r="C315" s="158"/>
      <c r="D315" s="160"/>
      <c r="E315" s="158"/>
      <c r="F315" s="157"/>
      <c r="G315" s="159"/>
    </row>
    <row r="316" spans="1:7">
      <c r="A316" s="157"/>
      <c r="B316" s="158"/>
      <c r="C316" s="158"/>
      <c r="D316" s="160"/>
      <c r="E316" s="158"/>
      <c r="F316" s="157"/>
      <c r="G316" s="159"/>
    </row>
    <row r="317" spans="1:7">
      <c r="A317" s="157"/>
      <c r="B317" s="158"/>
      <c r="C317" s="158"/>
      <c r="D317" s="160"/>
      <c r="E317" s="158"/>
      <c r="F317" s="157"/>
      <c r="G317" s="159"/>
    </row>
    <row r="318" spans="1:7">
      <c r="A318" s="157"/>
      <c r="B318" s="158"/>
      <c r="C318" s="158"/>
      <c r="D318" s="160"/>
      <c r="E318" s="158"/>
      <c r="F318" s="157"/>
      <c r="G318" s="159"/>
    </row>
    <row r="319" spans="1:7">
      <c r="A319" s="157"/>
      <c r="B319" s="158"/>
      <c r="C319" s="158"/>
      <c r="D319" s="160"/>
      <c r="E319" s="158"/>
      <c r="F319" s="157"/>
      <c r="G319" s="159"/>
    </row>
    <row r="320" spans="1:7">
      <c r="A320" s="157"/>
      <c r="B320" s="158"/>
      <c r="C320" s="158"/>
      <c r="D320" s="160"/>
      <c r="E320" s="158"/>
      <c r="F320" s="157"/>
      <c r="G320" s="159"/>
    </row>
    <row r="321" spans="1:7">
      <c r="A321" s="157"/>
      <c r="B321" s="158"/>
      <c r="C321" s="158"/>
      <c r="D321" s="160"/>
      <c r="E321" s="158"/>
      <c r="F321" s="157"/>
      <c r="G321" s="159"/>
    </row>
    <row r="322" spans="1:7">
      <c r="A322" s="157"/>
      <c r="B322" s="158"/>
      <c r="C322" s="158"/>
      <c r="D322" s="160"/>
      <c r="E322" s="158"/>
      <c r="F322" s="157"/>
      <c r="G322" s="159"/>
    </row>
    <row r="323" spans="1:7">
      <c r="A323" s="157"/>
      <c r="B323" s="158"/>
      <c r="C323" s="158"/>
      <c r="D323" s="160"/>
      <c r="E323" s="158"/>
      <c r="F323" s="157"/>
      <c r="G323" s="159"/>
    </row>
    <row r="324" spans="1:7">
      <c r="A324" s="157"/>
      <c r="B324" s="158"/>
      <c r="C324" s="158"/>
      <c r="D324" s="160"/>
      <c r="E324" s="158"/>
      <c r="F324" s="157"/>
      <c r="G324" s="159"/>
    </row>
    <row r="325" spans="1:7">
      <c r="A325" s="157"/>
      <c r="B325" s="158"/>
      <c r="C325" s="158"/>
      <c r="D325" s="160"/>
      <c r="E325" s="158"/>
      <c r="F325" s="157"/>
      <c r="G325" s="159"/>
    </row>
    <row r="326" spans="1:7">
      <c r="A326" s="157"/>
      <c r="B326" s="158"/>
      <c r="C326" s="158"/>
      <c r="D326" s="160"/>
      <c r="E326" s="158"/>
      <c r="F326" s="157"/>
      <c r="G326" s="159"/>
    </row>
    <row r="327" spans="1:7">
      <c r="A327" s="157"/>
      <c r="B327" s="158"/>
      <c r="C327" s="158"/>
      <c r="D327" s="160"/>
      <c r="E327" s="158"/>
      <c r="F327" s="157"/>
      <c r="G327" s="159"/>
    </row>
    <row r="328" spans="1:7">
      <c r="A328" s="157"/>
      <c r="B328" s="158"/>
      <c r="C328" s="158"/>
      <c r="D328" s="160"/>
      <c r="E328" s="158"/>
      <c r="F328" s="157"/>
      <c r="G328" s="159"/>
    </row>
    <row r="329" spans="1:7">
      <c r="A329" s="157"/>
      <c r="B329" s="158"/>
      <c r="C329" s="158"/>
      <c r="D329" s="160"/>
      <c r="E329" s="158"/>
      <c r="F329" s="157"/>
      <c r="G329" s="159"/>
    </row>
    <row r="330" spans="1:7">
      <c r="A330" s="157"/>
      <c r="B330" s="158"/>
      <c r="C330" s="158"/>
      <c r="D330" s="160"/>
      <c r="E330" s="158"/>
      <c r="F330" s="157"/>
      <c r="G330" s="159"/>
    </row>
    <row r="331" spans="1:7">
      <c r="A331" s="157"/>
      <c r="B331" s="158"/>
      <c r="C331" s="158"/>
      <c r="D331" s="160"/>
      <c r="E331" s="158"/>
      <c r="F331" s="157"/>
      <c r="G331" s="159"/>
    </row>
    <row r="332" spans="1:7">
      <c r="A332" s="157"/>
      <c r="B332" s="158"/>
      <c r="C332" s="158"/>
      <c r="D332" s="160"/>
      <c r="E332" s="158"/>
      <c r="F332" s="157"/>
      <c r="G332" s="159"/>
    </row>
    <row r="333" spans="1:7">
      <c r="A333" s="157"/>
      <c r="B333" s="158"/>
      <c r="C333" s="158"/>
      <c r="D333" s="160"/>
      <c r="E333" s="158"/>
      <c r="F333" s="157"/>
      <c r="G333" s="159"/>
    </row>
    <row r="334" spans="1:7">
      <c r="A334" s="157"/>
      <c r="B334" s="158"/>
      <c r="C334" s="158"/>
      <c r="D334" s="160"/>
      <c r="E334" s="158"/>
      <c r="F334" s="157"/>
      <c r="G334" s="159"/>
    </row>
    <row r="335" spans="1:7">
      <c r="A335" s="157"/>
      <c r="B335" s="158"/>
      <c r="C335" s="158"/>
      <c r="D335" s="160"/>
      <c r="E335" s="158"/>
      <c r="F335" s="157"/>
      <c r="G335" s="159"/>
    </row>
    <row r="336" spans="1:7">
      <c r="A336" s="157"/>
      <c r="B336" s="158"/>
      <c r="C336" s="158"/>
      <c r="D336" s="160"/>
      <c r="E336" s="158"/>
      <c r="F336" s="157"/>
      <c r="G336" s="159"/>
    </row>
    <row r="337" spans="1:7">
      <c r="A337" s="157"/>
      <c r="B337" s="158"/>
      <c r="C337" s="158"/>
      <c r="D337" s="160"/>
      <c r="E337" s="158"/>
      <c r="F337" s="157"/>
      <c r="G337" s="159"/>
    </row>
    <row r="338" spans="1:7">
      <c r="A338" s="157"/>
      <c r="B338" s="158"/>
      <c r="C338" s="158"/>
      <c r="D338" s="160"/>
      <c r="E338" s="158"/>
      <c r="F338" s="157"/>
      <c r="G338" s="159"/>
    </row>
    <row r="339" spans="1:7">
      <c r="A339" s="157"/>
      <c r="B339" s="158"/>
      <c r="C339" s="158"/>
      <c r="D339" s="160"/>
      <c r="E339" s="158"/>
      <c r="F339" s="157"/>
      <c r="G339" s="159"/>
    </row>
    <row r="340" spans="1:7">
      <c r="A340" s="157"/>
      <c r="B340" s="158"/>
      <c r="C340" s="158"/>
      <c r="D340" s="160"/>
      <c r="E340" s="158"/>
      <c r="F340" s="157"/>
      <c r="G340" s="159"/>
    </row>
    <row r="341" spans="1:7">
      <c r="A341" s="157"/>
      <c r="B341" s="158"/>
      <c r="C341" s="158"/>
      <c r="D341" s="160"/>
      <c r="E341" s="158"/>
      <c r="F341" s="157"/>
      <c r="G341" s="159"/>
    </row>
    <row r="342" spans="1:7">
      <c r="A342" s="157"/>
      <c r="B342" s="158"/>
      <c r="C342" s="158"/>
      <c r="D342" s="160"/>
      <c r="E342" s="158"/>
      <c r="F342" s="157"/>
      <c r="G342" s="159"/>
    </row>
    <row r="343" spans="1:7">
      <c r="A343" s="157"/>
      <c r="B343" s="158"/>
      <c r="C343" s="158"/>
      <c r="D343" s="160"/>
      <c r="E343" s="158"/>
      <c r="F343" s="157"/>
      <c r="G343" s="159"/>
    </row>
    <row r="344" spans="1:7">
      <c r="A344" s="157"/>
      <c r="B344" s="158"/>
      <c r="C344" s="158"/>
      <c r="D344" s="160"/>
      <c r="E344" s="158"/>
      <c r="F344" s="157"/>
      <c r="G344" s="159"/>
    </row>
    <row r="345" spans="1:7">
      <c r="A345" s="157"/>
      <c r="B345" s="158"/>
      <c r="C345" s="158"/>
      <c r="D345" s="160"/>
      <c r="E345" s="158"/>
      <c r="F345" s="157"/>
      <c r="G345" s="159"/>
    </row>
    <row r="346" spans="1:7">
      <c r="A346" s="157"/>
      <c r="B346" s="158"/>
      <c r="C346" s="158"/>
      <c r="D346" s="160"/>
      <c r="E346" s="158"/>
      <c r="F346" s="157"/>
      <c r="G346" s="159"/>
    </row>
    <row r="347" spans="1:7">
      <c r="A347" s="157"/>
      <c r="B347" s="158"/>
      <c r="C347" s="158"/>
      <c r="D347" s="160"/>
      <c r="E347" s="158"/>
      <c r="F347" s="157"/>
      <c r="G347" s="159"/>
    </row>
    <row r="348" spans="1:7">
      <c r="A348" s="157"/>
      <c r="B348" s="158"/>
      <c r="C348" s="158"/>
      <c r="D348" s="160"/>
      <c r="E348" s="158"/>
      <c r="F348" s="157"/>
      <c r="G348" s="159"/>
    </row>
    <row r="349" spans="1:7">
      <c r="A349" s="157"/>
      <c r="B349" s="158"/>
      <c r="C349" s="158"/>
      <c r="D349" s="160"/>
      <c r="E349" s="158"/>
      <c r="F349" s="157"/>
      <c r="G349" s="159"/>
    </row>
    <row r="350" spans="1:7">
      <c r="A350" s="157"/>
      <c r="B350" s="158"/>
      <c r="C350" s="158"/>
      <c r="D350" s="160"/>
      <c r="E350" s="158"/>
      <c r="F350" s="157"/>
      <c r="G350" s="159"/>
    </row>
    <row r="351" spans="1:7">
      <c r="A351" s="157"/>
      <c r="B351" s="158"/>
      <c r="C351" s="158"/>
      <c r="D351" s="160"/>
      <c r="E351" s="158"/>
      <c r="F351" s="157"/>
      <c r="G351" s="159"/>
    </row>
    <row r="352" spans="1:7">
      <c r="A352" s="157"/>
      <c r="B352" s="158"/>
      <c r="C352" s="158"/>
      <c r="D352" s="160"/>
      <c r="E352" s="158"/>
      <c r="F352" s="157"/>
      <c r="G352" s="159"/>
    </row>
    <row r="353" spans="1:7">
      <c r="A353" s="157"/>
      <c r="B353" s="158"/>
      <c r="C353" s="158"/>
      <c r="D353" s="160"/>
      <c r="E353" s="158"/>
      <c r="F353" s="157"/>
      <c r="G353" s="159"/>
    </row>
    <row r="354" spans="1:7">
      <c r="A354" s="157"/>
      <c r="B354" s="158"/>
      <c r="C354" s="158"/>
      <c r="D354" s="160"/>
      <c r="E354" s="158"/>
      <c r="F354" s="157"/>
      <c r="G354" s="159"/>
    </row>
    <row r="355" spans="1:7">
      <c r="A355" s="157"/>
      <c r="B355" s="158"/>
      <c r="C355" s="158"/>
      <c r="D355" s="160"/>
      <c r="E355" s="158"/>
      <c r="F355" s="157"/>
      <c r="G355" s="159"/>
    </row>
    <row r="356" spans="1:7">
      <c r="A356" s="157"/>
      <c r="B356" s="158"/>
      <c r="C356" s="158"/>
      <c r="D356" s="160"/>
      <c r="E356" s="158"/>
      <c r="F356" s="157"/>
      <c r="G356" s="159"/>
    </row>
    <row r="357" spans="1:7">
      <c r="A357" s="157"/>
      <c r="B357" s="158"/>
      <c r="C357" s="158"/>
      <c r="D357" s="160"/>
      <c r="E357" s="158"/>
      <c r="F357" s="157"/>
      <c r="G357" s="159"/>
    </row>
    <row r="358" spans="1:7">
      <c r="A358" s="157"/>
      <c r="B358" s="158"/>
      <c r="C358" s="158"/>
      <c r="D358" s="160"/>
      <c r="E358" s="158"/>
      <c r="F358" s="157"/>
      <c r="G358" s="159"/>
    </row>
    <row r="359" spans="1:7">
      <c r="A359" s="157"/>
      <c r="B359" s="158"/>
      <c r="C359" s="158"/>
      <c r="D359" s="160"/>
      <c r="E359" s="158"/>
      <c r="F359" s="157"/>
      <c r="G359" s="159"/>
    </row>
    <row r="360" spans="1:7">
      <c r="A360" s="157"/>
      <c r="B360" s="158"/>
      <c r="C360" s="158"/>
      <c r="D360" s="160"/>
      <c r="E360" s="158"/>
      <c r="F360" s="157"/>
      <c r="G360" s="159"/>
    </row>
    <row r="361" spans="1:7">
      <c r="A361" s="157"/>
      <c r="B361" s="158"/>
      <c r="C361" s="158"/>
      <c r="D361" s="160"/>
      <c r="E361" s="158"/>
      <c r="F361" s="157"/>
      <c r="G361" s="159"/>
    </row>
    <row r="362" spans="1:7">
      <c r="A362" s="157"/>
      <c r="B362" s="158"/>
      <c r="C362" s="158"/>
      <c r="D362" s="160"/>
      <c r="E362" s="158"/>
      <c r="F362" s="157"/>
      <c r="G362" s="159"/>
    </row>
    <row r="363" spans="1:7">
      <c r="A363" s="157"/>
      <c r="B363" s="158"/>
      <c r="C363" s="158"/>
      <c r="D363" s="160"/>
      <c r="E363" s="158"/>
      <c r="F363" s="157"/>
      <c r="G363" s="159"/>
    </row>
    <row r="364" spans="1:7">
      <c r="A364" s="157"/>
      <c r="B364" s="158"/>
      <c r="C364" s="158"/>
      <c r="D364" s="160"/>
      <c r="E364" s="158"/>
      <c r="F364" s="157"/>
      <c r="G364" s="159"/>
    </row>
    <row r="365" spans="1:7">
      <c r="A365" s="157"/>
      <c r="B365" s="158"/>
      <c r="C365" s="158"/>
      <c r="D365" s="160"/>
      <c r="E365" s="158"/>
      <c r="F365" s="157"/>
      <c r="G365" s="159"/>
    </row>
    <row r="366" spans="1:7">
      <c r="A366" s="157"/>
      <c r="B366" s="158"/>
      <c r="C366" s="158"/>
      <c r="D366" s="160"/>
      <c r="E366" s="158"/>
      <c r="F366" s="157"/>
      <c r="G366" s="159"/>
    </row>
    <row r="367" spans="1:7">
      <c r="A367" s="157"/>
      <c r="B367" s="158"/>
      <c r="C367" s="158"/>
      <c r="D367" s="160"/>
      <c r="E367" s="158"/>
      <c r="F367" s="157"/>
      <c r="G367" s="159"/>
    </row>
    <row r="368" spans="1:7">
      <c r="A368" s="157"/>
      <c r="B368" s="158"/>
      <c r="C368" s="158"/>
      <c r="D368" s="160"/>
      <c r="E368" s="158"/>
      <c r="F368" s="157"/>
      <c r="G368" s="159"/>
    </row>
    <row r="369" spans="1:7">
      <c r="A369" s="157"/>
      <c r="B369" s="158"/>
      <c r="C369" s="158"/>
      <c r="D369" s="160"/>
      <c r="E369" s="158"/>
      <c r="F369" s="157"/>
      <c r="G369" s="159"/>
    </row>
    <row r="370" spans="1:7">
      <c r="A370" s="157"/>
      <c r="B370" s="158"/>
      <c r="C370" s="158"/>
      <c r="D370" s="160"/>
      <c r="E370" s="158"/>
      <c r="F370" s="157"/>
      <c r="G370" s="159"/>
    </row>
    <row r="371" spans="1:7">
      <c r="A371" s="157"/>
      <c r="B371" s="158"/>
      <c r="C371" s="158"/>
      <c r="D371" s="160"/>
      <c r="E371" s="158"/>
      <c r="F371" s="157"/>
      <c r="G371" s="159"/>
    </row>
    <row r="372" spans="1:7">
      <c r="A372" s="157"/>
      <c r="B372" s="158"/>
      <c r="C372" s="158"/>
      <c r="D372" s="160"/>
      <c r="E372" s="158"/>
      <c r="F372" s="157"/>
      <c r="G372" s="159"/>
    </row>
    <row r="373" spans="1:7">
      <c r="A373" s="157"/>
      <c r="B373" s="158"/>
      <c r="C373" s="158"/>
      <c r="D373" s="160"/>
      <c r="E373" s="158"/>
      <c r="F373" s="157"/>
      <c r="G373" s="159"/>
    </row>
    <row r="374" spans="1:7">
      <c r="A374" s="157"/>
      <c r="B374" s="158"/>
      <c r="C374" s="158"/>
      <c r="D374" s="160"/>
      <c r="E374" s="158"/>
      <c r="F374" s="157"/>
      <c r="G374" s="159"/>
    </row>
    <row r="375" spans="1:7">
      <c r="A375" s="157"/>
      <c r="B375" s="158"/>
      <c r="C375" s="158"/>
      <c r="D375" s="160"/>
      <c r="E375" s="158"/>
      <c r="F375" s="157"/>
      <c r="G375" s="159"/>
    </row>
    <row r="376" spans="1:7">
      <c r="A376" s="157"/>
      <c r="B376" s="158"/>
      <c r="C376" s="158"/>
      <c r="D376" s="160"/>
      <c r="E376" s="158"/>
      <c r="F376" s="157"/>
      <c r="G376" s="159"/>
    </row>
    <row r="377" spans="1:7">
      <c r="A377" s="157"/>
      <c r="B377" s="158"/>
      <c r="C377" s="158"/>
      <c r="D377" s="160"/>
      <c r="E377" s="158"/>
      <c r="F377" s="157"/>
      <c r="G377" s="159"/>
    </row>
    <row r="378" spans="1:7">
      <c r="A378" s="157"/>
      <c r="B378" s="158"/>
      <c r="C378" s="158"/>
      <c r="D378" s="160"/>
      <c r="E378" s="158"/>
      <c r="F378" s="157"/>
      <c r="G378" s="159"/>
    </row>
    <row r="379" spans="1:7">
      <c r="A379" s="157"/>
      <c r="B379" s="158"/>
      <c r="C379" s="158"/>
      <c r="D379" s="160"/>
      <c r="E379" s="158"/>
      <c r="F379" s="157"/>
      <c r="G379" s="159"/>
    </row>
    <row r="380" spans="1:7">
      <c r="A380" s="157"/>
      <c r="B380" s="158"/>
      <c r="C380" s="158"/>
      <c r="D380" s="160"/>
      <c r="E380" s="158"/>
      <c r="F380" s="157"/>
      <c r="G380" s="159"/>
    </row>
    <row r="381" spans="1:7">
      <c r="A381" s="157"/>
      <c r="B381" s="158"/>
      <c r="C381" s="158"/>
      <c r="D381" s="160"/>
      <c r="E381" s="158"/>
      <c r="F381" s="157"/>
      <c r="G381" s="159"/>
    </row>
    <row r="382" spans="1:7">
      <c r="A382" s="157"/>
      <c r="B382" s="158"/>
      <c r="C382" s="158"/>
      <c r="D382" s="160"/>
      <c r="E382" s="158"/>
      <c r="F382" s="157"/>
      <c r="G382" s="159"/>
    </row>
    <row r="383" spans="1:7">
      <c r="A383" s="157"/>
      <c r="B383" s="158"/>
      <c r="C383" s="158"/>
      <c r="D383" s="160"/>
      <c r="E383" s="158"/>
      <c r="F383" s="157"/>
      <c r="G383" s="159"/>
    </row>
    <row r="384" spans="1:7">
      <c r="A384" s="157"/>
      <c r="B384" s="158"/>
      <c r="C384" s="158"/>
      <c r="D384" s="160"/>
      <c r="E384" s="158"/>
      <c r="F384" s="157"/>
      <c r="G384" s="159"/>
    </row>
    <row r="385" spans="1:7">
      <c r="A385" s="157"/>
      <c r="B385" s="158"/>
      <c r="C385" s="158"/>
      <c r="D385" s="160"/>
      <c r="E385" s="158"/>
      <c r="F385" s="157"/>
      <c r="G385" s="159"/>
    </row>
    <row r="386" spans="1:7">
      <c r="A386" s="157"/>
      <c r="B386" s="158"/>
      <c r="C386" s="158"/>
      <c r="D386" s="160"/>
      <c r="E386" s="158"/>
      <c r="F386" s="157"/>
      <c r="G386" s="159"/>
    </row>
    <row r="387" spans="1:7">
      <c r="A387" s="157"/>
      <c r="B387" s="158"/>
      <c r="C387" s="158"/>
      <c r="D387" s="160"/>
      <c r="E387" s="158"/>
      <c r="F387" s="157"/>
      <c r="G387" s="159"/>
    </row>
    <row r="388" spans="1:7">
      <c r="A388" s="157"/>
      <c r="B388" s="158"/>
      <c r="C388" s="158"/>
      <c r="D388" s="160"/>
      <c r="E388" s="158"/>
      <c r="F388" s="157"/>
      <c r="G388" s="159"/>
    </row>
    <row r="389" spans="1:7">
      <c r="A389" s="157"/>
      <c r="B389" s="158"/>
      <c r="C389" s="158"/>
      <c r="D389" s="160"/>
      <c r="E389" s="158"/>
      <c r="F389" s="157"/>
      <c r="G389" s="159"/>
    </row>
    <row r="390" spans="1:7">
      <c r="A390" s="157"/>
      <c r="B390" s="158"/>
      <c r="C390" s="158"/>
      <c r="D390" s="160"/>
      <c r="E390" s="158"/>
      <c r="F390" s="157"/>
      <c r="G390" s="159"/>
    </row>
    <row r="391" spans="1:7">
      <c r="A391" s="157"/>
      <c r="B391" s="158"/>
      <c r="C391" s="158"/>
      <c r="D391" s="160"/>
      <c r="E391" s="158"/>
      <c r="F391" s="157"/>
      <c r="G391" s="159"/>
    </row>
    <row r="392" spans="1:7">
      <c r="A392" s="157"/>
      <c r="B392" s="158"/>
      <c r="C392" s="158"/>
      <c r="D392" s="160"/>
      <c r="E392" s="158"/>
      <c r="F392" s="157"/>
      <c r="G392" s="159"/>
    </row>
    <row r="393" spans="1:7">
      <c r="A393" s="157"/>
      <c r="B393" s="158"/>
      <c r="C393" s="158"/>
      <c r="D393" s="160"/>
      <c r="E393" s="158"/>
      <c r="F393" s="157"/>
      <c r="G393" s="159"/>
    </row>
    <row r="394" spans="1:7">
      <c r="A394" s="157"/>
      <c r="B394" s="158"/>
      <c r="C394" s="158"/>
      <c r="D394" s="160"/>
      <c r="E394" s="158"/>
      <c r="F394" s="157"/>
      <c r="G394" s="159"/>
    </row>
    <row r="395" spans="1:7">
      <c r="A395" s="157"/>
      <c r="B395" s="158"/>
      <c r="C395" s="158"/>
      <c r="D395" s="160"/>
      <c r="E395" s="158"/>
      <c r="F395" s="157"/>
      <c r="G395" s="159"/>
    </row>
    <row r="396" spans="1:7">
      <c r="A396" s="157"/>
      <c r="B396" s="158"/>
      <c r="C396" s="158"/>
      <c r="D396" s="160"/>
      <c r="E396" s="158"/>
      <c r="F396" s="157"/>
      <c r="G396" s="159"/>
    </row>
    <row r="397" spans="1:7">
      <c r="A397" s="157"/>
      <c r="B397" s="158"/>
      <c r="C397" s="158"/>
      <c r="D397" s="160"/>
      <c r="E397" s="158"/>
      <c r="F397" s="157"/>
      <c r="G397" s="159"/>
    </row>
    <row r="398" spans="1:7">
      <c r="A398" s="157"/>
      <c r="B398" s="158"/>
      <c r="C398" s="158"/>
      <c r="D398" s="160"/>
      <c r="E398" s="158"/>
      <c r="F398" s="157"/>
      <c r="G398" s="159"/>
    </row>
    <row r="399" spans="1:7">
      <c r="A399" s="157"/>
      <c r="B399" s="158"/>
      <c r="C399" s="158"/>
      <c r="D399" s="160"/>
      <c r="E399" s="158"/>
      <c r="F399" s="157"/>
      <c r="G399" s="159"/>
    </row>
    <row r="400" spans="1:7">
      <c r="A400" s="157"/>
      <c r="B400" s="158"/>
      <c r="C400" s="158"/>
      <c r="D400" s="160"/>
      <c r="E400" s="158"/>
      <c r="F400" s="157"/>
      <c r="G400" s="159"/>
    </row>
    <row r="401" spans="1:7">
      <c r="A401" s="157"/>
      <c r="B401" s="158"/>
      <c r="C401" s="158"/>
      <c r="D401" s="160"/>
      <c r="E401" s="158"/>
      <c r="F401" s="157"/>
      <c r="G401" s="159"/>
    </row>
    <row r="402" spans="1:7">
      <c r="A402" s="157"/>
      <c r="B402" s="158"/>
      <c r="C402" s="158"/>
      <c r="D402" s="160"/>
      <c r="E402" s="158"/>
      <c r="F402" s="157"/>
      <c r="G402" s="159"/>
    </row>
    <row r="403" spans="1:7">
      <c r="A403" s="157"/>
      <c r="B403" s="158"/>
      <c r="C403" s="158"/>
      <c r="D403" s="160"/>
      <c r="E403" s="158"/>
      <c r="F403" s="157"/>
      <c r="G403" s="159"/>
    </row>
    <row r="404" spans="1:7">
      <c r="A404" s="157"/>
      <c r="B404" s="158"/>
      <c r="C404" s="158"/>
      <c r="D404" s="160"/>
      <c r="E404" s="158"/>
      <c r="F404" s="157"/>
      <c r="G404" s="159"/>
    </row>
    <row r="405" spans="1:7">
      <c r="A405" s="157"/>
      <c r="B405" s="158"/>
      <c r="C405" s="158"/>
      <c r="D405" s="160"/>
      <c r="E405" s="158"/>
      <c r="F405" s="157"/>
      <c r="G405" s="159"/>
    </row>
    <row r="406" spans="1:7">
      <c r="A406" s="157"/>
      <c r="B406" s="158"/>
      <c r="C406" s="158"/>
      <c r="D406" s="160"/>
      <c r="E406" s="158"/>
      <c r="F406" s="157"/>
      <c r="G406" s="159"/>
    </row>
    <row r="407" spans="1:7">
      <c r="A407" s="157"/>
      <c r="B407" s="158"/>
      <c r="C407" s="158"/>
      <c r="D407" s="160"/>
      <c r="E407" s="158"/>
      <c r="F407" s="157"/>
      <c r="G407" s="159"/>
    </row>
    <row r="408" spans="1:7">
      <c r="A408" s="157"/>
      <c r="B408" s="158"/>
      <c r="C408" s="158"/>
      <c r="D408" s="160"/>
      <c r="E408" s="158"/>
      <c r="F408" s="157"/>
      <c r="G408" s="159"/>
    </row>
    <row r="409" spans="1:7">
      <c r="A409" s="157"/>
      <c r="B409" s="158"/>
      <c r="C409" s="158"/>
      <c r="D409" s="160"/>
      <c r="E409" s="158"/>
      <c r="F409" s="157"/>
      <c r="G409" s="159"/>
    </row>
    <row r="410" spans="1:7">
      <c r="A410" s="157"/>
      <c r="B410" s="158"/>
      <c r="C410" s="158"/>
      <c r="D410" s="160"/>
      <c r="E410" s="158"/>
      <c r="F410" s="157"/>
      <c r="G410" s="159"/>
    </row>
    <row r="411" spans="1:7">
      <c r="A411" s="157"/>
      <c r="B411" s="158"/>
      <c r="C411" s="158"/>
      <c r="D411" s="160"/>
      <c r="E411" s="158"/>
      <c r="F411" s="157"/>
      <c r="G411" s="159"/>
    </row>
    <row r="412" spans="1:7">
      <c r="A412" s="157"/>
      <c r="B412" s="158"/>
      <c r="C412" s="158"/>
      <c r="D412" s="160"/>
      <c r="E412" s="158"/>
      <c r="F412" s="157"/>
      <c r="G412" s="159"/>
    </row>
    <row r="413" spans="1:7">
      <c r="A413" s="157"/>
      <c r="B413" s="158"/>
      <c r="C413" s="158"/>
      <c r="D413" s="160"/>
      <c r="E413" s="158"/>
      <c r="F413" s="157"/>
      <c r="G413" s="159"/>
    </row>
    <row r="414" spans="1:7">
      <c r="A414" s="157"/>
      <c r="B414" s="158"/>
      <c r="C414" s="158"/>
      <c r="D414" s="160"/>
      <c r="E414" s="158"/>
      <c r="F414" s="157"/>
      <c r="G414" s="159"/>
    </row>
    <row r="415" spans="1:7">
      <c r="A415" s="157"/>
      <c r="B415" s="158"/>
      <c r="C415" s="158"/>
      <c r="D415" s="160"/>
      <c r="E415" s="158"/>
      <c r="F415" s="157"/>
      <c r="G415" s="159"/>
    </row>
    <row r="416" spans="1:7">
      <c r="A416" s="157"/>
      <c r="B416" s="158"/>
      <c r="C416" s="158"/>
      <c r="D416" s="160"/>
      <c r="E416" s="158"/>
      <c r="F416" s="157"/>
      <c r="G416" s="159"/>
    </row>
    <row r="417" spans="1:7">
      <c r="A417" s="157"/>
      <c r="B417" s="158"/>
      <c r="C417" s="158"/>
      <c r="D417" s="160"/>
      <c r="E417" s="158"/>
      <c r="F417" s="157"/>
      <c r="G417" s="159"/>
    </row>
    <row r="418" spans="1:7">
      <c r="A418" s="157"/>
      <c r="B418" s="158"/>
      <c r="C418" s="158"/>
      <c r="D418" s="160"/>
      <c r="E418" s="158"/>
      <c r="F418" s="157"/>
      <c r="G418" s="159"/>
    </row>
    <row r="419" spans="1:7">
      <c r="A419" s="157"/>
      <c r="B419" s="158"/>
      <c r="C419" s="158"/>
      <c r="D419" s="160"/>
      <c r="E419" s="158"/>
      <c r="F419" s="157"/>
      <c r="G419" s="159"/>
    </row>
    <row r="420" spans="1:7">
      <c r="A420" s="157"/>
      <c r="B420" s="158"/>
      <c r="C420" s="158"/>
      <c r="D420" s="160"/>
      <c r="E420" s="158"/>
      <c r="F420" s="157"/>
      <c r="G420" s="159"/>
    </row>
    <row r="421" spans="1:7">
      <c r="A421" s="157"/>
      <c r="B421" s="158"/>
      <c r="C421" s="158"/>
      <c r="D421" s="160"/>
      <c r="E421" s="158"/>
      <c r="F421" s="157"/>
      <c r="G421" s="159"/>
    </row>
    <row r="422" spans="1:7">
      <c r="A422" s="157"/>
      <c r="B422" s="158"/>
      <c r="C422" s="158"/>
      <c r="D422" s="160"/>
      <c r="E422" s="158"/>
      <c r="F422" s="157"/>
      <c r="G422" s="159"/>
    </row>
    <row r="423" spans="1:7">
      <c r="A423" s="157"/>
      <c r="B423" s="158"/>
      <c r="C423" s="158"/>
      <c r="D423" s="160"/>
      <c r="E423" s="158"/>
      <c r="F423" s="157"/>
      <c r="G423" s="159"/>
    </row>
    <row r="424" spans="1:7">
      <c r="A424" s="157"/>
      <c r="B424" s="158"/>
      <c r="C424" s="158"/>
      <c r="D424" s="160"/>
      <c r="E424" s="158"/>
      <c r="F424" s="157"/>
      <c r="G424" s="159"/>
    </row>
    <row r="425" spans="1:7">
      <c r="A425" s="157"/>
      <c r="B425" s="158"/>
      <c r="C425" s="158"/>
      <c r="D425" s="160"/>
      <c r="E425" s="158"/>
      <c r="F425" s="157"/>
      <c r="G425" s="159"/>
    </row>
    <row r="426" spans="1:7">
      <c r="A426" s="157"/>
      <c r="B426" s="158"/>
      <c r="C426" s="158"/>
      <c r="D426" s="160"/>
      <c r="E426" s="158"/>
      <c r="F426" s="157"/>
      <c r="G426" s="159"/>
    </row>
    <row r="427" spans="1:7">
      <c r="A427" s="157"/>
      <c r="B427" s="158"/>
      <c r="C427" s="158"/>
      <c r="D427" s="160"/>
      <c r="E427" s="158"/>
      <c r="F427" s="157"/>
      <c r="G427" s="159"/>
    </row>
    <row r="428" spans="1:7">
      <c r="A428" s="157"/>
      <c r="B428" s="158"/>
      <c r="C428" s="158"/>
      <c r="D428" s="160"/>
      <c r="E428" s="158"/>
      <c r="F428" s="157"/>
      <c r="G428" s="159"/>
    </row>
    <row r="429" spans="1:7">
      <c r="A429" s="157"/>
      <c r="B429" s="158"/>
      <c r="C429" s="158"/>
      <c r="D429" s="160"/>
      <c r="E429" s="158"/>
      <c r="F429" s="157"/>
      <c r="G429" s="159"/>
    </row>
    <row r="430" spans="1:7">
      <c r="A430" s="157"/>
      <c r="B430" s="158"/>
      <c r="C430" s="158"/>
      <c r="D430" s="160"/>
      <c r="E430" s="158"/>
      <c r="F430" s="157"/>
      <c r="G430" s="159"/>
    </row>
    <row r="431" spans="1:7">
      <c r="A431" s="157"/>
      <c r="B431" s="158"/>
      <c r="C431" s="158"/>
      <c r="D431" s="160"/>
      <c r="E431" s="158"/>
      <c r="F431" s="157"/>
      <c r="G431" s="159"/>
    </row>
    <row r="432" spans="1:7">
      <c r="A432" s="157"/>
      <c r="B432" s="158"/>
      <c r="C432" s="158"/>
      <c r="D432" s="160"/>
      <c r="E432" s="158"/>
      <c r="F432" s="157"/>
      <c r="G432" s="159"/>
    </row>
    <row r="433" spans="1:7">
      <c r="A433" s="157"/>
      <c r="B433" s="158"/>
      <c r="C433" s="158"/>
      <c r="D433" s="160"/>
      <c r="E433" s="158"/>
      <c r="F433" s="157"/>
      <c r="G433" s="159"/>
    </row>
    <row r="434" spans="1:7">
      <c r="A434" s="157"/>
      <c r="B434" s="158"/>
      <c r="C434" s="158"/>
      <c r="D434" s="160"/>
      <c r="E434" s="158"/>
      <c r="F434" s="157"/>
      <c r="G434" s="159"/>
    </row>
    <row r="435" spans="1:7">
      <c r="A435" s="157"/>
      <c r="B435" s="158"/>
      <c r="C435" s="158"/>
      <c r="D435" s="160"/>
      <c r="E435" s="158"/>
      <c r="F435" s="157"/>
      <c r="G435" s="159"/>
    </row>
    <row r="436" spans="1:7">
      <c r="A436" s="157"/>
      <c r="B436" s="158"/>
      <c r="C436" s="158"/>
      <c r="D436" s="160"/>
      <c r="E436" s="158"/>
      <c r="F436" s="157"/>
      <c r="G436" s="159"/>
    </row>
    <row r="437" spans="1:7">
      <c r="A437" s="157"/>
      <c r="B437" s="158"/>
      <c r="C437" s="158"/>
      <c r="D437" s="160"/>
      <c r="E437" s="158"/>
      <c r="F437" s="157"/>
      <c r="G437" s="159"/>
    </row>
    <row r="438" spans="1:7">
      <c r="A438" s="157"/>
      <c r="B438" s="158"/>
      <c r="C438" s="158"/>
      <c r="D438" s="160"/>
      <c r="E438" s="158"/>
      <c r="F438" s="157"/>
      <c r="G438" s="159"/>
    </row>
    <row r="439" spans="1:7">
      <c r="A439" s="157"/>
      <c r="B439" s="158"/>
      <c r="C439" s="158"/>
      <c r="D439" s="160"/>
      <c r="E439" s="158"/>
      <c r="F439" s="157"/>
      <c r="G439" s="159"/>
    </row>
    <row r="440" spans="1:7">
      <c r="A440" s="157"/>
      <c r="B440" s="158"/>
      <c r="C440" s="158"/>
      <c r="D440" s="160"/>
      <c r="E440" s="158"/>
      <c r="F440" s="157"/>
      <c r="G440" s="159"/>
    </row>
    <row r="441" spans="1:7">
      <c r="A441" s="157"/>
      <c r="B441" s="158"/>
      <c r="C441" s="158"/>
      <c r="D441" s="160"/>
      <c r="E441" s="158"/>
      <c r="F441" s="157"/>
      <c r="G441" s="159"/>
    </row>
    <row r="442" spans="1:7">
      <c r="A442" s="157"/>
      <c r="B442" s="158"/>
      <c r="C442" s="158"/>
      <c r="D442" s="160"/>
      <c r="E442" s="158"/>
      <c r="F442" s="157"/>
      <c r="G442" s="159"/>
    </row>
    <row r="443" spans="1:7">
      <c r="A443" s="157"/>
      <c r="B443" s="158"/>
      <c r="C443" s="158"/>
      <c r="D443" s="160"/>
      <c r="E443" s="158"/>
      <c r="F443" s="157"/>
      <c r="G443" s="159"/>
    </row>
    <row r="444" spans="1:7">
      <c r="A444" s="157"/>
      <c r="B444" s="158"/>
      <c r="C444" s="158"/>
      <c r="D444" s="160"/>
      <c r="E444" s="158"/>
      <c r="F444" s="157"/>
      <c r="G444" s="159"/>
    </row>
    <row r="445" spans="1:7">
      <c r="A445" s="157"/>
      <c r="B445" s="158"/>
      <c r="C445" s="158"/>
      <c r="D445" s="160"/>
      <c r="E445" s="158"/>
      <c r="F445" s="157"/>
      <c r="G445" s="159"/>
    </row>
    <row r="446" spans="1:7">
      <c r="A446" s="157"/>
      <c r="B446" s="158"/>
      <c r="C446" s="158"/>
      <c r="D446" s="160"/>
      <c r="E446" s="158"/>
      <c r="F446" s="157"/>
      <c r="G446" s="159"/>
    </row>
    <row r="447" spans="1:7">
      <c r="A447" s="157"/>
      <c r="B447" s="158"/>
      <c r="C447" s="158"/>
      <c r="D447" s="160"/>
      <c r="E447" s="158"/>
      <c r="F447" s="157"/>
      <c r="G447" s="159"/>
    </row>
    <row r="448" spans="1:7">
      <c r="A448" s="157"/>
      <c r="B448" s="158"/>
      <c r="C448" s="158"/>
      <c r="D448" s="160"/>
      <c r="E448" s="158"/>
      <c r="F448" s="157"/>
      <c r="G448" s="159"/>
    </row>
    <row r="449" spans="1:7">
      <c r="A449" s="157"/>
      <c r="B449" s="158"/>
      <c r="C449" s="158"/>
      <c r="D449" s="160"/>
      <c r="E449" s="158"/>
      <c r="F449" s="157"/>
      <c r="G449" s="159"/>
    </row>
    <row r="450" spans="1:7">
      <c r="A450" s="157"/>
      <c r="B450" s="158"/>
      <c r="C450" s="158"/>
      <c r="D450" s="160"/>
      <c r="E450" s="158"/>
      <c r="F450" s="157"/>
      <c r="G450" s="159"/>
    </row>
    <row r="451" spans="1:7">
      <c r="A451" s="157"/>
      <c r="B451" s="158"/>
      <c r="C451" s="158"/>
      <c r="D451" s="160"/>
      <c r="E451" s="158"/>
      <c r="F451" s="157"/>
      <c r="G451" s="159"/>
    </row>
    <row r="452" spans="1:7">
      <c r="A452" s="157"/>
      <c r="B452" s="158"/>
      <c r="C452" s="158"/>
      <c r="D452" s="160"/>
      <c r="E452" s="158"/>
      <c r="F452" s="157"/>
      <c r="G452" s="159"/>
    </row>
    <row r="453" spans="1:7">
      <c r="A453" s="157"/>
      <c r="B453" s="158"/>
      <c r="C453" s="158"/>
      <c r="D453" s="160"/>
      <c r="E453" s="158"/>
      <c r="F453" s="157"/>
      <c r="G453" s="159"/>
    </row>
    <row r="454" spans="1:7">
      <c r="A454" s="157"/>
      <c r="B454" s="158"/>
      <c r="C454" s="158"/>
      <c r="D454" s="160"/>
      <c r="E454" s="158"/>
      <c r="F454" s="157"/>
      <c r="G454" s="159"/>
    </row>
    <row r="455" spans="1:7">
      <c r="A455" s="157"/>
      <c r="B455" s="158"/>
      <c r="C455" s="158"/>
      <c r="D455" s="160"/>
      <c r="E455" s="158"/>
      <c r="F455" s="157"/>
      <c r="G455" s="159"/>
    </row>
    <row r="456" spans="1:7">
      <c r="A456" s="157"/>
      <c r="B456" s="158"/>
      <c r="C456" s="158"/>
      <c r="D456" s="160"/>
      <c r="E456" s="158"/>
      <c r="F456" s="157"/>
      <c r="G456" s="159"/>
    </row>
    <row r="457" spans="1:7">
      <c r="A457" s="157"/>
      <c r="B457" s="158"/>
      <c r="C457" s="158"/>
      <c r="D457" s="160"/>
      <c r="E457" s="158"/>
      <c r="F457" s="157"/>
      <c r="G457" s="159"/>
    </row>
    <row r="458" spans="1:7">
      <c r="A458" s="157"/>
      <c r="B458" s="158"/>
      <c r="C458" s="158"/>
      <c r="D458" s="160"/>
      <c r="E458" s="158"/>
      <c r="F458" s="157"/>
      <c r="G458" s="159"/>
    </row>
    <row r="459" spans="1:7">
      <c r="A459" s="157"/>
      <c r="B459" s="158"/>
      <c r="C459" s="158"/>
      <c r="D459" s="160"/>
      <c r="E459" s="158"/>
      <c r="F459" s="157"/>
      <c r="G459" s="159"/>
    </row>
    <row r="460" spans="1:7">
      <c r="A460" s="157"/>
      <c r="B460" s="158"/>
      <c r="C460" s="158"/>
      <c r="D460" s="160"/>
      <c r="E460" s="158"/>
      <c r="F460" s="157"/>
      <c r="G460" s="159"/>
    </row>
    <row r="461" spans="1:7">
      <c r="A461" s="157"/>
      <c r="B461" s="158"/>
      <c r="C461" s="158"/>
      <c r="D461" s="160"/>
      <c r="E461" s="158"/>
      <c r="F461" s="157"/>
      <c r="G461" s="159"/>
    </row>
    <row r="462" spans="1:7">
      <c r="A462" s="157"/>
      <c r="B462" s="158"/>
      <c r="C462" s="158"/>
      <c r="D462" s="160"/>
      <c r="E462" s="158"/>
      <c r="F462" s="157"/>
      <c r="G462" s="159"/>
    </row>
    <row r="463" spans="1:7">
      <c r="A463" s="157"/>
      <c r="B463" s="158"/>
      <c r="C463" s="158"/>
      <c r="D463" s="160"/>
      <c r="E463" s="158"/>
      <c r="F463" s="157"/>
      <c r="G463" s="159"/>
    </row>
    <row r="464" spans="1:7">
      <c r="A464" s="157"/>
      <c r="B464" s="158"/>
      <c r="C464" s="158"/>
      <c r="D464" s="160"/>
      <c r="E464" s="158"/>
      <c r="F464" s="157"/>
      <c r="G464" s="159"/>
    </row>
    <row r="465" spans="1:7">
      <c r="A465" s="157"/>
      <c r="B465" s="158"/>
      <c r="C465" s="158"/>
      <c r="D465" s="160"/>
      <c r="E465" s="158"/>
      <c r="F465" s="157"/>
      <c r="G465" s="159"/>
    </row>
    <row r="466" spans="1:7">
      <c r="A466" s="157"/>
      <c r="B466" s="158"/>
      <c r="C466" s="158"/>
      <c r="D466" s="160"/>
      <c r="E466" s="158"/>
      <c r="F466" s="157"/>
      <c r="G466" s="159"/>
    </row>
    <row r="467" spans="1:7">
      <c r="A467" s="157"/>
      <c r="B467" s="158"/>
      <c r="C467" s="158"/>
      <c r="D467" s="160"/>
      <c r="E467" s="158"/>
      <c r="F467" s="157"/>
      <c r="G467" s="159"/>
    </row>
    <row r="468" spans="1:7">
      <c r="A468" s="157"/>
      <c r="B468" s="158"/>
      <c r="C468" s="158"/>
      <c r="D468" s="160"/>
      <c r="E468" s="158"/>
      <c r="F468" s="157"/>
      <c r="G468" s="159"/>
    </row>
    <row r="469" spans="1:7">
      <c r="A469" s="157"/>
      <c r="B469" s="158"/>
      <c r="C469" s="158"/>
      <c r="D469" s="160"/>
      <c r="E469" s="158"/>
      <c r="F469" s="157"/>
      <c r="G469" s="159"/>
    </row>
    <row r="470" spans="1:7">
      <c r="A470" s="157"/>
      <c r="B470" s="158"/>
      <c r="C470" s="158"/>
      <c r="D470" s="160"/>
      <c r="E470" s="158"/>
      <c r="F470" s="157"/>
      <c r="G470" s="159"/>
    </row>
    <row r="471" spans="1:7">
      <c r="A471" s="157"/>
      <c r="B471" s="158"/>
      <c r="C471" s="158"/>
      <c r="D471" s="160"/>
      <c r="E471" s="158"/>
      <c r="F471" s="157"/>
      <c r="G471" s="159"/>
    </row>
    <row r="472" spans="1:7">
      <c r="A472" s="157"/>
      <c r="B472" s="158"/>
      <c r="C472" s="158"/>
      <c r="D472" s="160"/>
      <c r="E472" s="158"/>
      <c r="F472" s="157"/>
      <c r="G472" s="159"/>
    </row>
    <row r="473" spans="1:7">
      <c r="A473" s="157"/>
      <c r="B473" s="158"/>
      <c r="C473" s="158"/>
      <c r="D473" s="160"/>
      <c r="E473" s="158"/>
      <c r="F473" s="157"/>
      <c r="G473" s="159"/>
    </row>
    <row r="474" spans="1:7">
      <c r="A474" s="157"/>
      <c r="B474" s="158"/>
      <c r="C474" s="158"/>
      <c r="D474" s="160"/>
      <c r="E474" s="158"/>
      <c r="F474" s="157"/>
      <c r="G474" s="159"/>
    </row>
    <row r="475" spans="1:7">
      <c r="A475" s="157"/>
      <c r="B475" s="158"/>
      <c r="C475" s="158"/>
      <c r="D475" s="160"/>
      <c r="E475" s="158"/>
      <c r="F475" s="157"/>
      <c r="G475" s="159"/>
    </row>
    <row r="476" spans="1:7">
      <c r="A476" s="157"/>
      <c r="B476" s="158"/>
      <c r="C476" s="158"/>
      <c r="D476" s="160"/>
      <c r="E476" s="158"/>
      <c r="F476" s="157"/>
      <c r="G476" s="159"/>
    </row>
    <row r="477" spans="1:7">
      <c r="A477" s="157"/>
      <c r="B477" s="158"/>
      <c r="C477" s="158"/>
      <c r="D477" s="160"/>
      <c r="E477" s="158"/>
      <c r="F477" s="157"/>
      <c r="G477" s="159"/>
    </row>
    <row r="478" spans="1:7">
      <c r="A478" s="157"/>
      <c r="B478" s="158"/>
      <c r="C478" s="158"/>
      <c r="D478" s="160"/>
      <c r="E478" s="158"/>
      <c r="F478" s="157"/>
      <c r="G478" s="159"/>
    </row>
    <row r="479" spans="1:7">
      <c r="A479" s="157"/>
      <c r="B479" s="158"/>
      <c r="C479" s="158"/>
      <c r="D479" s="160"/>
      <c r="E479" s="158"/>
      <c r="F479" s="157"/>
      <c r="G479" s="159"/>
    </row>
    <row r="480" spans="1:7">
      <c r="A480" s="157"/>
      <c r="B480" s="158"/>
      <c r="C480" s="158"/>
      <c r="D480" s="160"/>
      <c r="E480" s="158"/>
      <c r="F480" s="157"/>
      <c r="G480" s="159"/>
    </row>
    <row r="481" spans="1:7">
      <c r="A481" s="157"/>
      <c r="B481" s="158"/>
      <c r="C481" s="158"/>
      <c r="D481" s="160"/>
      <c r="E481" s="158"/>
      <c r="F481" s="157"/>
      <c r="G481" s="159"/>
    </row>
    <row r="482" spans="1:7">
      <c r="A482" s="157"/>
      <c r="B482" s="158"/>
      <c r="C482" s="158"/>
      <c r="D482" s="160"/>
      <c r="E482" s="158"/>
      <c r="F482" s="157"/>
      <c r="G482" s="159"/>
    </row>
    <row r="483" spans="1:7">
      <c r="A483" s="157"/>
      <c r="B483" s="158"/>
      <c r="C483" s="158"/>
      <c r="D483" s="160"/>
      <c r="E483" s="158"/>
      <c r="F483" s="157"/>
      <c r="G483" s="159"/>
    </row>
    <row r="484" spans="1:7">
      <c r="A484" s="157"/>
      <c r="B484" s="158"/>
      <c r="C484" s="158"/>
      <c r="D484" s="160"/>
      <c r="E484" s="158"/>
      <c r="F484" s="157"/>
      <c r="G484" s="159"/>
    </row>
    <row r="485" spans="1:7">
      <c r="A485" s="157"/>
      <c r="B485" s="158"/>
      <c r="C485" s="158"/>
      <c r="D485" s="160"/>
      <c r="E485" s="158"/>
      <c r="F485" s="157"/>
      <c r="G485" s="159"/>
    </row>
    <row r="486" spans="1:7">
      <c r="A486" s="157"/>
      <c r="B486" s="158"/>
      <c r="C486" s="158"/>
      <c r="D486" s="160"/>
      <c r="E486" s="158"/>
      <c r="F486" s="157"/>
      <c r="G486" s="159"/>
    </row>
    <row r="487" spans="1:7">
      <c r="A487" s="157"/>
      <c r="B487" s="158"/>
      <c r="C487" s="158"/>
      <c r="D487" s="160"/>
      <c r="E487" s="158"/>
      <c r="F487" s="157"/>
      <c r="G487" s="159"/>
    </row>
    <row r="488" spans="1:7">
      <c r="A488" s="157"/>
      <c r="B488" s="158"/>
      <c r="C488" s="158"/>
      <c r="D488" s="160"/>
      <c r="E488" s="158"/>
      <c r="F488" s="157"/>
      <c r="G488" s="159"/>
    </row>
    <row r="489" spans="1:7">
      <c r="A489" s="157"/>
      <c r="B489" s="158"/>
      <c r="C489" s="158"/>
      <c r="D489" s="160"/>
      <c r="E489" s="158"/>
      <c r="F489" s="157"/>
      <c r="G489" s="159"/>
    </row>
    <row r="490" spans="1:7">
      <c r="A490" s="157"/>
      <c r="B490" s="158"/>
      <c r="C490" s="158"/>
      <c r="D490" s="160"/>
      <c r="E490" s="158"/>
      <c r="F490" s="157"/>
      <c r="G490" s="159"/>
    </row>
    <row r="491" spans="1:7">
      <c r="A491" s="157"/>
      <c r="B491" s="158"/>
      <c r="C491" s="158"/>
      <c r="D491" s="160"/>
      <c r="E491" s="158"/>
      <c r="F491" s="157"/>
      <c r="G491" s="159"/>
    </row>
    <row r="492" spans="1:7">
      <c r="A492" s="157"/>
      <c r="B492" s="158"/>
      <c r="C492" s="158"/>
      <c r="D492" s="160"/>
      <c r="E492" s="158"/>
      <c r="F492" s="157"/>
      <c r="G492" s="159"/>
    </row>
    <row r="493" spans="1:7">
      <c r="A493" s="157"/>
      <c r="B493" s="158"/>
      <c r="C493" s="158"/>
      <c r="D493" s="160"/>
      <c r="E493" s="158"/>
      <c r="F493" s="157"/>
      <c r="G493" s="159"/>
    </row>
    <row r="494" spans="1:7">
      <c r="A494" s="157"/>
      <c r="B494" s="158"/>
      <c r="C494" s="158"/>
      <c r="D494" s="160"/>
      <c r="E494" s="158"/>
      <c r="F494" s="157"/>
      <c r="G494" s="159"/>
    </row>
    <row r="495" spans="1:7">
      <c r="A495" s="157"/>
      <c r="B495" s="158"/>
      <c r="C495" s="158"/>
      <c r="D495" s="160"/>
      <c r="E495" s="158"/>
      <c r="F495" s="157"/>
      <c r="G495" s="159"/>
    </row>
    <row r="496" spans="1:7">
      <c r="A496" s="157"/>
      <c r="B496" s="158"/>
      <c r="C496" s="158"/>
      <c r="D496" s="160"/>
      <c r="E496" s="158"/>
      <c r="F496" s="157"/>
      <c r="G496" s="159"/>
    </row>
    <row r="497" spans="1:7">
      <c r="A497" s="157"/>
      <c r="B497" s="158"/>
      <c r="C497" s="158"/>
      <c r="D497" s="160"/>
      <c r="E497" s="158"/>
      <c r="F497" s="157"/>
      <c r="G497" s="159"/>
    </row>
    <row r="498" spans="1:7">
      <c r="A498" s="157"/>
      <c r="B498" s="158"/>
      <c r="C498" s="158"/>
      <c r="D498" s="160"/>
      <c r="E498" s="158"/>
      <c r="F498" s="157"/>
      <c r="G498" s="159"/>
    </row>
    <row r="499" spans="1:7">
      <c r="A499" s="157"/>
      <c r="B499" s="158"/>
      <c r="C499" s="158"/>
      <c r="D499" s="160"/>
      <c r="E499" s="158"/>
      <c r="F499" s="157"/>
      <c r="G499" s="159"/>
    </row>
    <row r="500" spans="1:7">
      <c r="A500" s="157"/>
      <c r="B500" s="158"/>
      <c r="C500" s="158"/>
      <c r="D500" s="160"/>
      <c r="E500" s="158"/>
      <c r="F500" s="157"/>
      <c r="G500" s="159"/>
    </row>
    <row r="501" spans="1:7">
      <c r="A501" s="157"/>
      <c r="B501" s="158"/>
      <c r="C501" s="158"/>
      <c r="D501" s="160"/>
      <c r="E501" s="158"/>
      <c r="F501" s="157"/>
      <c r="G501" s="159"/>
    </row>
    <row r="502" spans="1:7">
      <c r="A502" s="157"/>
      <c r="B502" s="158"/>
      <c r="C502" s="158"/>
      <c r="D502" s="160"/>
      <c r="E502" s="158"/>
      <c r="F502" s="157"/>
      <c r="G502" s="159"/>
    </row>
    <row r="503" spans="1:7">
      <c r="A503" s="157"/>
      <c r="B503" s="158"/>
      <c r="C503" s="158"/>
      <c r="D503" s="160"/>
      <c r="E503" s="158"/>
      <c r="F503" s="157"/>
      <c r="G503" s="159"/>
    </row>
    <row r="504" spans="1:7">
      <c r="A504" s="157"/>
      <c r="B504" s="158"/>
      <c r="C504" s="158"/>
      <c r="D504" s="160"/>
      <c r="E504" s="158"/>
      <c r="F504" s="157"/>
      <c r="G504" s="159"/>
    </row>
    <row r="505" spans="1:7">
      <c r="A505" s="157"/>
      <c r="B505" s="158"/>
      <c r="C505" s="158"/>
      <c r="D505" s="160"/>
      <c r="E505" s="158"/>
      <c r="F505" s="157"/>
      <c r="G505" s="159"/>
    </row>
    <row r="506" spans="1:7">
      <c r="A506" s="157"/>
      <c r="B506" s="158"/>
      <c r="C506" s="158"/>
      <c r="D506" s="160"/>
      <c r="E506" s="158"/>
      <c r="F506" s="157"/>
      <c r="G506" s="159"/>
    </row>
    <row r="507" spans="1:7">
      <c r="A507" s="157"/>
      <c r="B507" s="158"/>
      <c r="C507" s="158"/>
      <c r="D507" s="160"/>
      <c r="E507" s="158"/>
      <c r="F507" s="157"/>
      <c r="G507" s="159"/>
    </row>
    <row r="508" spans="1:7">
      <c r="A508" s="157"/>
      <c r="B508" s="158"/>
      <c r="C508" s="158"/>
      <c r="D508" s="160"/>
      <c r="E508" s="158"/>
      <c r="F508" s="157"/>
      <c r="G508" s="159"/>
    </row>
    <row r="509" spans="1:7">
      <c r="A509" s="157"/>
      <c r="B509" s="158"/>
      <c r="C509" s="158"/>
      <c r="D509" s="160"/>
      <c r="E509" s="158"/>
      <c r="F509" s="157"/>
      <c r="G509" s="159"/>
    </row>
    <row r="510" spans="1:7">
      <c r="A510" s="157"/>
      <c r="B510" s="158"/>
      <c r="C510" s="158"/>
      <c r="D510" s="160"/>
      <c r="E510" s="158"/>
      <c r="F510" s="157"/>
      <c r="G510" s="159"/>
    </row>
    <row r="511" spans="1:7">
      <c r="A511" s="157"/>
      <c r="B511" s="158"/>
      <c r="C511" s="158"/>
      <c r="D511" s="160"/>
      <c r="E511" s="158"/>
      <c r="F511" s="157"/>
      <c r="G511" s="159"/>
    </row>
    <row r="512" spans="1:7">
      <c r="A512" s="157"/>
      <c r="B512" s="158"/>
      <c r="C512" s="158"/>
      <c r="D512" s="160"/>
      <c r="E512" s="158"/>
      <c r="F512" s="157"/>
      <c r="G512" s="159"/>
    </row>
    <row r="513" spans="1:7">
      <c r="A513" s="157"/>
      <c r="B513" s="158"/>
      <c r="C513" s="158"/>
      <c r="D513" s="160"/>
      <c r="E513" s="158"/>
      <c r="F513" s="157"/>
      <c r="G513" s="159"/>
    </row>
    <row r="514" spans="1:7">
      <c r="A514" s="157"/>
      <c r="B514" s="158"/>
      <c r="C514" s="158"/>
      <c r="D514" s="160"/>
      <c r="E514" s="158"/>
      <c r="F514" s="157"/>
      <c r="G514" s="159"/>
    </row>
    <row r="515" spans="1:7">
      <c r="A515" s="157"/>
      <c r="B515" s="158"/>
      <c r="C515" s="158"/>
      <c r="D515" s="160"/>
      <c r="E515" s="158"/>
      <c r="F515" s="157"/>
      <c r="G515" s="159"/>
    </row>
    <row r="516" spans="1:7">
      <c r="A516" s="157"/>
      <c r="B516" s="158"/>
      <c r="C516" s="158"/>
      <c r="D516" s="160"/>
      <c r="E516" s="158"/>
      <c r="F516" s="157"/>
      <c r="G516" s="159"/>
    </row>
    <row r="517" spans="1:7">
      <c r="A517" s="157"/>
      <c r="B517" s="158"/>
      <c r="C517" s="158"/>
      <c r="D517" s="160"/>
      <c r="E517" s="158"/>
      <c r="F517" s="157"/>
      <c r="G517" s="159"/>
    </row>
    <row r="518" spans="1:7">
      <c r="A518" s="157"/>
      <c r="B518" s="158"/>
      <c r="C518" s="158"/>
      <c r="D518" s="160"/>
      <c r="E518" s="158"/>
      <c r="F518" s="157"/>
      <c r="G518" s="159"/>
    </row>
    <row r="519" spans="1:7">
      <c r="A519" s="157"/>
      <c r="B519" s="158"/>
      <c r="C519" s="158"/>
      <c r="D519" s="160"/>
      <c r="E519" s="158"/>
      <c r="F519" s="157"/>
      <c r="G519" s="159"/>
    </row>
    <row r="520" spans="1:7">
      <c r="A520" s="157"/>
      <c r="B520" s="158"/>
      <c r="C520" s="158"/>
      <c r="D520" s="160"/>
      <c r="E520" s="158"/>
      <c r="F520" s="157"/>
      <c r="G520" s="159"/>
    </row>
    <row r="521" spans="1:7">
      <c r="A521" s="157"/>
      <c r="B521" s="158"/>
      <c r="C521" s="158"/>
      <c r="D521" s="160"/>
      <c r="E521" s="158"/>
      <c r="F521" s="157"/>
      <c r="G521" s="159"/>
    </row>
    <row r="522" spans="1:7">
      <c r="A522" s="157"/>
      <c r="B522" s="158"/>
      <c r="C522" s="158"/>
      <c r="D522" s="160"/>
      <c r="E522" s="158"/>
      <c r="F522" s="157"/>
      <c r="G522" s="159"/>
    </row>
    <row r="523" spans="1:7">
      <c r="A523" s="157"/>
      <c r="B523" s="158"/>
      <c r="C523" s="158"/>
      <c r="D523" s="160"/>
      <c r="E523" s="158"/>
      <c r="F523" s="157"/>
      <c r="G523" s="159"/>
    </row>
    <row r="524" spans="1:7">
      <c r="A524" s="157"/>
      <c r="B524" s="158"/>
      <c r="C524" s="158"/>
      <c r="D524" s="160"/>
      <c r="E524" s="158"/>
      <c r="F524" s="157"/>
      <c r="G524" s="159"/>
    </row>
    <row r="525" spans="1:7">
      <c r="A525" s="157"/>
      <c r="B525" s="158"/>
      <c r="C525" s="158"/>
      <c r="D525" s="160"/>
      <c r="E525" s="158"/>
      <c r="F525" s="157"/>
      <c r="G525" s="159"/>
    </row>
    <row r="526" spans="1:7">
      <c r="A526" s="157"/>
      <c r="B526" s="158"/>
      <c r="C526" s="158"/>
      <c r="D526" s="160"/>
      <c r="E526" s="158"/>
      <c r="F526" s="157"/>
      <c r="G526" s="159"/>
    </row>
    <row r="527" spans="1:7">
      <c r="A527" s="157"/>
      <c r="B527" s="158"/>
      <c r="C527" s="158"/>
      <c r="D527" s="160"/>
      <c r="E527" s="158"/>
      <c r="F527" s="157"/>
      <c r="G527" s="159"/>
    </row>
    <row r="528" spans="1:7">
      <c r="A528" s="157"/>
      <c r="B528" s="158"/>
      <c r="C528" s="158"/>
      <c r="D528" s="160"/>
      <c r="E528" s="158"/>
      <c r="F528" s="157"/>
      <c r="G528" s="159"/>
    </row>
    <row r="529" spans="1:7">
      <c r="A529" s="157"/>
      <c r="B529" s="158"/>
      <c r="C529" s="158"/>
      <c r="D529" s="160"/>
      <c r="E529" s="158"/>
      <c r="F529" s="157"/>
      <c r="G529" s="159"/>
    </row>
    <row r="530" spans="1:7">
      <c r="A530" s="157"/>
      <c r="B530" s="158"/>
      <c r="C530" s="158"/>
      <c r="D530" s="160"/>
      <c r="E530" s="158"/>
      <c r="F530" s="157"/>
      <c r="G530" s="159"/>
    </row>
    <row r="531" spans="1:7">
      <c r="A531" s="157"/>
      <c r="B531" s="158"/>
      <c r="C531" s="158"/>
      <c r="D531" s="160"/>
      <c r="E531" s="158"/>
      <c r="F531" s="157"/>
      <c r="G531" s="159"/>
    </row>
    <row r="532" spans="1:7">
      <c r="A532" s="157"/>
      <c r="B532" s="158"/>
      <c r="C532" s="158"/>
      <c r="D532" s="160"/>
      <c r="E532" s="158"/>
      <c r="F532" s="157"/>
      <c r="G532" s="159"/>
    </row>
    <row r="533" spans="1:7">
      <c r="A533" s="157"/>
      <c r="B533" s="158"/>
      <c r="C533" s="158"/>
      <c r="D533" s="160"/>
      <c r="E533" s="158"/>
      <c r="F533" s="157"/>
      <c r="G533" s="159"/>
    </row>
    <row r="534" spans="1:7">
      <c r="A534" s="157"/>
      <c r="B534" s="158"/>
      <c r="C534" s="158"/>
      <c r="D534" s="160"/>
      <c r="E534" s="158"/>
      <c r="F534" s="157"/>
      <c r="G534" s="159"/>
    </row>
    <row r="535" spans="1:7">
      <c r="A535" s="157"/>
      <c r="B535" s="158"/>
      <c r="C535" s="158"/>
      <c r="D535" s="160"/>
      <c r="E535" s="158"/>
      <c r="F535" s="157"/>
      <c r="G535" s="159"/>
    </row>
    <row r="536" spans="1:7">
      <c r="A536" s="157"/>
      <c r="B536" s="158"/>
      <c r="C536" s="158"/>
      <c r="D536" s="160"/>
      <c r="E536" s="158"/>
      <c r="F536" s="157"/>
      <c r="G536" s="159"/>
    </row>
    <row r="537" spans="1:7">
      <c r="A537" s="157"/>
      <c r="B537" s="158"/>
      <c r="C537" s="158"/>
      <c r="D537" s="160"/>
      <c r="E537" s="158"/>
      <c r="F537" s="157"/>
      <c r="G537" s="159"/>
    </row>
    <row r="538" spans="1:7">
      <c r="A538" s="157"/>
      <c r="B538" s="158"/>
      <c r="C538" s="158"/>
      <c r="D538" s="160"/>
      <c r="E538" s="158"/>
      <c r="F538" s="157"/>
      <c r="G538" s="159"/>
    </row>
    <row r="539" spans="1:7">
      <c r="A539" s="157"/>
      <c r="B539" s="158"/>
      <c r="C539" s="158"/>
      <c r="D539" s="160"/>
      <c r="E539" s="158"/>
      <c r="F539" s="157"/>
      <c r="G539" s="159"/>
    </row>
    <row r="540" spans="1:7">
      <c r="A540" s="157"/>
      <c r="B540" s="158"/>
      <c r="C540" s="158"/>
      <c r="D540" s="160"/>
      <c r="E540" s="158"/>
      <c r="F540" s="157"/>
      <c r="G540" s="159"/>
    </row>
    <row r="541" spans="1:7">
      <c r="A541" s="157"/>
      <c r="B541" s="158"/>
      <c r="C541" s="158"/>
      <c r="D541" s="160"/>
      <c r="E541" s="158"/>
      <c r="F541" s="157"/>
      <c r="G541" s="159"/>
    </row>
    <row r="542" spans="1:7">
      <c r="A542" s="157"/>
      <c r="B542" s="158"/>
      <c r="C542" s="158"/>
      <c r="D542" s="160"/>
      <c r="E542" s="158"/>
      <c r="F542" s="157"/>
      <c r="G542" s="159"/>
    </row>
    <row r="543" spans="1:7">
      <c r="A543" s="157"/>
      <c r="B543" s="158"/>
      <c r="C543" s="158"/>
      <c r="D543" s="160"/>
      <c r="E543" s="158"/>
      <c r="F543" s="157"/>
      <c r="G543" s="159"/>
    </row>
    <row r="544" spans="1:7">
      <c r="A544" s="157"/>
      <c r="B544" s="158"/>
      <c r="C544" s="158"/>
      <c r="D544" s="160"/>
      <c r="E544" s="158"/>
      <c r="F544" s="157"/>
      <c r="G544" s="159"/>
    </row>
    <row r="545" spans="1:7">
      <c r="A545" s="157"/>
      <c r="B545" s="158"/>
      <c r="C545" s="158"/>
      <c r="D545" s="160"/>
      <c r="E545" s="158"/>
      <c r="F545" s="157"/>
      <c r="G545" s="159"/>
    </row>
    <row r="546" spans="1:7">
      <c r="A546" s="157"/>
      <c r="B546" s="158"/>
      <c r="C546" s="158"/>
      <c r="D546" s="160"/>
      <c r="E546" s="158"/>
      <c r="F546" s="157"/>
      <c r="G546" s="159"/>
    </row>
    <row r="547" spans="1:7">
      <c r="A547" s="157"/>
      <c r="B547" s="158"/>
      <c r="C547" s="158"/>
      <c r="D547" s="160"/>
      <c r="E547" s="158"/>
      <c r="F547" s="157"/>
      <c r="G547" s="159"/>
    </row>
    <row r="548" spans="1:7">
      <c r="A548" s="157"/>
      <c r="B548" s="158"/>
      <c r="C548" s="158"/>
      <c r="D548" s="160"/>
      <c r="E548" s="158"/>
      <c r="F548" s="157"/>
      <c r="G548" s="159"/>
    </row>
    <row r="549" spans="1:7">
      <c r="A549" s="157"/>
      <c r="B549" s="158"/>
      <c r="C549" s="158"/>
      <c r="D549" s="160"/>
      <c r="E549" s="158"/>
      <c r="F549" s="157"/>
      <c r="G549" s="159"/>
    </row>
    <row r="550" spans="1:7">
      <c r="A550" s="157"/>
      <c r="B550" s="158"/>
      <c r="C550" s="158"/>
      <c r="D550" s="160"/>
      <c r="E550" s="158"/>
      <c r="F550" s="157"/>
      <c r="G550" s="159"/>
    </row>
    <row r="551" spans="1:7">
      <c r="A551" s="157"/>
      <c r="B551" s="158"/>
      <c r="C551" s="158"/>
      <c r="D551" s="160"/>
      <c r="E551" s="158"/>
      <c r="F551" s="157"/>
      <c r="G551" s="159"/>
    </row>
    <row r="552" spans="1:7">
      <c r="A552" s="157"/>
      <c r="B552" s="158"/>
      <c r="C552" s="158"/>
      <c r="D552" s="160"/>
      <c r="E552" s="158"/>
      <c r="F552" s="157"/>
      <c r="G552" s="159"/>
    </row>
    <row r="553" spans="1:7">
      <c r="A553" s="157"/>
      <c r="B553" s="158"/>
      <c r="C553" s="158"/>
      <c r="D553" s="160"/>
      <c r="E553" s="158"/>
      <c r="F553" s="157"/>
      <c r="G553" s="159"/>
    </row>
    <row r="554" spans="1:7">
      <c r="A554" s="157"/>
      <c r="B554" s="158"/>
      <c r="C554" s="158"/>
      <c r="D554" s="160"/>
      <c r="E554" s="158"/>
      <c r="F554" s="157"/>
      <c r="G554" s="159"/>
    </row>
    <row r="555" spans="1:7">
      <c r="A555" s="157"/>
      <c r="B555" s="158"/>
      <c r="C555" s="158"/>
      <c r="D555" s="160"/>
      <c r="E555" s="158"/>
      <c r="F555" s="157"/>
      <c r="G555" s="159"/>
    </row>
    <row r="556" spans="1:7">
      <c r="A556" s="157"/>
      <c r="B556" s="158"/>
      <c r="C556" s="158"/>
      <c r="D556" s="160"/>
      <c r="E556" s="158"/>
      <c r="F556" s="157"/>
      <c r="G556" s="159"/>
    </row>
    <row r="557" spans="1:7">
      <c r="A557" s="157"/>
      <c r="B557" s="158"/>
      <c r="C557" s="158"/>
      <c r="D557" s="160"/>
      <c r="E557" s="158"/>
      <c r="F557" s="157"/>
      <c r="G557" s="159"/>
    </row>
    <row r="558" spans="1:7">
      <c r="A558" s="157"/>
      <c r="B558" s="158"/>
      <c r="C558" s="158"/>
      <c r="D558" s="160"/>
      <c r="E558" s="158"/>
      <c r="F558" s="157"/>
      <c r="G558" s="159"/>
    </row>
    <row r="559" spans="1:7">
      <c r="A559" s="157"/>
      <c r="B559" s="158"/>
      <c r="C559" s="158"/>
      <c r="D559" s="160"/>
      <c r="E559" s="158"/>
      <c r="F559" s="157"/>
      <c r="G559" s="159"/>
    </row>
    <row r="560" spans="1:7">
      <c r="A560" s="157"/>
      <c r="B560" s="158"/>
      <c r="C560" s="158"/>
      <c r="D560" s="160"/>
      <c r="E560" s="158"/>
      <c r="F560" s="157"/>
      <c r="G560" s="159"/>
    </row>
    <row r="561" spans="1:7">
      <c r="A561" s="157"/>
      <c r="B561" s="158"/>
      <c r="C561" s="158"/>
      <c r="D561" s="160"/>
      <c r="E561" s="158"/>
      <c r="F561" s="157"/>
      <c r="G561" s="159"/>
    </row>
    <row r="562" spans="1:7">
      <c r="A562" s="157"/>
      <c r="B562" s="158"/>
      <c r="C562" s="158"/>
      <c r="D562" s="160"/>
      <c r="E562" s="158"/>
      <c r="F562" s="157"/>
      <c r="G562" s="159"/>
    </row>
    <row r="563" spans="1:7">
      <c r="A563" s="157"/>
      <c r="B563" s="158"/>
      <c r="C563" s="158"/>
      <c r="D563" s="160"/>
      <c r="E563" s="158"/>
      <c r="F563" s="157"/>
      <c r="G563" s="159"/>
    </row>
    <row r="564" spans="1:7">
      <c r="A564" s="157"/>
      <c r="B564" s="158"/>
      <c r="C564" s="158"/>
      <c r="D564" s="160"/>
      <c r="E564" s="158"/>
      <c r="F564" s="157"/>
      <c r="G564" s="159"/>
    </row>
    <row r="565" spans="1:7">
      <c r="A565" s="157"/>
      <c r="B565" s="158"/>
      <c r="C565" s="158"/>
      <c r="D565" s="160"/>
      <c r="E565" s="158"/>
      <c r="F565" s="157"/>
      <c r="G565" s="159"/>
    </row>
    <row r="566" spans="1:7">
      <c r="A566" s="157"/>
      <c r="B566" s="158"/>
      <c r="C566" s="158"/>
      <c r="D566" s="160"/>
      <c r="E566" s="158"/>
      <c r="F566" s="157"/>
      <c r="G566" s="159"/>
    </row>
    <row r="567" spans="1:7">
      <c r="A567" s="157"/>
      <c r="B567" s="158"/>
      <c r="C567" s="158"/>
      <c r="D567" s="160"/>
      <c r="E567" s="158"/>
      <c r="F567" s="157"/>
      <c r="G567" s="159"/>
    </row>
    <row r="568" spans="1:7">
      <c r="A568" s="157"/>
      <c r="B568" s="158"/>
      <c r="C568" s="158"/>
      <c r="D568" s="160"/>
      <c r="E568" s="158"/>
      <c r="F568" s="157"/>
      <c r="G568" s="159"/>
    </row>
    <row r="569" spans="1:7">
      <c r="A569" s="157"/>
      <c r="B569" s="158"/>
      <c r="C569" s="158"/>
      <c r="D569" s="160"/>
      <c r="E569" s="158"/>
      <c r="F569" s="157"/>
      <c r="G569" s="159"/>
    </row>
    <row r="570" spans="1:7">
      <c r="A570" s="157"/>
      <c r="B570" s="158"/>
      <c r="C570" s="158"/>
      <c r="D570" s="160"/>
      <c r="E570" s="158"/>
      <c r="F570" s="157"/>
      <c r="G570" s="159"/>
    </row>
    <row r="571" spans="1:7">
      <c r="A571" s="157"/>
      <c r="B571" s="158"/>
      <c r="C571" s="158"/>
      <c r="D571" s="160"/>
      <c r="E571" s="158"/>
      <c r="F571" s="157"/>
      <c r="G571" s="159"/>
    </row>
    <row r="572" spans="1:7">
      <c r="A572" s="157"/>
      <c r="B572" s="158"/>
      <c r="C572" s="158"/>
      <c r="D572" s="160"/>
      <c r="E572" s="158"/>
      <c r="F572" s="157"/>
      <c r="G572" s="159"/>
    </row>
    <row r="573" spans="1:7">
      <c r="A573" s="157"/>
      <c r="B573" s="158"/>
      <c r="C573" s="158"/>
      <c r="D573" s="160"/>
      <c r="E573" s="158"/>
      <c r="F573" s="157"/>
      <c r="G573" s="159"/>
    </row>
    <row r="574" spans="1:7">
      <c r="A574" s="157"/>
      <c r="B574" s="158"/>
      <c r="C574" s="158"/>
      <c r="D574" s="160"/>
      <c r="E574" s="158"/>
      <c r="F574" s="157"/>
      <c r="G574" s="159"/>
    </row>
    <row r="575" spans="1:7">
      <c r="A575" s="157"/>
      <c r="B575" s="158"/>
      <c r="C575" s="158"/>
      <c r="D575" s="160"/>
      <c r="E575" s="158"/>
      <c r="F575" s="157"/>
      <c r="G575" s="159"/>
    </row>
    <row r="576" spans="1:7">
      <c r="A576" s="157"/>
      <c r="B576" s="158"/>
      <c r="C576" s="158"/>
      <c r="D576" s="160"/>
      <c r="E576" s="158"/>
      <c r="F576" s="157"/>
      <c r="G576" s="159"/>
    </row>
    <row r="577" spans="1:7">
      <c r="A577" s="157"/>
      <c r="B577" s="158"/>
      <c r="C577" s="158"/>
      <c r="D577" s="160"/>
      <c r="E577" s="158"/>
      <c r="F577" s="157"/>
      <c r="G577" s="159"/>
    </row>
    <row r="578" spans="1:7">
      <c r="A578" s="157"/>
      <c r="B578" s="158"/>
      <c r="C578" s="158"/>
      <c r="D578" s="160"/>
      <c r="E578" s="158"/>
      <c r="F578" s="157"/>
      <c r="G578" s="159"/>
    </row>
    <row r="579" spans="1:7">
      <c r="A579" s="157"/>
      <c r="B579" s="158"/>
      <c r="C579" s="158"/>
      <c r="D579" s="160"/>
      <c r="E579" s="158"/>
      <c r="F579" s="157"/>
      <c r="G579" s="159"/>
    </row>
    <row r="580" spans="1:7">
      <c r="A580" s="157"/>
      <c r="B580" s="158"/>
      <c r="C580" s="158"/>
      <c r="D580" s="160"/>
      <c r="E580" s="158"/>
      <c r="F580" s="157"/>
      <c r="G580" s="159"/>
    </row>
    <row r="581" spans="1:7">
      <c r="A581" s="157"/>
      <c r="B581" s="158"/>
      <c r="C581" s="158"/>
      <c r="D581" s="160"/>
      <c r="E581" s="158"/>
      <c r="F581" s="157"/>
      <c r="G581" s="159"/>
    </row>
    <row r="582" spans="1:7">
      <c r="A582" s="157"/>
      <c r="B582" s="158"/>
      <c r="C582" s="158"/>
      <c r="D582" s="160"/>
      <c r="E582" s="158"/>
      <c r="F582" s="157"/>
      <c r="G582" s="159"/>
    </row>
    <row r="583" spans="1:7">
      <c r="A583" s="157"/>
      <c r="B583" s="158"/>
      <c r="C583" s="158"/>
      <c r="D583" s="160"/>
      <c r="E583" s="158"/>
      <c r="F583" s="157"/>
      <c r="G583" s="159"/>
    </row>
    <row r="584" spans="1:7">
      <c r="A584" s="157"/>
      <c r="B584" s="158"/>
      <c r="C584" s="158"/>
      <c r="D584" s="160"/>
      <c r="E584" s="158"/>
      <c r="F584" s="157"/>
      <c r="G584" s="159"/>
    </row>
    <row r="585" spans="1:7">
      <c r="A585" s="157"/>
      <c r="B585" s="158"/>
      <c r="C585" s="158"/>
      <c r="D585" s="160"/>
      <c r="E585" s="158"/>
      <c r="F585" s="157"/>
      <c r="G585" s="159"/>
    </row>
    <row r="586" spans="1:7">
      <c r="A586" s="157"/>
      <c r="B586" s="158"/>
      <c r="C586" s="158"/>
      <c r="D586" s="160"/>
      <c r="E586" s="158"/>
      <c r="F586" s="157"/>
      <c r="G586" s="159"/>
    </row>
    <row r="587" spans="1:7">
      <c r="A587" s="157"/>
      <c r="B587" s="158"/>
      <c r="C587" s="158"/>
      <c r="D587" s="160"/>
      <c r="E587" s="158"/>
      <c r="F587" s="157"/>
      <c r="G587" s="159"/>
    </row>
    <row r="588" spans="1:7">
      <c r="A588" s="157"/>
      <c r="B588" s="158"/>
      <c r="C588" s="158"/>
      <c r="D588" s="160"/>
      <c r="E588" s="158"/>
      <c r="F588" s="157"/>
      <c r="G588" s="159"/>
    </row>
    <row r="589" spans="1:7">
      <c r="A589" s="157"/>
      <c r="B589" s="158"/>
      <c r="C589" s="158"/>
      <c r="D589" s="160"/>
      <c r="E589" s="158"/>
      <c r="F589" s="157"/>
      <c r="G589" s="159"/>
    </row>
    <row r="590" spans="1:7">
      <c r="A590" s="157"/>
      <c r="B590" s="158"/>
      <c r="C590" s="158"/>
      <c r="D590" s="160"/>
      <c r="E590" s="158"/>
      <c r="F590" s="157"/>
      <c r="G590" s="159"/>
    </row>
    <row r="591" spans="1:7">
      <c r="A591" s="157"/>
      <c r="B591" s="158"/>
      <c r="C591" s="158"/>
      <c r="D591" s="160"/>
      <c r="E591" s="158"/>
      <c r="F591" s="157"/>
      <c r="G591" s="159"/>
    </row>
    <row r="592" spans="1:7">
      <c r="A592" s="157"/>
      <c r="B592" s="158"/>
      <c r="C592" s="158"/>
      <c r="D592" s="160"/>
      <c r="E592" s="158"/>
      <c r="F592" s="157"/>
      <c r="G592" s="159"/>
    </row>
    <row r="593" spans="1:7">
      <c r="A593" s="157"/>
      <c r="B593" s="158"/>
      <c r="C593" s="158"/>
      <c r="D593" s="160"/>
      <c r="E593" s="158"/>
      <c r="F593" s="157"/>
      <c r="G593" s="159"/>
    </row>
    <row r="594" spans="1:7">
      <c r="A594" s="157"/>
      <c r="B594" s="158"/>
      <c r="C594" s="158"/>
      <c r="D594" s="160"/>
      <c r="E594" s="158"/>
      <c r="F594" s="157"/>
      <c r="G594" s="159"/>
    </row>
    <row r="595" spans="1:7">
      <c r="A595" s="157"/>
      <c r="B595" s="158"/>
      <c r="C595" s="158"/>
      <c r="D595" s="160"/>
      <c r="E595" s="158"/>
      <c r="F595" s="157"/>
      <c r="G595" s="159"/>
    </row>
    <row r="596" spans="1:7">
      <c r="A596" s="157"/>
      <c r="B596" s="158"/>
      <c r="C596" s="158"/>
      <c r="D596" s="160"/>
      <c r="E596" s="158"/>
      <c r="F596" s="157"/>
      <c r="G596" s="159"/>
    </row>
    <row r="597" spans="1:7">
      <c r="A597" s="157"/>
      <c r="B597" s="158"/>
      <c r="C597" s="158"/>
      <c r="D597" s="160"/>
      <c r="E597" s="158"/>
      <c r="F597" s="157"/>
      <c r="G597" s="159"/>
    </row>
    <row r="598" spans="1:7">
      <c r="A598" s="157"/>
      <c r="B598" s="158"/>
      <c r="C598" s="158"/>
      <c r="D598" s="160"/>
      <c r="E598" s="158"/>
      <c r="F598" s="157"/>
      <c r="G598" s="159"/>
    </row>
    <row r="599" spans="1:7">
      <c r="A599" s="157"/>
      <c r="B599" s="158"/>
      <c r="C599" s="158"/>
      <c r="D599" s="160"/>
      <c r="E599" s="158"/>
      <c r="F599" s="157"/>
      <c r="G599" s="159"/>
    </row>
    <row r="600" spans="1:7">
      <c r="A600" s="157"/>
      <c r="B600" s="158"/>
      <c r="C600" s="158"/>
      <c r="D600" s="160"/>
      <c r="E600" s="158"/>
      <c r="F600" s="157"/>
      <c r="G600" s="159"/>
    </row>
    <row r="601" spans="1:7">
      <c r="A601" s="157"/>
      <c r="B601" s="158"/>
      <c r="C601" s="158"/>
      <c r="D601" s="160"/>
      <c r="E601" s="158"/>
      <c r="F601" s="157"/>
      <c r="G601" s="159"/>
    </row>
    <row r="602" spans="1:7">
      <c r="A602" s="157"/>
      <c r="B602" s="158"/>
      <c r="C602" s="158"/>
      <c r="D602" s="160"/>
      <c r="E602" s="158"/>
      <c r="F602" s="157"/>
      <c r="G602" s="159"/>
    </row>
    <row r="603" spans="1:7">
      <c r="A603" s="157"/>
      <c r="B603" s="158"/>
      <c r="C603" s="158"/>
      <c r="D603" s="160"/>
      <c r="E603" s="158"/>
      <c r="F603" s="157"/>
      <c r="G603" s="159"/>
    </row>
    <row r="604" spans="1:7">
      <c r="A604" s="157"/>
      <c r="B604" s="158"/>
      <c r="C604" s="158"/>
      <c r="D604" s="160"/>
      <c r="E604" s="158"/>
      <c r="F604" s="157"/>
      <c r="G604" s="159"/>
    </row>
    <row r="605" spans="1:7">
      <c r="A605" s="157"/>
      <c r="B605" s="158"/>
      <c r="C605" s="158"/>
      <c r="D605" s="160"/>
      <c r="E605" s="158"/>
      <c r="F605" s="157"/>
      <c r="G605" s="159"/>
    </row>
    <row r="606" spans="1:7">
      <c r="A606" s="157"/>
      <c r="B606" s="158"/>
      <c r="C606" s="158"/>
      <c r="D606" s="160"/>
      <c r="E606" s="158"/>
      <c r="F606" s="157"/>
      <c r="G606" s="159"/>
    </row>
    <row r="607" spans="1:7">
      <c r="A607" s="157"/>
      <c r="B607" s="158"/>
      <c r="C607" s="158"/>
      <c r="D607" s="160"/>
      <c r="E607" s="158"/>
      <c r="F607" s="157"/>
      <c r="G607" s="159"/>
    </row>
    <row r="608" spans="1:7">
      <c r="A608" s="157"/>
      <c r="B608" s="158"/>
      <c r="C608" s="158"/>
      <c r="D608" s="160"/>
      <c r="E608" s="158"/>
      <c r="F608" s="157"/>
      <c r="G608" s="159"/>
    </row>
    <row r="609" spans="1:7">
      <c r="A609" s="157"/>
      <c r="B609" s="158"/>
      <c r="C609" s="158"/>
      <c r="D609" s="160"/>
      <c r="E609" s="158"/>
      <c r="F609" s="157"/>
      <c r="G609" s="159"/>
    </row>
    <row r="610" spans="1:7">
      <c r="A610" s="157"/>
      <c r="B610" s="158"/>
      <c r="C610" s="158"/>
      <c r="D610" s="160"/>
      <c r="E610" s="158"/>
      <c r="F610" s="157"/>
      <c r="G610" s="159"/>
    </row>
    <row r="611" spans="1:7">
      <c r="A611" s="157"/>
      <c r="B611" s="158"/>
      <c r="C611" s="158"/>
      <c r="D611" s="160"/>
      <c r="E611" s="158"/>
      <c r="F611" s="157"/>
      <c r="G611" s="159"/>
    </row>
    <row r="612" spans="1:7">
      <c r="A612" s="157"/>
      <c r="B612" s="158"/>
      <c r="C612" s="158"/>
      <c r="D612" s="160"/>
      <c r="E612" s="158"/>
      <c r="F612" s="157"/>
      <c r="G612" s="159"/>
    </row>
    <row r="613" spans="1:7">
      <c r="A613" s="157"/>
      <c r="B613" s="158"/>
      <c r="C613" s="158"/>
      <c r="D613" s="160"/>
      <c r="E613" s="158"/>
      <c r="F613" s="157"/>
      <c r="G613" s="159"/>
    </row>
    <row r="614" spans="1:7">
      <c r="A614" s="157"/>
      <c r="B614" s="158"/>
      <c r="C614" s="158"/>
      <c r="D614" s="160"/>
      <c r="E614" s="158"/>
      <c r="F614" s="157"/>
      <c r="G614" s="159"/>
    </row>
    <row r="615" spans="1:7">
      <c r="A615" s="157"/>
      <c r="B615" s="158"/>
      <c r="C615" s="158"/>
      <c r="D615" s="160"/>
      <c r="E615" s="158"/>
      <c r="F615" s="157"/>
      <c r="G615" s="159"/>
    </row>
    <row r="616" spans="1:7">
      <c r="A616" s="157"/>
      <c r="B616" s="158"/>
      <c r="C616" s="158"/>
      <c r="D616" s="160"/>
      <c r="E616" s="158"/>
      <c r="F616" s="157"/>
      <c r="G616" s="159"/>
    </row>
    <row r="617" spans="1:7">
      <c r="A617" s="157"/>
      <c r="B617" s="158"/>
      <c r="C617" s="158"/>
      <c r="D617" s="160"/>
      <c r="E617" s="158"/>
      <c r="F617" s="157"/>
      <c r="G617" s="159"/>
    </row>
    <row r="618" spans="1:7">
      <c r="A618" s="157"/>
      <c r="B618" s="158"/>
      <c r="C618" s="158"/>
      <c r="D618" s="160"/>
      <c r="E618" s="158"/>
      <c r="F618" s="157"/>
      <c r="G618" s="159"/>
    </row>
    <row r="619" spans="1:7">
      <c r="A619" s="157"/>
      <c r="B619" s="158"/>
      <c r="C619" s="158"/>
      <c r="D619" s="160"/>
      <c r="E619" s="158"/>
      <c r="F619" s="157"/>
      <c r="G619" s="159"/>
    </row>
    <row r="620" spans="1:7">
      <c r="A620" s="157"/>
      <c r="B620" s="158"/>
      <c r="C620" s="158"/>
      <c r="D620" s="160"/>
      <c r="E620" s="158"/>
      <c r="F620" s="157"/>
      <c r="G620" s="159"/>
    </row>
    <row r="621" spans="1:7">
      <c r="A621" s="157"/>
      <c r="B621" s="158"/>
      <c r="C621" s="158"/>
      <c r="D621" s="160"/>
      <c r="E621" s="158"/>
      <c r="F621" s="157"/>
      <c r="G621" s="159"/>
    </row>
    <row r="622" spans="1:7">
      <c r="A622" s="157"/>
      <c r="B622" s="158"/>
      <c r="C622" s="158"/>
      <c r="D622" s="160"/>
      <c r="E622" s="158"/>
      <c r="F622" s="157"/>
      <c r="G622" s="159"/>
    </row>
    <row r="623" spans="1:7">
      <c r="A623" s="157"/>
      <c r="B623" s="158"/>
      <c r="C623" s="158"/>
      <c r="D623" s="160"/>
      <c r="E623" s="158"/>
      <c r="F623" s="157"/>
      <c r="G623" s="159"/>
    </row>
    <row r="624" spans="1:7">
      <c r="A624" s="157"/>
      <c r="B624" s="158"/>
      <c r="C624" s="158"/>
      <c r="D624" s="160"/>
      <c r="E624" s="158"/>
      <c r="F624" s="157"/>
      <c r="G624" s="159"/>
    </row>
    <row r="625" spans="1:7">
      <c r="A625" s="157"/>
      <c r="B625" s="158"/>
      <c r="C625" s="158"/>
      <c r="D625" s="160"/>
      <c r="E625" s="158"/>
      <c r="F625" s="157"/>
      <c r="G625" s="159"/>
    </row>
    <row r="626" spans="1:7">
      <c r="A626" s="157"/>
      <c r="B626" s="158"/>
      <c r="C626" s="158"/>
      <c r="D626" s="160"/>
      <c r="E626" s="158"/>
      <c r="F626" s="157"/>
      <c r="G626" s="159"/>
    </row>
    <row r="627" spans="1:7">
      <c r="A627" s="157"/>
      <c r="B627" s="158"/>
      <c r="C627" s="158"/>
      <c r="D627" s="160"/>
      <c r="E627" s="158"/>
      <c r="F627" s="157"/>
      <c r="G627" s="159"/>
    </row>
    <row r="628" spans="1:7">
      <c r="A628" s="157"/>
      <c r="B628" s="158"/>
      <c r="C628" s="158"/>
      <c r="D628" s="160"/>
      <c r="E628" s="158"/>
      <c r="F628" s="157"/>
      <c r="G628" s="159"/>
    </row>
    <row r="629" spans="1:7">
      <c r="A629" s="157"/>
      <c r="B629" s="158"/>
      <c r="C629" s="158"/>
      <c r="D629" s="160"/>
      <c r="E629" s="158"/>
      <c r="F629" s="157"/>
      <c r="G629" s="159"/>
    </row>
    <row r="630" spans="1:7">
      <c r="A630" s="157"/>
      <c r="B630" s="158"/>
      <c r="C630" s="158"/>
      <c r="D630" s="160"/>
      <c r="E630" s="158"/>
      <c r="F630" s="157"/>
      <c r="G630" s="159"/>
    </row>
    <row r="631" spans="1:7">
      <c r="A631" s="157"/>
      <c r="B631" s="158"/>
      <c r="C631" s="158"/>
      <c r="D631" s="160"/>
      <c r="E631" s="158"/>
      <c r="F631" s="157"/>
      <c r="G631" s="159"/>
    </row>
    <row r="632" spans="1:7">
      <c r="A632" s="157"/>
      <c r="B632" s="158"/>
      <c r="C632" s="158"/>
      <c r="D632" s="160"/>
      <c r="E632" s="158"/>
      <c r="F632" s="157"/>
      <c r="G632" s="159"/>
    </row>
    <row r="633" spans="1:7">
      <c r="A633" s="157"/>
      <c r="B633" s="158"/>
      <c r="C633" s="158"/>
      <c r="D633" s="160"/>
      <c r="E633" s="158"/>
      <c r="F633" s="157"/>
      <c r="G633" s="159"/>
    </row>
    <row r="634" spans="1:7">
      <c r="A634" s="157"/>
      <c r="B634" s="158"/>
      <c r="C634" s="158"/>
      <c r="D634" s="160"/>
      <c r="E634" s="158"/>
      <c r="F634" s="157"/>
      <c r="G634" s="159"/>
    </row>
    <row r="635" spans="1:7">
      <c r="A635" s="157"/>
      <c r="B635" s="158"/>
      <c r="C635" s="158"/>
      <c r="D635" s="160"/>
      <c r="E635" s="158"/>
      <c r="F635" s="157"/>
      <c r="G635" s="159"/>
    </row>
    <row r="636" spans="1:7">
      <c r="A636" s="157"/>
      <c r="B636" s="158"/>
      <c r="C636" s="158"/>
      <c r="D636" s="160"/>
      <c r="E636" s="158"/>
      <c r="F636" s="157"/>
      <c r="G636" s="159"/>
    </row>
    <row r="637" spans="1:7">
      <c r="A637" s="157"/>
      <c r="B637" s="158"/>
      <c r="C637" s="158"/>
      <c r="D637" s="160"/>
      <c r="E637" s="158"/>
      <c r="F637" s="157"/>
      <c r="G637" s="159"/>
    </row>
    <row r="638" spans="1:7">
      <c r="A638" s="157"/>
      <c r="B638" s="158"/>
      <c r="C638" s="158"/>
      <c r="D638" s="160"/>
      <c r="E638" s="158"/>
      <c r="F638" s="157"/>
      <c r="G638" s="159"/>
    </row>
    <row r="639" spans="1:7">
      <c r="A639" s="157"/>
      <c r="B639" s="158"/>
      <c r="C639" s="158"/>
      <c r="D639" s="160"/>
      <c r="E639" s="158"/>
      <c r="F639" s="157"/>
      <c r="G639" s="159"/>
    </row>
    <row r="640" spans="1:7">
      <c r="A640" s="157"/>
      <c r="B640" s="158"/>
      <c r="C640" s="158"/>
      <c r="D640" s="160"/>
      <c r="E640" s="158"/>
      <c r="F640" s="157"/>
      <c r="G640" s="159"/>
    </row>
    <row r="641" spans="1:7">
      <c r="A641" s="157"/>
      <c r="B641" s="158"/>
      <c r="C641" s="158"/>
      <c r="D641" s="160"/>
      <c r="E641" s="158"/>
      <c r="F641" s="157"/>
      <c r="G641" s="159"/>
    </row>
    <row r="642" spans="1:7">
      <c r="A642" s="157"/>
      <c r="B642" s="158"/>
      <c r="C642" s="158"/>
      <c r="D642" s="160"/>
      <c r="E642" s="158"/>
      <c r="F642" s="157"/>
      <c r="G642" s="159"/>
    </row>
    <row r="643" spans="1:7">
      <c r="A643" s="157"/>
      <c r="B643" s="158"/>
      <c r="C643" s="158"/>
      <c r="D643" s="160"/>
      <c r="E643" s="158"/>
      <c r="F643" s="157"/>
      <c r="G643" s="159"/>
    </row>
    <row r="644" spans="1:7">
      <c r="A644" s="157"/>
      <c r="B644" s="158"/>
      <c r="C644" s="158"/>
      <c r="D644" s="160"/>
      <c r="E644" s="158"/>
      <c r="F644" s="157"/>
      <c r="G644" s="159"/>
    </row>
    <row r="645" spans="1:7">
      <c r="A645" s="157"/>
      <c r="B645" s="158"/>
      <c r="C645" s="158"/>
      <c r="D645" s="160"/>
      <c r="E645" s="158"/>
      <c r="F645" s="157"/>
      <c r="G645" s="159"/>
    </row>
    <row r="646" spans="1:7">
      <c r="A646" s="157"/>
      <c r="B646" s="158"/>
      <c r="C646" s="158"/>
      <c r="D646" s="160"/>
      <c r="E646" s="158"/>
      <c r="F646" s="157"/>
      <c r="G646" s="159"/>
    </row>
    <row r="647" spans="1:7">
      <c r="A647" s="157"/>
      <c r="B647" s="158"/>
      <c r="C647" s="158"/>
      <c r="D647" s="160"/>
      <c r="E647" s="158"/>
      <c r="F647" s="157"/>
      <c r="G647" s="159"/>
    </row>
    <row r="648" spans="1:7">
      <c r="A648" s="157"/>
      <c r="B648" s="158"/>
      <c r="C648" s="158"/>
      <c r="D648" s="160"/>
      <c r="E648" s="158"/>
      <c r="F648" s="157"/>
      <c r="G648" s="159"/>
    </row>
    <row r="649" spans="1:7">
      <c r="A649" s="157"/>
      <c r="B649" s="158"/>
      <c r="C649" s="158"/>
      <c r="D649" s="160"/>
      <c r="E649" s="158"/>
      <c r="F649" s="157"/>
      <c r="G649" s="159"/>
    </row>
    <row r="650" spans="1:7">
      <c r="A650" s="157"/>
      <c r="B650" s="158"/>
      <c r="C650" s="158"/>
      <c r="D650" s="160"/>
      <c r="E650" s="158"/>
      <c r="F650" s="157"/>
      <c r="G650" s="159"/>
    </row>
    <row r="651" spans="1:7">
      <c r="A651" s="157"/>
      <c r="B651" s="158"/>
      <c r="C651" s="158"/>
      <c r="D651" s="160"/>
      <c r="E651" s="158"/>
      <c r="F651" s="157"/>
      <c r="G651" s="159"/>
    </row>
    <row r="652" spans="1:7">
      <c r="A652" s="157"/>
      <c r="B652" s="158"/>
      <c r="C652" s="158"/>
      <c r="D652" s="160"/>
      <c r="E652" s="158"/>
      <c r="F652" s="157"/>
      <c r="G652" s="159"/>
    </row>
    <row r="653" spans="1:7">
      <c r="A653" s="157"/>
      <c r="B653" s="158"/>
      <c r="C653" s="158"/>
      <c r="D653" s="160"/>
      <c r="E653" s="158"/>
      <c r="F653" s="157"/>
      <c r="G653" s="159"/>
    </row>
    <row r="654" spans="1:7">
      <c r="A654" s="157"/>
      <c r="B654" s="158"/>
      <c r="C654" s="158"/>
      <c r="D654" s="160"/>
      <c r="E654" s="158"/>
      <c r="F654" s="157"/>
      <c r="G654" s="159"/>
    </row>
    <row r="655" spans="1:7">
      <c r="A655" s="157"/>
      <c r="B655" s="158"/>
      <c r="C655" s="158"/>
      <c r="D655" s="160"/>
      <c r="E655" s="158"/>
      <c r="F655" s="157"/>
      <c r="G655" s="159"/>
    </row>
    <row r="656" spans="1:7">
      <c r="A656" s="157"/>
      <c r="B656" s="158"/>
      <c r="C656" s="158"/>
      <c r="D656" s="160"/>
      <c r="E656" s="158"/>
      <c r="F656" s="157"/>
      <c r="G656" s="159"/>
    </row>
    <row r="657" spans="1:7">
      <c r="A657" s="157"/>
      <c r="B657" s="158"/>
      <c r="C657" s="158"/>
      <c r="D657" s="160"/>
      <c r="E657" s="158"/>
      <c r="F657" s="157"/>
      <c r="G657" s="159"/>
    </row>
    <row r="658" spans="1:7">
      <c r="A658" s="157"/>
      <c r="B658" s="158"/>
      <c r="C658" s="158"/>
      <c r="D658" s="160"/>
      <c r="E658" s="158"/>
      <c r="F658" s="157"/>
      <c r="G658" s="159"/>
    </row>
    <row r="659" spans="1:7">
      <c r="A659" s="157"/>
      <c r="B659" s="158"/>
      <c r="C659" s="158"/>
      <c r="D659" s="160"/>
      <c r="E659" s="158"/>
      <c r="F659" s="157"/>
      <c r="G659" s="159"/>
    </row>
    <row r="660" spans="1:7">
      <c r="A660" s="157"/>
      <c r="B660" s="158"/>
      <c r="C660" s="158"/>
      <c r="D660" s="160"/>
      <c r="E660" s="158"/>
      <c r="F660" s="157"/>
      <c r="G660" s="159"/>
    </row>
    <row r="661" spans="1:7">
      <c r="A661" s="157"/>
      <c r="B661" s="158"/>
      <c r="C661" s="158"/>
      <c r="D661" s="160"/>
      <c r="E661" s="158"/>
      <c r="F661" s="157"/>
      <c r="G661" s="159"/>
    </row>
    <row r="662" spans="1:7">
      <c r="A662" s="157"/>
      <c r="B662" s="158"/>
      <c r="C662" s="158"/>
      <c r="D662" s="160"/>
      <c r="E662" s="158"/>
      <c r="F662" s="157"/>
      <c r="G662" s="159"/>
    </row>
    <row r="663" spans="1:7">
      <c r="A663" s="157"/>
      <c r="B663" s="158"/>
      <c r="C663" s="158"/>
      <c r="D663" s="160"/>
      <c r="E663" s="158"/>
      <c r="F663" s="157"/>
      <c r="G663" s="159"/>
    </row>
    <row r="664" spans="1:7">
      <c r="A664" s="157"/>
      <c r="B664" s="158"/>
      <c r="C664" s="158"/>
      <c r="D664" s="160"/>
      <c r="E664" s="158"/>
      <c r="F664" s="157"/>
      <c r="G664" s="159"/>
    </row>
    <row r="665" spans="1:7">
      <c r="A665" s="157"/>
      <c r="B665" s="158"/>
      <c r="C665" s="158"/>
      <c r="D665" s="160"/>
      <c r="E665" s="158"/>
      <c r="F665" s="157"/>
      <c r="G665" s="159"/>
    </row>
    <row r="666" spans="1:7">
      <c r="A666" s="157"/>
      <c r="B666" s="158"/>
      <c r="C666" s="158"/>
      <c r="D666" s="160"/>
      <c r="E666" s="158"/>
      <c r="F666" s="157"/>
      <c r="G666" s="159"/>
    </row>
    <row r="667" spans="1:7">
      <c r="A667" s="157"/>
      <c r="B667" s="158"/>
      <c r="C667" s="158"/>
      <c r="D667" s="160"/>
      <c r="E667" s="158"/>
      <c r="F667" s="157"/>
      <c r="G667" s="159"/>
    </row>
    <row r="668" spans="1:7">
      <c r="A668" s="157"/>
      <c r="B668" s="158"/>
      <c r="C668" s="158"/>
      <c r="D668" s="160"/>
      <c r="E668" s="158"/>
      <c r="F668" s="157"/>
      <c r="G668" s="159"/>
    </row>
    <row r="669" spans="1:7">
      <c r="A669" s="157"/>
      <c r="B669" s="158"/>
      <c r="C669" s="158"/>
      <c r="D669" s="160"/>
      <c r="E669" s="158"/>
      <c r="F669" s="157"/>
      <c r="G669" s="159"/>
    </row>
    <row r="670" spans="1:7">
      <c r="A670" s="157"/>
      <c r="B670" s="158"/>
      <c r="C670" s="158"/>
      <c r="D670" s="160"/>
      <c r="E670" s="158"/>
      <c r="F670" s="157"/>
      <c r="G670" s="159"/>
    </row>
    <row r="671" spans="1:7">
      <c r="A671" s="157"/>
      <c r="B671" s="158"/>
      <c r="C671" s="158"/>
      <c r="D671" s="160"/>
      <c r="E671" s="158"/>
      <c r="F671" s="157"/>
      <c r="G671" s="159"/>
    </row>
    <row r="672" spans="1:7">
      <c r="A672" s="157"/>
      <c r="B672" s="158"/>
      <c r="C672" s="158"/>
      <c r="D672" s="160"/>
      <c r="E672" s="158"/>
      <c r="F672" s="157"/>
      <c r="G672" s="159"/>
    </row>
    <row r="673" spans="1:7">
      <c r="A673" s="157"/>
      <c r="B673" s="158"/>
      <c r="C673" s="158"/>
      <c r="D673" s="160"/>
      <c r="E673" s="158"/>
      <c r="F673" s="157"/>
      <c r="G673" s="159"/>
    </row>
    <row r="674" spans="1:7">
      <c r="A674" s="157"/>
      <c r="B674" s="158"/>
      <c r="C674" s="158"/>
      <c r="D674" s="160"/>
      <c r="E674" s="158"/>
      <c r="F674" s="157"/>
      <c r="G674" s="159"/>
    </row>
    <row r="675" spans="1:7">
      <c r="A675" s="157"/>
      <c r="B675" s="158"/>
      <c r="C675" s="158"/>
      <c r="D675" s="160"/>
      <c r="E675" s="158"/>
      <c r="F675" s="157"/>
      <c r="G675" s="159"/>
    </row>
    <row r="676" spans="1:7">
      <c r="A676" s="157"/>
      <c r="B676" s="158"/>
      <c r="C676" s="158"/>
      <c r="D676" s="160"/>
      <c r="E676" s="158"/>
      <c r="F676" s="157"/>
      <c r="G676" s="159"/>
    </row>
    <row r="677" spans="1:7">
      <c r="A677" s="157"/>
      <c r="B677" s="158"/>
      <c r="C677" s="158"/>
      <c r="D677" s="160"/>
      <c r="E677" s="158"/>
      <c r="F677" s="157"/>
      <c r="G677" s="159"/>
    </row>
    <row r="678" spans="1:7">
      <c r="A678" s="157"/>
      <c r="B678" s="158"/>
      <c r="C678" s="158"/>
      <c r="D678" s="160"/>
      <c r="E678" s="158"/>
      <c r="F678" s="157"/>
      <c r="G678" s="159"/>
    </row>
    <row r="679" spans="1:7">
      <c r="A679" s="157"/>
      <c r="B679" s="158"/>
      <c r="C679" s="158"/>
      <c r="D679" s="160"/>
      <c r="E679" s="158"/>
      <c r="F679" s="157"/>
      <c r="G679" s="159"/>
    </row>
    <row r="680" spans="1:7">
      <c r="A680" s="157"/>
      <c r="B680" s="158"/>
      <c r="C680" s="158"/>
      <c r="D680" s="160"/>
      <c r="E680" s="158"/>
      <c r="F680" s="157"/>
      <c r="G680" s="159"/>
    </row>
    <row r="681" spans="1:7">
      <c r="A681" s="157"/>
      <c r="B681" s="158"/>
      <c r="C681" s="158"/>
      <c r="D681" s="160"/>
      <c r="E681" s="158"/>
      <c r="F681" s="157"/>
      <c r="G681" s="159"/>
    </row>
    <row r="682" spans="1:7">
      <c r="A682" s="157"/>
      <c r="B682" s="158"/>
      <c r="C682" s="158"/>
      <c r="D682" s="160"/>
      <c r="E682" s="158"/>
      <c r="F682" s="157"/>
      <c r="G682" s="159"/>
    </row>
    <row r="683" spans="1:7">
      <c r="A683" s="157"/>
      <c r="B683" s="158"/>
      <c r="C683" s="158"/>
      <c r="D683" s="160"/>
      <c r="E683" s="158"/>
      <c r="F683" s="157"/>
      <c r="G683" s="159"/>
    </row>
    <row r="684" spans="1:7">
      <c r="A684" s="157"/>
      <c r="B684" s="158"/>
      <c r="C684" s="158"/>
      <c r="D684" s="160"/>
      <c r="E684" s="158"/>
      <c r="F684" s="157"/>
      <c r="G684" s="159"/>
    </row>
    <row r="685" spans="1:7">
      <c r="A685" s="157"/>
      <c r="B685" s="158"/>
      <c r="C685" s="158"/>
      <c r="D685" s="160"/>
      <c r="E685" s="158"/>
      <c r="F685" s="157"/>
      <c r="G685" s="159"/>
    </row>
    <row r="686" spans="1:7">
      <c r="A686" s="157"/>
      <c r="B686" s="158"/>
      <c r="C686" s="158"/>
      <c r="D686" s="160"/>
      <c r="E686" s="158"/>
      <c r="F686" s="157"/>
      <c r="G686" s="159"/>
    </row>
    <row r="687" spans="1:7">
      <c r="A687" s="157"/>
      <c r="B687" s="158"/>
      <c r="C687" s="158"/>
      <c r="D687" s="160"/>
      <c r="E687" s="158"/>
      <c r="F687" s="157"/>
      <c r="G687" s="159"/>
    </row>
    <row r="688" spans="1:7">
      <c r="A688" s="157"/>
      <c r="B688" s="158"/>
      <c r="C688" s="158"/>
      <c r="D688" s="160"/>
      <c r="E688" s="158"/>
      <c r="F688" s="157"/>
      <c r="G688" s="159"/>
    </row>
    <row r="689" spans="1:7">
      <c r="A689" s="157"/>
      <c r="B689" s="158"/>
      <c r="C689" s="158"/>
      <c r="D689" s="160"/>
      <c r="E689" s="158"/>
      <c r="F689" s="157"/>
      <c r="G689" s="159"/>
    </row>
    <row r="690" spans="1:7">
      <c r="A690" s="157"/>
      <c r="B690" s="158"/>
      <c r="C690" s="158"/>
      <c r="D690" s="160"/>
      <c r="E690" s="158"/>
      <c r="F690" s="157"/>
      <c r="G690" s="159"/>
    </row>
    <row r="691" spans="1:7">
      <c r="A691" s="157"/>
      <c r="B691" s="158"/>
      <c r="C691" s="158"/>
      <c r="D691" s="160"/>
      <c r="E691" s="158"/>
      <c r="F691" s="157"/>
      <c r="G691" s="159"/>
    </row>
    <row r="692" spans="1:7">
      <c r="A692" s="157"/>
      <c r="B692" s="158"/>
      <c r="C692" s="158"/>
      <c r="D692" s="160"/>
      <c r="E692" s="158"/>
      <c r="F692" s="157"/>
      <c r="G692" s="159"/>
    </row>
    <row r="693" spans="1:7">
      <c r="A693" s="157"/>
      <c r="B693" s="158"/>
      <c r="C693" s="158"/>
      <c r="D693" s="160"/>
      <c r="E693" s="158"/>
      <c r="F693" s="157"/>
      <c r="G693" s="159"/>
    </row>
    <row r="694" spans="1:7">
      <c r="A694" s="157"/>
      <c r="B694" s="158"/>
      <c r="C694" s="158"/>
      <c r="D694" s="160"/>
      <c r="E694" s="158"/>
      <c r="F694" s="157"/>
      <c r="G694" s="159"/>
    </row>
    <row r="695" spans="1:7">
      <c r="A695" s="157"/>
      <c r="B695" s="158"/>
      <c r="C695" s="158"/>
      <c r="D695" s="160"/>
      <c r="E695" s="158"/>
      <c r="F695" s="157"/>
      <c r="G695" s="159"/>
    </row>
    <row r="696" spans="1:7">
      <c r="A696" s="157"/>
      <c r="B696" s="158"/>
      <c r="C696" s="158"/>
      <c r="D696" s="160"/>
      <c r="E696" s="158"/>
      <c r="F696" s="157"/>
      <c r="G696" s="159"/>
    </row>
    <row r="697" spans="1:7">
      <c r="A697" s="157"/>
      <c r="B697" s="158"/>
      <c r="C697" s="158"/>
      <c r="D697" s="160"/>
      <c r="E697" s="158"/>
      <c r="F697" s="157"/>
      <c r="G697" s="159"/>
    </row>
    <row r="698" spans="1:7">
      <c r="A698" s="157"/>
      <c r="B698" s="158"/>
      <c r="C698" s="158"/>
      <c r="D698" s="160"/>
      <c r="E698" s="158"/>
      <c r="F698" s="157"/>
      <c r="G698" s="159"/>
    </row>
    <row r="699" spans="1:7">
      <c r="A699" s="157"/>
      <c r="B699" s="158"/>
      <c r="C699" s="158"/>
      <c r="D699" s="160"/>
      <c r="E699" s="158"/>
      <c r="F699" s="157"/>
      <c r="G699" s="159"/>
    </row>
    <row r="700" spans="1:7">
      <c r="A700" s="157"/>
      <c r="B700" s="158"/>
      <c r="C700" s="158"/>
      <c r="D700" s="160"/>
      <c r="E700" s="158"/>
      <c r="F700" s="157"/>
      <c r="G700" s="159"/>
    </row>
    <row r="701" spans="1:7">
      <c r="A701" s="157"/>
      <c r="B701" s="158"/>
      <c r="C701" s="158"/>
      <c r="D701" s="160"/>
      <c r="E701" s="158"/>
      <c r="F701" s="157"/>
      <c r="G701" s="159"/>
    </row>
    <row r="702" spans="1:7">
      <c r="A702" s="157"/>
      <c r="B702" s="158"/>
      <c r="C702" s="158"/>
      <c r="D702" s="160"/>
      <c r="E702" s="158"/>
      <c r="F702" s="157"/>
      <c r="G702" s="159"/>
    </row>
    <row r="703" spans="1:7">
      <c r="A703" s="157"/>
      <c r="B703" s="158"/>
      <c r="C703" s="158"/>
      <c r="D703" s="160"/>
      <c r="E703" s="158"/>
      <c r="F703" s="157"/>
      <c r="G703" s="159"/>
    </row>
    <row r="704" spans="1:7">
      <c r="A704" s="157"/>
      <c r="B704" s="158"/>
      <c r="C704" s="158"/>
      <c r="D704" s="160"/>
      <c r="E704" s="158"/>
      <c r="F704" s="157"/>
      <c r="G704" s="159"/>
    </row>
    <row r="705" spans="1:7">
      <c r="A705" s="157"/>
      <c r="B705" s="158"/>
      <c r="C705" s="158"/>
      <c r="D705" s="160"/>
      <c r="E705" s="158"/>
      <c r="F705" s="157"/>
      <c r="G705" s="159"/>
    </row>
    <row r="706" spans="1:7">
      <c r="A706" s="157"/>
      <c r="B706" s="158"/>
      <c r="C706" s="158"/>
      <c r="D706" s="160"/>
      <c r="E706" s="158"/>
      <c r="F706" s="157"/>
      <c r="G706" s="159"/>
    </row>
    <row r="707" spans="1:7">
      <c r="A707" s="157"/>
      <c r="B707" s="158"/>
      <c r="C707" s="158"/>
      <c r="D707" s="160"/>
      <c r="E707" s="158"/>
      <c r="F707" s="157"/>
      <c r="G707" s="159"/>
    </row>
    <row r="708" spans="1:7">
      <c r="A708" s="157"/>
      <c r="B708" s="158"/>
      <c r="C708" s="158"/>
      <c r="D708" s="160"/>
      <c r="E708" s="158"/>
      <c r="F708" s="157"/>
      <c r="G708" s="159"/>
    </row>
    <row r="709" spans="1:7">
      <c r="A709" s="157"/>
      <c r="B709" s="158"/>
      <c r="C709" s="158"/>
      <c r="D709" s="160"/>
      <c r="E709" s="158"/>
      <c r="F709" s="157"/>
      <c r="G709" s="159"/>
    </row>
    <row r="710" spans="1:7">
      <c r="A710" s="157"/>
      <c r="B710" s="158"/>
      <c r="C710" s="158"/>
      <c r="D710" s="160"/>
      <c r="E710" s="158"/>
      <c r="F710" s="157"/>
      <c r="G710" s="159"/>
    </row>
    <row r="711" spans="1:7">
      <c r="A711" s="157"/>
      <c r="B711" s="158"/>
      <c r="C711" s="158"/>
      <c r="D711" s="160"/>
      <c r="E711" s="158"/>
      <c r="F711" s="157"/>
      <c r="G711" s="159"/>
    </row>
    <row r="712" spans="1:7">
      <c r="A712" s="157"/>
      <c r="B712" s="158"/>
      <c r="C712" s="158"/>
      <c r="D712" s="160"/>
      <c r="E712" s="158"/>
      <c r="F712" s="157"/>
      <c r="G712" s="159"/>
    </row>
    <row r="713" spans="1:7">
      <c r="A713" s="157"/>
      <c r="B713" s="158"/>
      <c r="C713" s="158"/>
      <c r="D713" s="160"/>
      <c r="E713" s="158"/>
      <c r="F713" s="157"/>
      <c r="G713" s="159"/>
    </row>
    <row r="714" spans="1:7">
      <c r="A714" s="157"/>
      <c r="B714" s="158"/>
      <c r="C714" s="158"/>
      <c r="D714" s="160"/>
      <c r="E714" s="158"/>
      <c r="F714" s="157"/>
      <c r="G714" s="159"/>
    </row>
    <row r="715" spans="1:7">
      <c r="A715" s="157"/>
      <c r="B715" s="158"/>
      <c r="C715" s="158"/>
      <c r="D715" s="160"/>
      <c r="E715" s="158"/>
      <c r="F715" s="157"/>
      <c r="G715" s="159"/>
    </row>
    <row r="716" spans="1:7">
      <c r="A716" s="157"/>
      <c r="B716" s="158"/>
      <c r="C716" s="158"/>
      <c r="D716" s="160"/>
      <c r="E716" s="158"/>
      <c r="F716" s="157"/>
      <c r="G716" s="159"/>
    </row>
    <row r="717" spans="1:7">
      <c r="A717" s="157"/>
      <c r="B717" s="158"/>
      <c r="C717" s="158"/>
      <c r="D717" s="160"/>
      <c r="E717" s="158"/>
      <c r="F717" s="157"/>
      <c r="G717" s="159"/>
    </row>
    <row r="718" spans="1:7">
      <c r="A718" s="157"/>
      <c r="B718" s="158"/>
      <c r="C718" s="158"/>
      <c r="D718" s="160"/>
      <c r="E718" s="158"/>
      <c r="F718" s="157"/>
      <c r="G718" s="159"/>
    </row>
    <row r="719" spans="1:7">
      <c r="A719" s="157"/>
      <c r="B719" s="158"/>
      <c r="C719" s="158"/>
      <c r="D719" s="160"/>
      <c r="E719" s="158"/>
      <c r="F719" s="157"/>
      <c r="G719" s="159"/>
    </row>
    <row r="720" spans="1:7">
      <c r="A720" s="157"/>
      <c r="B720" s="158"/>
      <c r="C720" s="158"/>
      <c r="D720" s="160"/>
      <c r="E720" s="158"/>
      <c r="F720" s="157"/>
      <c r="G720" s="159"/>
    </row>
    <row r="721" spans="1:7">
      <c r="A721" s="157"/>
      <c r="B721" s="158"/>
      <c r="C721" s="158"/>
      <c r="D721" s="160"/>
      <c r="E721" s="158"/>
      <c r="F721" s="157"/>
      <c r="G721" s="159"/>
    </row>
    <row r="722" spans="1:7">
      <c r="A722" s="157"/>
      <c r="B722" s="158"/>
      <c r="C722" s="158"/>
      <c r="D722" s="160"/>
      <c r="E722" s="158"/>
      <c r="F722" s="157"/>
      <c r="G722" s="159"/>
    </row>
    <row r="723" spans="1:7">
      <c r="A723" s="157"/>
      <c r="B723" s="158"/>
      <c r="C723" s="158"/>
      <c r="D723" s="160"/>
      <c r="E723" s="158"/>
      <c r="F723" s="157"/>
      <c r="G723" s="159"/>
    </row>
    <row r="724" spans="1:7">
      <c r="A724" s="157"/>
      <c r="B724" s="158"/>
      <c r="C724" s="158"/>
      <c r="D724" s="160"/>
      <c r="E724" s="158"/>
      <c r="F724" s="157"/>
      <c r="G724" s="159"/>
    </row>
    <row r="725" spans="1:7">
      <c r="A725" s="157"/>
      <c r="B725" s="158"/>
      <c r="C725" s="158"/>
      <c r="D725" s="160"/>
      <c r="E725" s="158"/>
      <c r="F725" s="157"/>
      <c r="G725" s="159"/>
    </row>
    <row r="726" spans="1:7">
      <c r="A726" s="157"/>
      <c r="B726" s="158"/>
      <c r="C726" s="158"/>
      <c r="D726" s="160"/>
      <c r="E726" s="158"/>
      <c r="F726" s="157"/>
      <c r="G726" s="159"/>
    </row>
    <row r="727" spans="1:7">
      <c r="A727" s="157"/>
      <c r="B727" s="158"/>
      <c r="C727" s="158"/>
      <c r="D727" s="160"/>
      <c r="E727" s="158"/>
      <c r="F727" s="157"/>
      <c r="G727" s="159"/>
    </row>
    <row r="728" spans="1:7">
      <c r="A728" s="157"/>
      <c r="B728" s="158"/>
      <c r="C728" s="158"/>
      <c r="D728" s="160"/>
      <c r="E728" s="158"/>
      <c r="F728" s="157"/>
      <c r="G728" s="159"/>
    </row>
    <row r="729" spans="1:7">
      <c r="A729" s="157"/>
      <c r="B729" s="158"/>
      <c r="C729" s="158"/>
      <c r="D729" s="160"/>
      <c r="E729" s="158"/>
      <c r="F729" s="157"/>
      <c r="G729" s="159"/>
    </row>
    <row r="730" spans="1:7">
      <c r="A730" s="157"/>
      <c r="B730" s="158"/>
      <c r="C730" s="158"/>
      <c r="D730" s="160"/>
      <c r="E730" s="158"/>
      <c r="F730" s="157"/>
      <c r="G730" s="159"/>
    </row>
    <row r="731" spans="1:7">
      <c r="A731" s="157"/>
      <c r="B731" s="158"/>
      <c r="C731" s="158"/>
      <c r="D731" s="160"/>
      <c r="E731" s="158"/>
      <c r="F731" s="157"/>
      <c r="G731" s="159"/>
    </row>
    <row r="732" spans="1:7">
      <c r="A732" s="157"/>
      <c r="B732" s="158"/>
      <c r="C732" s="158"/>
      <c r="D732" s="160"/>
      <c r="E732" s="158"/>
      <c r="F732" s="157"/>
      <c r="G732" s="159"/>
    </row>
    <row r="733" spans="1:7">
      <c r="A733" s="157"/>
      <c r="B733" s="158"/>
      <c r="C733" s="158"/>
      <c r="D733" s="160"/>
      <c r="E733" s="158"/>
      <c r="F733" s="157"/>
      <c r="G733" s="159"/>
    </row>
    <row r="734" spans="1:7">
      <c r="A734" s="157"/>
      <c r="B734" s="158"/>
      <c r="C734" s="158"/>
      <c r="D734" s="160"/>
      <c r="E734" s="158"/>
      <c r="F734" s="157"/>
      <c r="G734" s="159"/>
    </row>
    <row r="735" spans="1:7">
      <c r="A735" s="157"/>
      <c r="B735" s="158"/>
      <c r="C735" s="158"/>
      <c r="D735" s="160"/>
      <c r="E735" s="158"/>
      <c r="F735" s="157"/>
      <c r="G735" s="159"/>
    </row>
    <row r="736" spans="1:7">
      <c r="A736" s="157"/>
      <c r="B736" s="158"/>
      <c r="C736" s="158"/>
      <c r="D736" s="160"/>
      <c r="E736" s="158"/>
      <c r="F736" s="157"/>
      <c r="G736" s="159"/>
    </row>
    <row r="737" spans="1:7">
      <c r="A737" s="157"/>
      <c r="B737" s="158"/>
      <c r="C737" s="158"/>
      <c r="D737" s="160"/>
      <c r="E737" s="158"/>
      <c r="F737" s="157"/>
      <c r="G737" s="159"/>
    </row>
    <row r="738" spans="1:7">
      <c r="A738" s="157"/>
      <c r="B738" s="158"/>
      <c r="C738" s="158"/>
      <c r="D738" s="160"/>
      <c r="E738" s="158"/>
      <c r="F738" s="157"/>
      <c r="G738" s="159"/>
    </row>
    <row r="739" spans="1:7">
      <c r="A739" s="157"/>
      <c r="B739" s="158"/>
      <c r="C739" s="158"/>
      <c r="D739" s="160"/>
      <c r="E739" s="158"/>
      <c r="F739" s="157"/>
      <c r="G739" s="159"/>
    </row>
    <row r="740" spans="1:7">
      <c r="A740" s="157"/>
      <c r="B740" s="158"/>
      <c r="C740" s="158"/>
      <c r="D740" s="160"/>
      <c r="E740" s="158"/>
      <c r="F740" s="157"/>
      <c r="G740" s="159"/>
    </row>
    <row r="741" spans="1:7">
      <c r="A741" s="157"/>
      <c r="B741" s="158"/>
      <c r="C741" s="158"/>
      <c r="D741" s="160"/>
      <c r="E741" s="158"/>
      <c r="F741" s="157"/>
      <c r="G741" s="159"/>
    </row>
    <row r="742" spans="1:7">
      <c r="A742" s="157"/>
      <c r="B742" s="158"/>
      <c r="C742" s="158"/>
      <c r="D742" s="160"/>
      <c r="E742" s="158"/>
      <c r="F742" s="157"/>
      <c r="G742" s="159"/>
    </row>
    <row r="743" spans="1:7">
      <c r="A743" s="157"/>
      <c r="B743" s="158"/>
      <c r="C743" s="158"/>
      <c r="D743" s="160"/>
      <c r="E743" s="158"/>
      <c r="F743" s="157"/>
      <c r="G743" s="159"/>
    </row>
    <row r="744" spans="1:7">
      <c r="A744" s="157"/>
      <c r="B744" s="158"/>
      <c r="C744" s="158"/>
      <c r="D744" s="160"/>
      <c r="E744" s="158"/>
      <c r="F744" s="157"/>
      <c r="G744" s="159"/>
    </row>
    <row r="745" spans="1:7">
      <c r="A745" s="157"/>
      <c r="B745" s="158"/>
      <c r="C745" s="158"/>
      <c r="D745" s="160"/>
      <c r="E745" s="158"/>
      <c r="F745" s="157"/>
      <c r="G745" s="159"/>
    </row>
    <row r="746" spans="1:7">
      <c r="A746" s="157"/>
      <c r="B746" s="158"/>
      <c r="C746" s="158"/>
      <c r="D746" s="160"/>
      <c r="E746" s="158"/>
      <c r="F746" s="157"/>
      <c r="G746" s="159"/>
    </row>
    <row r="747" spans="1:7">
      <c r="A747" s="157"/>
      <c r="B747" s="158"/>
      <c r="C747" s="158"/>
      <c r="D747" s="160"/>
      <c r="E747" s="158"/>
      <c r="F747" s="157"/>
      <c r="G747" s="159"/>
    </row>
    <row r="748" spans="1:7">
      <c r="A748" s="157"/>
      <c r="B748" s="158"/>
      <c r="C748" s="158"/>
      <c r="D748" s="160"/>
      <c r="E748" s="158"/>
      <c r="F748" s="157"/>
      <c r="G748" s="159"/>
    </row>
    <row r="749" spans="1:7">
      <c r="A749" s="157"/>
      <c r="B749" s="158"/>
      <c r="C749" s="158"/>
      <c r="D749" s="160"/>
      <c r="E749" s="158"/>
      <c r="F749" s="157"/>
      <c r="G749" s="159"/>
    </row>
    <row r="750" spans="1:7">
      <c r="A750" s="157"/>
      <c r="B750" s="158"/>
      <c r="C750" s="158"/>
      <c r="D750" s="160"/>
      <c r="E750" s="158"/>
      <c r="F750" s="157"/>
      <c r="G750" s="159"/>
    </row>
    <row r="751" spans="1:7">
      <c r="A751" s="157"/>
      <c r="B751" s="158"/>
      <c r="C751" s="158"/>
      <c r="D751" s="160"/>
      <c r="E751" s="158"/>
      <c r="F751" s="157"/>
      <c r="G751" s="159"/>
    </row>
    <row r="752" spans="1:7">
      <c r="A752" s="157"/>
      <c r="B752" s="158"/>
      <c r="C752" s="158"/>
      <c r="D752" s="160"/>
      <c r="E752" s="158"/>
      <c r="F752" s="157"/>
      <c r="G752" s="159"/>
    </row>
    <row r="753" spans="1:7">
      <c r="A753" s="157"/>
      <c r="B753" s="158"/>
      <c r="C753" s="158"/>
      <c r="D753" s="160"/>
      <c r="E753" s="158"/>
      <c r="F753" s="157"/>
      <c r="G753" s="159"/>
    </row>
    <row r="754" spans="1:7">
      <c r="A754" s="157"/>
      <c r="B754" s="158"/>
      <c r="C754" s="158"/>
      <c r="D754" s="160"/>
      <c r="E754" s="158"/>
      <c r="F754" s="157"/>
      <c r="G754" s="159"/>
    </row>
    <row r="755" spans="1:7">
      <c r="A755" s="157"/>
      <c r="B755" s="158"/>
      <c r="C755" s="158"/>
      <c r="D755" s="160"/>
      <c r="E755" s="158"/>
      <c r="F755" s="157"/>
      <c r="G755" s="159"/>
    </row>
    <row r="756" spans="1:7">
      <c r="A756" s="157"/>
      <c r="B756" s="158"/>
      <c r="C756" s="158"/>
      <c r="D756" s="160"/>
      <c r="E756" s="158"/>
      <c r="F756" s="157"/>
      <c r="G756" s="159"/>
    </row>
    <row r="757" spans="1:7">
      <c r="A757" s="157"/>
      <c r="B757" s="158"/>
      <c r="C757" s="158"/>
      <c r="D757" s="160"/>
      <c r="E757" s="158"/>
      <c r="F757" s="157"/>
      <c r="G757" s="159"/>
    </row>
    <row r="758" spans="1:7">
      <c r="A758" s="157"/>
      <c r="B758" s="158"/>
      <c r="C758" s="158"/>
      <c r="D758" s="160"/>
      <c r="E758" s="158"/>
      <c r="F758" s="157"/>
      <c r="G758" s="159"/>
    </row>
    <row r="759" spans="1:7">
      <c r="A759" s="157"/>
      <c r="B759" s="158"/>
      <c r="C759" s="158"/>
      <c r="D759" s="160"/>
      <c r="E759" s="158"/>
      <c r="F759" s="157"/>
      <c r="G759" s="159"/>
    </row>
    <row r="760" spans="1:7">
      <c r="A760" s="157"/>
      <c r="B760" s="158"/>
      <c r="C760" s="158"/>
      <c r="D760" s="160"/>
      <c r="E760" s="158"/>
      <c r="F760" s="157"/>
      <c r="G760" s="159"/>
    </row>
    <row r="761" spans="1:7">
      <c r="A761" s="157"/>
      <c r="B761" s="158"/>
      <c r="C761" s="158"/>
      <c r="D761" s="160"/>
      <c r="E761" s="158"/>
      <c r="F761" s="157"/>
      <c r="G761" s="159"/>
    </row>
    <row r="762" spans="1:7">
      <c r="A762" s="157"/>
      <c r="B762" s="158"/>
      <c r="C762" s="158"/>
      <c r="D762" s="160"/>
      <c r="E762" s="158"/>
      <c r="F762" s="157"/>
      <c r="G762" s="159"/>
    </row>
    <row r="763" spans="1:7">
      <c r="A763" s="157"/>
      <c r="B763" s="158"/>
      <c r="C763" s="158"/>
      <c r="D763" s="160"/>
      <c r="E763" s="158"/>
      <c r="F763" s="157"/>
      <c r="G763" s="159"/>
    </row>
    <row r="764" spans="1:7">
      <c r="A764" s="157"/>
      <c r="B764" s="158"/>
      <c r="C764" s="158"/>
      <c r="D764" s="160"/>
      <c r="E764" s="158"/>
      <c r="F764" s="157"/>
      <c r="G764" s="159"/>
    </row>
    <row r="765" spans="1:7">
      <c r="A765" s="157"/>
      <c r="B765" s="158"/>
      <c r="C765" s="158"/>
      <c r="D765" s="160"/>
      <c r="E765" s="158"/>
      <c r="F765" s="157"/>
      <c r="G765" s="159"/>
    </row>
    <row r="766" spans="1:7">
      <c r="A766" s="157"/>
      <c r="B766" s="158"/>
      <c r="C766" s="158"/>
      <c r="D766" s="160"/>
      <c r="E766" s="158"/>
      <c r="F766" s="157"/>
      <c r="G766" s="159"/>
    </row>
    <row r="767" spans="1:7">
      <c r="A767" s="157"/>
      <c r="B767" s="158"/>
      <c r="C767" s="158"/>
      <c r="D767" s="160"/>
      <c r="E767" s="158"/>
      <c r="F767" s="157"/>
      <c r="G767" s="159"/>
    </row>
    <row r="768" spans="1:7">
      <c r="A768" s="157"/>
      <c r="B768" s="158"/>
      <c r="C768" s="158"/>
      <c r="D768" s="160"/>
      <c r="E768" s="158"/>
      <c r="F768" s="157"/>
      <c r="G768" s="159"/>
    </row>
    <row r="769" spans="1:7">
      <c r="A769" s="157"/>
      <c r="B769" s="158"/>
      <c r="C769" s="158"/>
      <c r="D769" s="160"/>
      <c r="E769" s="158"/>
      <c r="F769" s="157"/>
      <c r="G769" s="159"/>
    </row>
    <row r="770" spans="1:7">
      <c r="A770" s="157"/>
      <c r="B770" s="158"/>
      <c r="C770" s="158"/>
      <c r="D770" s="160"/>
      <c r="E770" s="158"/>
      <c r="F770" s="157"/>
      <c r="G770" s="159"/>
    </row>
    <row r="771" spans="1:7">
      <c r="A771" s="157"/>
      <c r="B771" s="158"/>
      <c r="C771" s="158"/>
      <c r="D771" s="160"/>
      <c r="E771" s="158"/>
      <c r="F771" s="157"/>
      <c r="G771" s="159"/>
    </row>
    <row r="772" spans="1:7">
      <c r="A772" s="157"/>
      <c r="B772" s="158"/>
      <c r="C772" s="158"/>
      <c r="D772" s="160"/>
      <c r="E772" s="158"/>
      <c r="F772" s="157"/>
      <c r="G772" s="159"/>
    </row>
    <row r="773" spans="1:7">
      <c r="A773" s="157"/>
      <c r="B773" s="158"/>
      <c r="C773" s="158"/>
      <c r="D773" s="160"/>
      <c r="E773" s="158"/>
      <c r="F773" s="157"/>
      <c r="G773" s="159"/>
    </row>
    <row r="774" spans="1:7">
      <c r="A774" s="157"/>
      <c r="B774" s="158"/>
      <c r="C774" s="158"/>
      <c r="D774" s="160"/>
      <c r="E774" s="158"/>
      <c r="F774" s="157"/>
      <c r="G774" s="159"/>
    </row>
    <row r="775" spans="1:7">
      <c r="A775" s="157"/>
      <c r="B775" s="158"/>
      <c r="C775" s="158"/>
      <c r="D775" s="160"/>
      <c r="E775" s="158"/>
      <c r="F775" s="157"/>
      <c r="G775" s="159"/>
    </row>
    <row r="776" spans="1:7">
      <c r="A776" s="157"/>
      <c r="B776" s="158"/>
      <c r="C776" s="158"/>
      <c r="D776" s="160"/>
      <c r="E776" s="158"/>
      <c r="F776" s="157"/>
      <c r="G776" s="159"/>
    </row>
    <row r="777" spans="1:7">
      <c r="A777" s="157"/>
      <c r="B777" s="158"/>
      <c r="C777" s="158"/>
      <c r="D777" s="160"/>
      <c r="E777" s="158"/>
      <c r="F777" s="157"/>
      <c r="G777" s="159"/>
    </row>
    <row r="778" spans="1:7">
      <c r="A778" s="157"/>
      <c r="B778" s="158"/>
      <c r="C778" s="158"/>
      <c r="D778" s="160"/>
      <c r="E778" s="158"/>
      <c r="F778" s="157"/>
      <c r="G778" s="159"/>
    </row>
    <row r="779" spans="1:7">
      <c r="A779" s="157"/>
      <c r="B779" s="158"/>
      <c r="C779" s="158"/>
      <c r="D779" s="160"/>
      <c r="E779" s="158"/>
      <c r="F779" s="157"/>
      <c r="G779" s="159"/>
    </row>
    <row r="780" spans="1:7">
      <c r="A780" s="157"/>
      <c r="B780" s="158"/>
      <c r="C780" s="158"/>
      <c r="D780" s="160"/>
      <c r="E780" s="158"/>
      <c r="F780" s="157"/>
      <c r="G780" s="159"/>
    </row>
    <row r="781" spans="1:7">
      <c r="A781" s="157"/>
      <c r="B781" s="158"/>
      <c r="C781" s="158"/>
      <c r="D781" s="160"/>
      <c r="E781" s="158"/>
      <c r="F781" s="157"/>
      <c r="G781" s="159"/>
    </row>
    <row r="782" spans="1:7">
      <c r="A782" s="157"/>
      <c r="B782" s="158"/>
      <c r="C782" s="158"/>
      <c r="D782" s="160"/>
      <c r="E782" s="158"/>
      <c r="F782" s="157"/>
      <c r="G782" s="159"/>
    </row>
    <row r="783" spans="1:7">
      <c r="A783" s="157"/>
      <c r="B783" s="158"/>
      <c r="C783" s="158"/>
      <c r="D783" s="160"/>
      <c r="E783" s="158"/>
      <c r="F783" s="157"/>
      <c r="G783" s="159"/>
    </row>
    <row r="784" spans="1:7">
      <c r="A784" s="157"/>
      <c r="B784" s="158"/>
      <c r="C784" s="158"/>
      <c r="D784" s="160"/>
      <c r="E784" s="158"/>
      <c r="F784" s="157"/>
      <c r="G784" s="159"/>
    </row>
    <row r="785" spans="1:7">
      <c r="A785" s="157"/>
      <c r="B785" s="158"/>
      <c r="C785" s="158"/>
      <c r="D785" s="160"/>
      <c r="E785" s="158"/>
      <c r="F785" s="157"/>
      <c r="G785" s="159"/>
    </row>
    <row r="786" spans="1:7">
      <c r="A786" s="157"/>
      <c r="B786" s="158"/>
      <c r="C786" s="158"/>
      <c r="D786" s="160"/>
      <c r="E786" s="158"/>
      <c r="F786" s="157"/>
      <c r="G786" s="159"/>
    </row>
    <row r="787" spans="1:7">
      <c r="A787" s="157"/>
      <c r="B787" s="158"/>
      <c r="C787" s="158"/>
      <c r="D787" s="160"/>
      <c r="E787" s="158"/>
      <c r="F787" s="157"/>
      <c r="G787" s="159"/>
    </row>
    <row r="788" spans="1:7">
      <c r="A788" s="157"/>
      <c r="B788" s="158"/>
      <c r="C788" s="158"/>
      <c r="D788" s="160"/>
      <c r="E788" s="158"/>
      <c r="F788" s="157"/>
      <c r="G788" s="159"/>
    </row>
    <row r="789" spans="1:7">
      <c r="A789" s="157"/>
      <c r="B789" s="158"/>
      <c r="C789" s="158"/>
      <c r="D789" s="160"/>
      <c r="E789" s="158"/>
      <c r="F789" s="157"/>
      <c r="G789" s="159"/>
    </row>
    <row r="790" spans="1:7">
      <c r="A790" s="157"/>
      <c r="B790" s="158"/>
      <c r="C790" s="158"/>
      <c r="D790" s="160"/>
      <c r="E790" s="158"/>
      <c r="F790" s="157"/>
      <c r="G790" s="159"/>
    </row>
    <row r="791" spans="1:7">
      <c r="A791" s="157"/>
      <c r="B791" s="158"/>
      <c r="C791" s="158"/>
      <c r="D791" s="160"/>
      <c r="E791" s="158"/>
      <c r="F791" s="157"/>
      <c r="G791" s="159"/>
    </row>
    <row r="792" spans="1:7">
      <c r="A792" s="157"/>
      <c r="B792" s="158"/>
      <c r="C792" s="158"/>
      <c r="D792" s="160"/>
      <c r="E792" s="158"/>
      <c r="F792" s="157"/>
      <c r="G792" s="159"/>
    </row>
    <row r="793" spans="1:7">
      <c r="A793" s="157"/>
      <c r="B793" s="158"/>
      <c r="C793" s="158"/>
      <c r="D793" s="160"/>
      <c r="E793" s="158"/>
      <c r="F793" s="157"/>
      <c r="G793" s="159"/>
    </row>
    <row r="794" spans="1:7">
      <c r="A794" s="157"/>
      <c r="B794" s="158"/>
      <c r="C794" s="158"/>
      <c r="D794" s="160"/>
      <c r="E794" s="158"/>
      <c r="F794" s="157"/>
      <c r="G794" s="159"/>
    </row>
    <row r="795" spans="1:7">
      <c r="A795" s="157"/>
      <c r="B795" s="158"/>
      <c r="C795" s="158"/>
      <c r="D795" s="160"/>
      <c r="E795" s="158"/>
      <c r="F795" s="157"/>
      <c r="G795" s="159"/>
    </row>
    <row r="796" spans="1:7">
      <c r="A796" s="157"/>
      <c r="B796" s="158"/>
      <c r="C796" s="158"/>
      <c r="D796" s="160"/>
      <c r="E796" s="158"/>
      <c r="F796" s="157"/>
      <c r="G796" s="159"/>
    </row>
    <row r="797" spans="1:7">
      <c r="A797" s="157"/>
      <c r="B797" s="158"/>
      <c r="C797" s="158"/>
      <c r="D797" s="160"/>
      <c r="E797" s="158"/>
      <c r="F797" s="157"/>
      <c r="G797" s="159"/>
    </row>
    <row r="798" spans="1:7">
      <c r="A798" s="157"/>
      <c r="B798" s="158"/>
      <c r="C798" s="158"/>
      <c r="D798" s="160"/>
      <c r="E798" s="158"/>
      <c r="F798" s="157"/>
      <c r="G798" s="159"/>
    </row>
    <row r="799" spans="1:7">
      <c r="A799" s="157"/>
      <c r="B799" s="158"/>
      <c r="C799" s="158"/>
      <c r="D799" s="160"/>
      <c r="E799" s="158"/>
      <c r="F799" s="157"/>
      <c r="G799" s="159"/>
    </row>
    <row r="800" spans="1:7">
      <c r="A800" s="157"/>
      <c r="B800" s="158"/>
      <c r="C800" s="158"/>
      <c r="D800" s="160"/>
      <c r="E800" s="158"/>
      <c r="F800" s="157"/>
      <c r="G800" s="159"/>
    </row>
    <row r="801" spans="1:7">
      <c r="A801" s="157"/>
      <c r="B801" s="158"/>
      <c r="C801" s="158"/>
      <c r="D801" s="160"/>
      <c r="E801" s="158"/>
      <c r="F801" s="157"/>
      <c r="G801" s="159"/>
    </row>
    <row r="802" spans="1:7">
      <c r="A802" s="157"/>
      <c r="B802" s="158"/>
      <c r="C802" s="158"/>
      <c r="D802" s="160"/>
      <c r="E802" s="158"/>
      <c r="F802" s="157"/>
      <c r="G802" s="159"/>
    </row>
    <row r="803" spans="1:7">
      <c r="A803" s="157"/>
      <c r="B803" s="158"/>
      <c r="C803" s="158"/>
      <c r="D803" s="160"/>
      <c r="E803" s="158"/>
      <c r="F803" s="157"/>
      <c r="G803" s="159"/>
    </row>
    <row r="804" spans="1:7">
      <c r="A804" s="157"/>
      <c r="B804" s="158"/>
      <c r="C804" s="158"/>
      <c r="D804" s="160"/>
      <c r="E804" s="158"/>
      <c r="F804" s="157"/>
      <c r="G804" s="159"/>
    </row>
    <row r="805" spans="1:7">
      <c r="A805" s="157"/>
      <c r="B805" s="158"/>
      <c r="C805" s="158"/>
      <c r="D805" s="160"/>
      <c r="E805" s="158"/>
      <c r="F805" s="157"/>
      <c r="G805" s="159"/>
    </row>
    <row r="806" spans="1:7">
      <c r="A806" s="157"/>
      <c r="B806" s="158"/>
      <c r="C806" s="158"/>
      <c r="D806" s="160"/>
      <c r="E806" s="158"/>
      <c r="F806" s="157"/>
      <c r="G806" s="159"/>
    </row>
    <row r="807" spans="1:7">
      <c r="A807" s="157"/>
      <c r="B807" s="158"/>
      <c r="C807" s="158"/>
      <c r="D807" s="160"/>
      <c r="E807" s="158"/>
      <c r="F807" s="157"/>
      <c r="G807" s="159"/>
    </row>
    <row r="808" spans="1:7">
      <c r="A808" s="157"/>
      <c r="B808" s="158"/>
      <c r="C808" s="158"/>
      <c r="D808" s="160"/>
      <c r="E808" s="158"/>
      <c r="F808" s="157"/>
      <c r="G808" s="159"/>
    </row>
    <row r="809" spans="1:7">
      <c r="A809" s="157"/>
      <c r="B809" s="158"/>
      <c r="C809" s="158"/>
      <c r="D809" s="160"/>
      <c r="E809" s="158"/>
      <c r="F809" s="157"/>
      <c r="G809" s="159"/>
    </row>
    <row r="810" spans="1:7">
      <c r="A810" s="157"/>
      <c r="B810" s="158"/>
      <c r="C810" s="158"/>
      <c r="D810" s="160"/>
      <c r="E810" s="158"/>
      <c r="F810" s="157"/>
      <c r="G810" s="159"/>
    </row>
    <row r="811" spans="1:7">
      <c r="A811" s="157"/>
      <c r="B811" s="158"/>
      <c r="C811" s="158"/>
      <c r="D811" s="160"/>
      <c r="E811" s="158"/>
      <c r="F811" s="157"/>
      <c r="G811" s="159"/>
    </row>
    <row r="812" spans="1:7">
      <c r="A812" s="157"/>
      <c r="B812" s="158"/>
      <c r="C812" s="158"/>
      <c r="D812" s="160"/>
      <c r="E812" s="158"/>
      <c r="F812" s="157"/>
      <c r="G812" s="159"/>
    </row>
    <row r="813" spans="1:7">
      <c r="A813" s="157"/>
      <c r="B813" s="158"/>
      <c r="C813" s="158"/>
      <c r="D813" s="160"/>
      <c r="E813" s="158"/>
      <c r="F813" s="157"/>
      <c r="G813" s="159"/>
    </row>
    <row r="814" spans="1:7">
      <c r="A814" s="157"/>
      <c r="B814" s="158"/>
      <c r="C814" s="158"/>
      <c r="D814" s="160"/>
      <c r="E814" s="158"/>
      <c r="F814" s="157"/>
      <c r="G814" s="159"/>
    </row>
    <row r="815" spans="1:7">
      <c r="A815" s="157"/>
      <c r="B815" s="158"/>
      <c r="C815" s="158"/>
      <c r="D815" s="160"/>
      <c r="E815" s="158"/>
      <c r="F815" s="157"/>
      <c r="G815" s="159"/>
    </row>
    <row r="816" spans="1:7">
      <c r="A816" s="157"/>
      <c r="B816" s="158"/>
      <c r="C816" s="158"/>
      <c r="D816" s="160"/>
      <c r="E816" s="158"/>
      <c r="F816" s="157"/>
      <c r="G816" s="159"/>
    </row>
    <row r="817" spans="1:7">
      <c r="A817" s="157"/>
      <c r="B817" s="158"/>
      <c r="C817" s="158"/>
      <c r="D817" s="160"/>
      <c r="E817" s="158"/>
      <c r="F817" s="157"/>
      <c r="G817" s="159"/>
    </row>
    <row r="818" spans="1:7">
      <c r="A818" s="157"/>
      <c r="B818" s="158"/>
      <c r="C818" s="158"/>
      <c r="D818" s="160"/>
      <c r="E818" s="158"/>
      <c r="F818" s="157"/>
      <c r="G818" s="159"/>
    </row>
    <row r="819" spans="1:7">
      <c r="A819" s="157"/>
      <c r="B819" s="158"/>
      <c r="C819" s="158"/>
      <c r="D819" s="160"/>
      <c r="E819" s="158"/>
      <c r="F819" s="157"/>
      <c r="G819" s="159"/>
    </row>
    <row r="820" spans="1:7">
      <c r="A820" s="157"/>
      <c r="B820" s="158"/>
      <c r="C820" s="158"/>
      <c r="D820" s="160"/>
      <c r="E820" s="158"/>
      <c r="F820" s="157"/>
      <c r="G820" s="159"/>
    </row>
    <row r="821" spans="1:7">
      <c r="A821" s="157"/>
      <c r="B821" s="158"/>
      <c r="C821" s="158"/>
      <c r="D821" s="160"/>
      <c r="E821" s="158"/>
      <c r="F821" s="157"/>
      <c r="G821" s="159"/>
    </row>
    <row r="822" spans="1:7">
      <c r="A822" s="157"/>
      <c r="B822" s="158"/>
      <c r="C822" s="158"/>
      <c r="D822" s="160"/>
      <c r="E822" s="158"/>
      <c r="F822" s="157"/>
      <c r="G822" s="159"/>
    </row>
    <row r="823" spans="1:7">
      <c r="A823" s="157"/>
      <c r="B823" s="158"/>
      <c r="C823" s="158"/>
      <c r="D823" s="160"/>
      <c r="E823" s="158"/>
      <c r="F823" s="157"/>
      <c r="G823" s="159"/>
    </row>
    <row r="824" spans="1:7">
      <c r="A824" s="157"/>
      <c r="B824" s="158"/>
      <c r="C824" s="158"/>
      <c r="D824" s="160"/>
      <c r="E824" s="158"/>
      <c r="F824" s="157"/>
      <c r="G824" s="159"/>
    </row>
    <row r="825" spans="1:7">
      <c r="A825" s="157"/>
      <c r="B825" s="158"/>
      <c r="C825" s="158"/>
      <c r="D825" s="160"/>
      <c r="E825" s="158"/>
      <c r="F825" s="157"/>
      <c r="G825" s="159"/>
    </row>
    <row r="826" spans="1:7">
      <c r="A826" s="157"/>
      <c r="B826" s="158"/>
      <c r="C826" s="158"/>
      <c r="D826" s="160"/>
      <c r="E826" s="158"/>
      <c r="F826" s="157"/>
      <c r="G826" s="159"/>
    </row>
    <row r="827" spans="1:7">
      <c r="A827" s="157"/>
      <c r="B827" s="158"/>
      <c r="C827" s="158"/>
      <c r="D827" s="160"/>
      <c r="E827" s="158"/>
      <c r="F827" s="157"/>
      <c r="G827" s="159"/>
    </row>
    <row r="828" spans="1:7">
      <c r="A828" s="157"/>
      <c r="B828" s="158"/>
      <c r="C828" s="158"/>
      <c r="D828" s="160"/>
      <c r="E828" s="158"/>
      <c r="F828" s="157"/>
      <c r="G828" s="159"/>
    </row>
    <row r="829" spans="1:7">
      <c r="A829" s="157"/>
      <c r="B829" s="158"/>
      <c r="C829" s="158"/>
      <c r="D829" s="160"/>
      <c r="E829" s="158"/>
      <c r="F829" s="157"/>
      <c r="G829" s="159"/>
    </row>
    <row r="830" spans="1:7">
      <c r="A830" s="157"/>
      <c r="B830" s="158"/>
      <c r="C830" s="158"/>
      <c r="D830" s="160"/>
      <c r="E830" s="158"/>
      <c r="F830" s="157"/>
      <c r="G830" s="159"/>
    </row>
    <row r="831" spans="1:7">
      <c r="A831" s="157"/>
      <c r="B831" s="158"/>
      <c r="C831" s="158"/>
      <c r="D831" s="160"/>
      <c r="E831" s="158"/>
      <c r="F831" s="157"/>
      <c r="G831" s="159"/>
    </row>
    <row r="832" spans="1:7">
      <c r="A832" s="157"/>
      <c r="B832" s="158"/>
      <c r="C832" s="158"/>
      <c r="D832" s="160"/>
      <c r="E832" s="158"/>
      <c r="F832" s="157"/>
      <c r="G832" s="159"/>
    </row>
    <row r="833" spans="1:7">
      <c r="A833" s="157"/>
      <c r="B833" s="158"/>
      <c r="C833" s="158"/>
      <c r="D833" s="160"/>
      <c r="E833" s="158"/>
      <c r="F833" s="157"/>
      <c r="G833" s="159"/>
    </row>
    <row r="834" spans="1:7">
      <c r="A834" s="157"/>
      <c r="B834" s="158"/>
      <c r="C834" s="158"/>
      <c r="D834" s="160"/>
      <c r="E834" s="158"/>
      <c r="F834" s="157"/>
      <c r="G834" s="159"/>
    </row>
    <row r="835" spans="1:7">
      <c r="A835" s="157"/>
      <c r="B835" s="158"/>
      <c r="C835" s="158"/>
      <c r="D835" s="160"/>
      <c r="E835" s="158"/>
      <c r="F835" s="157"/>
      <c r="G835" s="159"/>
    </row>
    <row r="836" spans="1:7">
      <c r="A836" s="157"/>
      <c r="B836" s="158"/>
      <c r="C836" s="158"/>
      <c r="D836" s="160"/>
      <c r="E836" s="158"/>
      <c r="F836" s="157"/>
      <c r="G836" s="159"/>
    </row>
    <row r="837" spans="1:7">
      <c r="A837" s="157"/>
      <c r="B837" s="158"/>
      <c r="C837" s="158"/>
      <c r="D837" s="160"/>
      <c r="E837" s="158"/>
      <c r="F837" s="157"/>
      <c r="G837" s="159"/>
    </row>
    <row r="838" spans="1:7">
      <c r="A838" s="157"/>
      <c r="B838" s="158"/>
      <c r="C838" s="158"/>
      <c r="D838" s="160"/>
      <c r="E838" s="158"/>
      <c r="F838" s="157"/>
      <c r="G838" s="159"/>
    </row>
    <row r="839" spans="1:7">
      <c r="A839" s="157"/>
      <c r="B839" s="158"/>
      <c r="C839" s="158"/>
      <c r="D839" s="160"/>
      <c r="E839" s="158"/>
      <c r="F839" s="157"/>
      <c r="G839" s="159"/>
    </row>
    <row r="840" spans="1:7">
      <c r="A840" s="157"/>
      <c r="B840" s="158"/>
      <c r="C840" s="158"/>
      <c r="D840" s="160"/>
      <c r="E840" s="158"/>
      <c r="F840" s="157"/>
      <c r="G840" s="159"/>
    </row>
    <row r="841" spans="1:7">
      <c r="A841" s="157"/>
      <c r="B841" s="158"/>
      <c r="C841" s="158"/>
      <c r="D841" s="160"/>
      <c r="E841" s="158"/>
      <c r="F841" s="157"/>
      <c r="G841" s="159"/>
    </row>
    <row r="842" spans="1:7">
      <c r="A842" s="157"/>
      <c r="B842" s="158"/>
      <c r="C842" s="158"/>
      <c r="D842" s="160"/>
      <c r="E842" s="158"/>
      <c r="F842" s="157"/>
      <c r="G842" s="159"/>
    </row>
    <row r="843" spans="1:7">
      <c r="A843" s="157"/>
      <c r="B843" s="158"/>
      <c r="C843" s="158"/>
      <c r="D843" s="160"/>
      <c r="E843" s="158"/>
      <c r="F843" s="157"/>
      <c r="G843" s="159"/>
    </row>
    <row r="844" spans="1:7">
      <c r="A844" s="157"/>
      <c r="B844" s="158"/>
      <c r="C844" s="158"/>
      <c r="D844" s="160"/>
      <c r="E844" s="158"/>
      <c r="F844" s="157"/>
      <c r="G844" s="159"/>
    </row>
    <row r="845" spans="1:7">
      <c r="A845" s="157"/>
      <c r="B845" s="158"/>
      <c r="C845" s="158"/>
      <c r="D845" s="160"/>
      <c r="E845" s="158"/>
      <c r="F845" s="157"/>
      <c r="G845" s="159"/>
    </row>
    <row r="846" spans="1:7">
      <c r="A846" s="157"/>
      <c r="B846" s="158"/>
      <c r="C846" s="158"/>
      <c r="D846" s="160"/>
      <c r="E846" s="158"/>
      <c r="F846" s="157"/>
      <c r="G846" s="159"/>
    </row>
    <row r="847" spans="1:7">
      <c r="A847" s="157"/>
      <c r="B847" s="158"/>
      <c r="C847" s="158"/>
      <c r="D847" s="160"/>
      <c r="E847" s="158"/>
      <c r="F847" s="157"/>
      <c r="G847" s="159"/>
    </row>
    <row r="848" spans="1:7">
      <c r="A848" s="157"/>
      <c r="B848" s="158"/>
      <c r="C848" s="158"/>
      <c r="D848" s="160"/>
      <c r="E848" s="158"/>
      <c r="F848" s="157"/>
      <c r="G848" s="159"/>
    </row>
    <row r="849" spans="1:7">
      <c r="A849" s="157"/>
      <c r="B849" s="158"/>
      <c r="C849" s="158"/>
      <c r="D849" s="160"/>
      <c r="E849" s="158"/>
      <c r="F849" s="157"/>
      <c r="G849" s="159"/>
    </row>
    <row r="850" spans="1:7">
      <c r="A850" s="157"/>
      <c r="B850" s="158"/>
      <c r="C850" s="158"/>
      <c r="D850" s="160"/>
      <c r="E850" s="158"/>
      <c r="F850" s="157"/>
      <c r="G850" s="159"/>
    </row>
    <row r="851" spans="1:7">
      <c r="A851" s="157"/>
      <c r="B851" s="158"/>
      <c r="C851" s="158"/>
      <c r="D851" s="160"/>
      <c r="E851" s="158"/>
      <c r="F851" s="157"/>
      <c r="G851" s="159"/>
    </row>
    <row r="852" spans="1:7">
      <c r="A852" s="157"/>
      <c r="B852" s="158"/>
      <c r="C852" s="158"/>
      <c r="D852" s="160"/>
      <c r="E852" s="158"/>
      <c r="F852" s="157"/>
      <c r="G852" s="159"/>
    </row>
    <row r="853" spans="1:7">
      <c r="A853" s="157"/>
      <c r="B853" s="158"/>
      <c r="C853" s="158"/>
      <c r="D853" s="160"/>
      <c r="E853" s="158"/>
      <c r="F853" s="157"/>
      <c r="G853" s="159"/>
    </row>
    <row r="854" spans="1:7">
      <c r="A854" s="157"/>
      <c r="B854" s="158"/>
      <c r="C854" s="158"/>
      <c r="D854" s="160"/>
      <c r="E854" s="158"/>
      <c r="F854" s="157"/>
      <c r="G854" s="159"/>
    </row>
    <row r="855" spans="1:7">
      <c r="A855" s="157"/>
      <c r="B855" s="158"/>
      <c r="C855" s="158"/>
      <c r="D855" s="160"/>
      <c r="E855" s="158"/>
      <c r="F855" s="157"/>
      <c r="G855" s="159"/>
    </row>
    <row r="856" spans="1:7">
      <c r="A856" s="157"/>
      <c r="B856" s="158"/>
      <c r="C856" s="158"/>
      <c r="D856" s="160"/>
      <c r="E856" s="158"/>
      <c r="F856" s="157"/>
      <c r="G856" s="159"/>
    </row>
    <row r="857" spans="1:7">
      <c r="A857" s="157"/>
      <c r="B857" s="158"/>
      <c r="C857" s="158"/>
      <c r="D857" s="160"/>
      <c r="E857" s="158"/>
      <c r="F857" s="157"/>
      <c r="G857" s="159"/>
    </row>
    <row r="858" spans="1:7">
      <c r="A858" s="157"/>
      <c r="B858" s="158"/>
      <c r="C858" s="158"/>
      <c r="D858" s="160"/>
      <c r="E858" s="158"/>
      <c r="F858" s="157"/>
      <c r="G858" s="159"/>
    </row>
    <row r="859" spans="1:7">
      <c r="A859" s="157"/>
      <c r="B859" s="158"/>
      <c r="C859" s="158"/>
      <c r="D859" s="160"/>
      <c r="E859" s="158"/>
      <c r="F859" s="157"/>
      <c r="G859" s="159"/>
    </row>
    <row r="860" spans="1:7">
      <c r="A860" s="157"/>
      <c r="B860" s="158"/>
      <c r="C860" s="158"/>
      <c r="D860" s="160"/>
      <c r="E860" s="158"/>
      <c r="F860" s="157"/>
      <c r="G860" s="159"/>
    </row>
    <row r="861" spans="1:7">
      <c r="A861" s="157"/>
      <c r="B861" s="158"/>
      <c r="C861" s="158"/>
      <c r="D861" s="160"/>
      <c r="E861" s="158"/>
      <c r="F861" s="157"/>
      <c r="G861" s="159"/>
    </row>
    <row r="862" spans="1:7">
      <c r="A862" s="157"/>
      <c r="B862" s="158"/>
      <c r="C862" s="158"/>
      <c r="D862" s="160"/>
      <c r="E862" s="158"/>
      <c r="F862" s="157"/>
      <c r="G862" s="159"/>
    </row>
    <row r="863" spans="1:7">
      <c r="A863" s="157"/>
      <c r="B863" s="158"/>
      <c r="C863" s="158"/>
      <c r="D863" s="160"/>
      <c r="E863" s="158"/>
      <c r="F863" s="157"/>
      <c r="G863" s="159"/>
    </row>
    <row r="864" spans="1:7">
      <c r="A864" s="157"/>
      <c r="B864" s="158"/>
      <c r="C864" s="158"/>
      <c r="D864" s="160"/>
      <c r="E864" s="158"/>
      <c r="F864" s="157"/>
      <c r="G864" s="159"/>
    </row>
    <row r="865" spans="1:7">
      <c r="A865" s="157"/>
      <c r="B865" s="158"/>
      <c r="C865" s="158"/>
      <c r="D865" s="160"/>
      <c r="E865" s="158"/>
      <c r="F865" s="157"/>
      <c r="G865" s="159"/>
    </row>
    <row r="866" spans="1:7">
      <c r="A866" s="157"/>
      <c r="B866" s="158"/>
      <c r="C866" s="158"/>
      <c r="D866" s="160"/>
      <c r="E866" s="158"/>
      <c r="F866" s="157"/>
      <c r="G866" s="159"/>
    </row>
    <row r="867" spans="1:7">
      <c r="A867" s="157"/>
      <c r="B867" s="158"/>
      <c r="C867" s="158"/>
      <c r="D867" s="160"/>
      <c r="E867" s="158"/>
      <c r="F867" s="157"/>
      <c r="G867" s="159"/>
    </row>
    <row r="868" spans="1:7">
      <c r="A868" s="157"/>
      <c r="B868" s="158"/>
      <c r="C868" s="158"/>
      <c r="D868" s="160"/>
      <c r="E868" s="158"/>
      <c r="F868" s="157"/>
      <c r="G868" s="159"/>
    </row>
    <row r="869" spans="1:7">
      <c r="A869" s="157"/>
      <c r="B869" s="158"/>
      <c r="C869" s="158"/>
      <c r="D869" s="160"/>
      <c r="E869" s="158"/>
      <c r="F869" s="157"/>
      <c r="G869" s="159"/>
    </row>
    <row r="870" spans="1:7">
      <c r="A870" s="157"/>
      <c r="B870" s="158"/>
      <c r="C870" s="158"/>
      <c r="D870" s="160"/>
      <c r="E870" s="158"/>
      <c r="F870" s="157"/>
      <c r="G870" s="159"/>
    </row>
    <row r="871" spans="1:7">
      <c r="A871" s="157"/>
      <c r="B871" s="158"/>
      <c r="C871" s="158"/>
      <c r="D871" s="160"/>
      <c r="E871" s="158"/>
      <c r="F871" s="157"/>
      <c r="G871" s="159"/>
    </row>
    <row r="872" spans="1:7">
      <c r="A872" s="157"/>
      <c r="B872" s="158"/>
      <c r="C872" s="158"/>
      <c r="D872" s="160"/>
      <c r="E872" s="158"/>
      <c r="F872" s="157"/>
      <c r="G872" s="159"/>
    </row>
    <row r="873" spans="1:7">
      <c r="A873" s="157"/>
      <c r="B873" s="158"/>
      <c r="C873" s="158"/>
      <c r="D873" s="160"/>
      <c r="E873" s="158"/>
      <c r="F873" s="157"/>
      <c r="G873" s="159"/>
    </row>
    <row r="874" spans="1:7">
      <c r="A874" s="157"/>
      <c r="B874" s="158"/>
      <c r="C874" s="158"/>
      <c r="D874" s="160"/>
      <c r="E874" s="158"/>
      <c r="F874" s="157"/>
      <c r="G874" s="159"/>
    </row>
    <row r="875" spans="1:7">
      <c r="A875" s="157"/>
      <c r="B875" s="158"/>
      <c r="C875" s="158"/>
      <c r="D875" s="160"/>
      <c r="E875" s="158"/>
      <c r="F875" s="157"/>
      <c r="G875" s="159"/>
    </row>
    <row r="876" spans="1:7">
      <c r="A876" s="157"/>
      <c r="B876" s="158"/>
      <c r="C876" s="158"/>
      <c r="D876" s="160"/>
      <c r="E876" s="158"/>
      <c r="F876" s="157"/>
      <c r="G876" s="159"/>
    </row>
    <row r="877" spans="1:7">
      <c r="A877" s="157"/>
      <c r="B877" s="158"/>
      <c r="C877" s="158"/>
      <c r="D877" s="160"/>
      <c r="E877" s="158"/>
      <c r="F877" s="157"/>
      <c r="G877" s="159"/>
    </row>
    <row r="878" spans="1:7">
      <c r="A878" s="157"/>
      <c r="B878" s="158"/>
      <c r="C878" s="158"/>
      <c r="D878" s="160"/>
      <c r="E878" s="158"/>
      <c r="F878" s="157"/>
      <c r="G878" s="159"/>
    </row>
    <row r="879" spans="1:7">
      <c r="A879" s="157"/>
      <c r="B879" s="158"/>
      <c r="C879" s="158"/>
      <c r="D879" s="160"/>
      <c r="E879" s="158"/>
      <c r="F879" s="157"/>
      <c r="G879" s="159"/>
    </row>
    <row r="880" spans="1:7">
      <c r="A880" s="157"/>
      <c r="B880" s="158"/>
      <c r="C880" s="158"/>
      <c r="D880" s="160"/>
      <c r="E880" s="158"/>
      <c r="F880" s="157"/>
      <c r="G880" s="159"/>
    </row>
    <row r="881" spans="1:7">
      <c r="A881" s="157"/>
      <c r="B881" s="158"/>
      <c r="C881" s="158"/>
      <c r="D881" s="160"/>
      <c r="E881" s="158"/>
      <c r="F881" s="157"/>
      <c r="G881" s="159"/>
    </row>
    <row r="882" spans="1:7">
      <c r="A882" s="157"/>
      <c r="B882" s="158"/>
      <c r="C882" s="158"/>
      <c r="D882" s="160"/>
      <c r="E882" s="158"/>
      <c r="F882" s="157"/>
      <c r="G882" s="159"/>
    </row>
    <row r="883" spans="1:7">
      <c r="A883" s="157"/>
      <c r="B883" s="158"/>
      <c r="C883" s="158"/>
      <c r="D883" s="160"/>
      <c r="E883" s="158"/>
      <c r="F883" s="157"/>
      <c r="G883" s="159"/>
    </row>
    <row r="884" spans="1:7">
      <c r="A884" s="157"/>
      <c r="B884" s="158"/>
      <c r="C884" s="158"/>
      <c r="D884" s="160"/>
      <c r="E884" s="158"/>
      <c r="F884" s="157"/>
      <c r="G884" s="159"/>
    </row>
    <row r="885" spans="1:7">
      <c r="A885" s="157"/>
      <c r="B885" s="158"/>
      <c r="C885" s="158"/>
      <c r="D885" s="160"/>
      <c r="E885" s="158"/>
      <c r="F885" s="157"/>
      <c r="G885" s="159"/>
    </row>
    <row r="886" spans="1:7">
      <c r="A886" s="157"/>
      <c r="B886" s="158"/>
      <c r="C886" s="158"/>
      <c r="D886" s="160"/>
      <c r="E886" s="158"/>
      <c r="F886" s="157"/>
      <c r="G886" s="159"/>
    </row>
    <row r="887" spans="1:7">
      <c r="A887" s="157"/>
      <c r="B887" s="158"/>
      <c r="C887" s="158"/>
      <c r="D887" s="160"/>
      <c r="E887" s="158"/>
      <c r="F887" s="157"/>
      <c r="G887" s="159"/>
    </row>
    <row r="888" spans="1:7">
      <c r="A888" s="157"/>
      <c r="B888" s="158"/>
      <c r="C888" s="158"/>
      <c r="D888" s="160"/>
      <c r="E888" s="158"/>
      <c r="F888" s="157"/>
      <c r="G888" s="159"/>
    </row>
    <row r="889" spans="1:7">
      <c r="A889" s="157"/>
      <c r="B889" s="158"/>
      <c r="C889" s="158"/>
      <c r="D889" s="160"/>
      <c r="E889" s="158"/>
      <c r="F889" s="157"/>
      <c r="G889" s="159"/>
    </row>
    <row r="890" spans="1:7">
      <c r="A890" s="157"/>
      <c r="B890" s="158"/>
      <c r="C890" s="158"/>
      <c r="D890" s="160"/>
      <c r="E890" s="158"/>
      <c r="F890" s="157"/>
      <c r="G890" s="159"/>
    </row>
    <row r="891" spans="1:7">
      <c r="A891" s="157"/>
      <c r="B891" s="158"/>
      <c r="C891" s="158"/>
      <c r="D891" s="160"/>
      <c r="E891" s="158"/>
      <c r="F891" s="157"/>
      <c r="G891" s="159"/>
    </row>
    <row r="892" spans="1:7">
      <c r="A892" s="157"/>
      <c r="B892" s="158"/>
      <c r="C892" s="158"/>
      <c r="D892" s="160"/>
      <c r="E892" s="158"/>
      <c r="F892" s="157"/>
      <c r="G892" s="159"/>
    </row>
    <row r="893" spans="1:7">
      <c r="A893" s="157"/>
      <c r="B893" s="158"/>
      <c r="C893" s="158"/>
      <c r="D893" s="160"/>
      <c r="E893" s="158"/>
      <c r="F893" s="157"/>
      <c r="G893" s="159"/>
    </row>
    <row r="894" spans="1:7">
      <c r="A894" s="157"/>
      <c r="B894" s="158"/>
      <c r="C894" s="158"/>
      <c r="D894" s="160"/>
      <c r="E894" s="158"/>
      <c r="F894" s="157"/>
      <c r="G894" s="159"/>
    </row>
    <row r="895" spans="1:7">
      <c r="A895" s="157"/>
      <c r="B895" s="158"/>
      <c r="C895" s="158"/>
      <c r="D895" s="160"/>
      <c r="E895" s="158"/>
      <c r="F895" s="157"/>
      <c r="G895" s="159"/>
    </row>
    <row r="896" spans="1:7">
      <c r="A896" s="157"/>
      <c r="B896" s="158"/>
      <c r="C896" s="158"/>
      <c r="D896" s="160"/>
      <c r="E896" s="158"/>
      <c r="F896" s="157"/>
      <c r="G896" s="159"/>
    </row>
    <row r="897" spans="1:7">
      <c r="A897" s="157"/>
      <c r="B897" s="158"/>
      <c r="C897" s="158"/>
      <c r="D897" s="160"/>
      <c r="E897" s="158"/>
      <c r="F897" s="157"/>
      <c r="G897" s="159"/>
    </row>
    <row r="898" spans="1:7">
      <c r="A898" s="157"/>
      <c r="B898" s="158"/>
      <c r="C898" s="158"/>
      <c r="D898" s="160"/>
      <c r="E898" s="158"/>
      <c r="F898" s="157"/>
      <c r="G898" s="159"/>
    </row>
    <row r="899" spans="1:7">
      <c r="A899" s="157"/>
      <c r="B899" s="158"/>
      <c r="C899" s="158"/>
      <c r="D899" s="160"/>
      <c r="E899" s="158"/>
      <c r="F899" s="157"/>
      <c r="G899" s="159"/>
    </row>
    <row r="900" spans="1:7">
      <c r="A900" s="157"/>
      <c r="B900" s="158"/>
      <c r="C900" s="158"/>
      <c r="D900" s="160"/>
      <c r="E900" s="158"/>
      <c r="F900" s="157"/>
      <c r="G900" s="159"/>
    </row>
    <row r="901" spans="1:7">
      <c r="A901" s="157"/>
      <c r="B901" s="158"/>
      <c r="C901" s="158"/>
      <c r="D901" s="160"/>
      <c r="E901" s="158"/>
      <c r="F901" s="157"/>
      <c r="G901" s="159"/>
    </row>
    <row r="902" spans="1:7">
      <c r="A902" s="157"/>
      <c r="B902" s="158"/>
      <c r="C902" s="158"/>
      <c r="D902" s="160"/>
      <c r="E902" s="158"/>
      <c r="F902" s="157"/>
      <c r="G902" s="159"/>
    </row>
    <row r="903" spans="1:7">
      <c r="A903" s="157"/>
      <c r="B903" s="158"/>
      <c r="C903" s="158"/>
      <c r="D903" s="160"/>
      <c r="E903" s="158"/>
      <c r="F903" s="157"/>
      <c r="G903" s="159"/>
    </row>
    <row r="904" spans="1:7">
      <c r="A904" s="157"/>
      <c r="B904" s="158"/>
      <c r="C904" s="158"/>
      <c r="D904" s="160"/>
      <c r="E904" s="158"/>
      <c r="F904" s="157"/>
      <c r="G904" s="159"/>
    </row>
    <row r="905" spans="1:7">
      <c r="A905" s="157"/>
      <c r="B905" s="158"/>
      <c r="C905" s="158"/>
      <c r="D905" s="160"/>
      <c r="E905" s="158"/>
      <c r="F905" s="157"/>
      <c r="G905" s="159"/>
    </row>
    <row r="906" spans="1:7">
      <c r="A906" s="157"/>
      <c r="B906" s="158"/>
      <c r="C906" s="158"/>
      <c r="D906" s="160"/>
      <c r="E906" s="158"/>
      <c r="F906" s="157"/>
      <c r="G906" s="159"/>
    </row>
    <row r="907" spans="1:7">
      <c r="A907" s="157"/>
      <c r="B907" s="158"/>
      <c r="C907" s="158"/>
      <c r="D907" s="160"/>
      <c r="E907" s="158"/>
      <c r="F907" s="157"/>
      <c r="G907" s="159"/>
    </row>
    <row r="908" spans="1:7">
      <c r="A908" s="157"/>
      <c r="B908" s="158"/>
      <c r="C908" s="158"/>
      <c r="D908" s="160"/>
      <c r="E908" s="158"/>
      <c r="F908" s="157"/>
      <c r="G908" s="159"/>
    </row>
    <row r="909" spans="1:7">
      <c r="A909" s="157"/>
      <c r="B909" s="158"/>
      <c r="C909" s="158"/>
      <c r="D909" s="160"/>
      <c r="E909" s="158"/>
      <c r="F909" s="157"/>
      <c r="G909" s="159"/>
    </row>
    <row r="910" spans="1:7">
      <c r="A910" s="157"/>
      <c r="B910" s="158"/>
      <c r="C910" s="158"/>
      <c r="D910" s="160"/>
      <c r="E910" s="158"/>
      <c r="F910" s="157"/>
      <c r="G910" s="159"/>
    </row>
    <row r="911" spans="1:7">
      <c r="A911" s="157"/>
      <c r="B911" s="158"/>
      <c r="C911" s="158"/>
      <c r="D911" s="160"/>
      <c r="E911" s="158"/>
      <c r="F911" s="157"/>
      <c r="G911" s="159"/>
    </row>
    <row r="912" spans="1:7">
      <c r="A912" s="157"/>
      <c r="B912" s="158"/>
      <c r="C912" s="158"/>
      <c r="D912" s="160"/>
      <c r="E912" s="158"/>
      <c r="F912" s="157"/>
      <c r="G912" s="159"/>
    </row>
    <row r="913" spans="1:7">
      <c r="A913" s="157"/>
      <c r="B913" s="158"/>
      <c r="C913" s="158"/>
      <c r="D913" s="160"/>
      <c r="E913" s="158"/>
      <c r="F913" s="157"/>
      <c r="G913" s="159"/>
    </row>
    <row r="914" spans="1:7">
      <c r="A914" s="157"/>
      <c r="B914" s="158"/>
      <c r="C914" s="158"/>
      <c r="D914" s="160"/>
      <c r="E914" s="158"/>
      <c r="F914" s="157"/>
      <c r="G914" s="159"/>
    </row>
    <row r="915" spans="1:7">
      <c r="A915" s="157"/>
      <c r="B915" s="158"/>
      <c r="C915" s="158"/>
      <c r="D915" s="160"/>
      <c r="E915" s="158"/>
      <c r="F915" s="157"/>
      <c r="G915" s="159"/>
    </row>
    <row r="916" spans="1:7">
      <c r="A916" s="157"/>
      <c r="B916" s="158"/>
      <c r="C916" s="158"/>
      <c r="D916" s="160"/>
      <c r="E916" s="158"/>
      <c r="F916" s="157"/>
      <c r="G916" s="159"/>
    </row>
    <row r="917" spans="1:7">
      <c r="A917" s="157"/>
      <c r="B917" s="158"/>
      <c r="C917" s="158"/>
      <c r="D917" s="160"/>
      <c r="E917" s="158"/>
      <c r="F917" s="157"/>
      <c r="G917" s="159"/>
    </row>
    <row r="918" spans="1:7">
      <c r="A918" s="157"/>
      <c r="B918" s="158"/>
      <c r="C918" s="158"/>
      <c r="D918" s="160"/>
      <c r="E918" s="158"/>
      <c r="F918" s="157"/>
      <c r="G918" s="159"/>
    </row>
    <row r="919" spans="1:7">
      <c r="A919" s="157"/>
      <c r="B919" s="158"/>
      <c r="C919" s="158"/>
      <c r="D919" s="160"/>
      <c r="E919" s="158"/>
      <c r="F919" s="157"/>
      <c r="G919" s="159"/>
    </row>
    <row r="920" spans="1:7">
      <c r="A920" s="157"/>
      <c r="B920" s="158"/>
      <c r="C920" s="158"/>
      <c r="D920" s="160"/>
      <c r="E920" s="158"/>
      <c r="F920" s="157"/>
      <c r="G920" s="159"/>
    </row>
    <row r="921" spans="1:7">
      <c r="A921" s="157"/>
      <c r="B921" s="158"/>
      <c r="C921" s="158"/>
      <c r="D921" s="160"/>
      <c r="E921" s="158"/>
      <c r="F921" s="157"/>
      <c r="G921" s="159"/>
    </row>
    <row r="922" spans="1:7">
      <c r="A922" s="157"/>
      <c r="B922" s="158"/>
      <c r="C922" s="158"/>
      <c r="D922" s="160"/>
      <c r="E922" s="158"/>
      <c r="F922" s="157"/>
      <c r="G922" s="159"/>
    </row>
    <row r="923" spans="1:7">
      <c r="A923" s="157"/>
      <c r="B923" s="158"/>
      <c r="C923" s="158"/>
      <c r="D923" s="160"/>
      <c r="E923" s="158"/>
      <c r="F923" s="157"/>
      <c r="G923" s="159"/>
    </row>
    <row r="924" spans="1:7">
      <c r="A924" s="157"/>
      <c r="B924" s="158"/>
      <c r="C924" s="158"/>
      <c r="D924" s="160"/>
      <c r="E924" s="158"/>
      <c r="F924" s="157"/>
      <c r="G924" s="159"/>
    </row>
    <row r="925" spans="1:7">
      <c r="A925" s="157"/>
      <c r="B925" s="158"/>
      <c r="C925" s="158"/>
      <c r="D925" s="160"/>
      <c r="E925" s="158"/>
      <c r="F925" s="157"/>
      <c r="G925" s="159"/>
    </row>
    <row r="926" spans="1:7">
      <c r="A926" s="157"/>
      <c r="B926" s="158"/>
      <c r="C926" s="158"/>
      <c r="D926" s="160"/>
      <c r="E926" s="158"/>
      <c r="F926" s="157"/>
      <c r="G926" s="159"/>
    </row>
    <row r="927" spans="1:7">
      <c r="A927" s="157"/>
      <c r="B927" s="158"/>
      <c r="C927" s="158"/>
      <c r="D927" s="160"/>
      <c r="E927" s="158"/>
      <c r="F927" s="157"/>
      <c r="G927" s="159"/>
    </row>
    <row r="928" spans="1:7">
      <c r="A928" s="157"/>
      <c r="B928" s="158"/>
      <c r="C928" s="158"/>
      <c r="D928" s="160"/>
      <c r="E928" s="158"/>
      <c r="F928" s="157"/>
      <c r="G928" s="159"/>
    </row>
    <row r="929" spans="1:7">
      <c r="A929" s="157"/>
      <c r="B929" s="158"/>
      <c r="C929" s="158"/>
      <c r="D929" s="160"/>
      <c r="E929" s="158"/>
      <c r="F929" s="157"/>
      <c r="G929" s="159"/>
    </row>
    <row r="930" spans="1:7">
      <c r="A930" s="157"/>
      <c r="B930" s="158"/>
      <c r="C930" s="158"/>
      <c r="D930" s="160"/>
      <c r="E930" s="158"/>
      <c r="F930" s="157"/>
      <c r="G930" s="159"/>
    </row>
    <row r="931" spans="1:7">
      <c r="A931" s="157"/>
      <c r="B931" s="158"/>
      <c r="C931" s="158"/>
      <c r="D931" s="160"/>
      <c r="E931" s="158"/>
      <c r="F931" s="157"/>
      <c r="G931" s="159"/>
    </row>
    <row r="932" spans="1:7">
      <c r="A932" s="157"/>
      <c r="B932" s="158"/>
      <c r="C932" s="158"/>
      <c r="D932" s="160"/>
      <c r="E932" s="158"/>
      <c r="F932" s="157"/>
      <c r="G932" s="159"/>
    </row>
    <row r="933" spans="1:7">
      <c r="A933" s="157"/>
      <c r="B933" s="158"/>
      <c r="C933" s="158"/>
      <c r="D933" s="160"/>
      <c r="E933" s="158"/>
      <c r="F933" s="157"/>
      <c r="G933" s="159"/>
    </row>
    <row r="934" spans="1:7">
      <c r="A934" s="157"/>
      <c r="B934" s="158"/>
      <c r="C934" s="158"/>
      <c r="D934" s="160"/>
      <c r="E934" s="158"/>
      <c r="F934" s="157"/>
      <c r="G934" s="159"/>
    </row>
    <row r="935" spans="1:7">
      <c r="A935" s="157"/>
      <c r="B935" s="158"/>
      <c r="C935" s="158"/>
      <c r="D935" s="160"/>
      <c r="E935" s="158"/>
      <c r="F935" s="157"/>
      <c r="G935" s="159"/>
    </row>
    <row r="936" spans="1:7">
      <c r="A936" s="157"/>
      <c r="B936" s="158"/>
      <c r="C936" s="158"/>
      <c r="D936" s="160"/>
      <c r="E936" s="158"/>
      <c r="F936" s="157"/>
      <c r="G936" s="159"/>
    </row>
    <row r="937" spans="1:7">
      <c r="A937" s="157"/>
      <c r="B937" s="158"/>
      <c r="C937" s="158"/>
      <c r="D937" s="160"/>
      <c r="E937" s="158"/>
      <c r="F937" s="157"/>
      <c r="G937" s="159"/>
    </row>
    <row r="938" spans="1:7">
      <c r="A938" s="157"/>
      <c r="B938" s="158"/>
      <c r="C938" s="158"/>
      <c r="D938" s="160"/>
      <c r="E938" s="158"/>
      <c r="F938" s="157"/>
      <c r="G938" s="159"/>
    </row>
    <row r="939" spans="1:7">
      <c r="A939" s="157"/>
      <c r="B939" s="158"/>
      <c r="C939" s="158"/>
      <c r="D939" s="160"/>
      <c r="E939" s="158"/>
      <c r="F939" s="157"/>
      <c r="G939" s="159"/>
    </row>
    <row r="940" spans="1:7">
      <c r="A940" s="157"/>
      <c r="B940" s="158"/>
      <c r="C940" s="158"/>
      <c r="D940" s="160"/>
      <c r="E940" s="158"/>
      <c r="F940" s="157"/>
      <c r="G940" s="159"/>
    </row>
    <row r="941" spans="1:7">
      <c r="A941" s="157"/>
      <c r="B941" s="158"/>
      <c r="C941" s="158"/>
      <c r="D941" s="160"/>
      <c r="E941" s="158"/>
      <c r="F941" s="157"/>
      <c r="G941" s="159"/>
    </row>
    <row r="942" spans="1:7">
      <c r="A942" s="157"/>
      <c r="B942" s="158"/>
      <c r="C942" s="158"/>
      <c r="D942" s="160"/>
      <c r="E942" s="158"/>
      <c r="F942" s="157"/>
      <c r="G942" s="159"/>
    </row>
    <row r="943" spans="1:7">
      <c r="A943" s="157"/>
      <c r="B943" s="158"/>
      <c r="C943" s="158"/>
      <c r="D943" s="160"/>
      <c r="E943" s="158"/>
      <c r="F943" s="157"/>
      <c r="G943" s="159"/>
    </row>
    <row r="944" spans="1:7">
      <c r="A944" s="157"/>
      <c r="B944" s="158"/>
      <c r="C944" s="158"/>
      <c r="D944" s="160"/>
      <c r="E944" s="158"/>
      <c r="F944" s="157"/>
      <c r="G944" s="159"/>
    </row>
    <row r="945" spans="1:7">
      <c r="A945" s="157"/>
      <c r="B945" s="158"/>
      <c r="C945" s="158"/>
      <c r="D945" s="160"/>
      <c r="E945" s="158"/>
      <c r="F945" s="157"/>
      <c r="G945" s="159"/>
    </row>
    <row r="946" spans="1:7">
      <c r="A946" s="157"/>
      <c r="B946" s="158"/>
      <c r="C946" s="158"/>
      <c r="D946" s="160"/>
      <c r="E946" s="158"/>
      <c r="F946" s="157"/>
      <c r="G946" s="159"/>
    </row>
    <row r="947" spans="1:7">
      <c r="A947" s="157"/>
      <c r="B947" s="158"/>
      <c r="C947" s="158"/>
      <c r="D947" s="160"/>
      <c r="E947" s="158"/>
      <c r="F947" s="157"/>
      <c r="G947" s="159"/>
    </row>
    <row r="948" spans="1:7">
      <c r="A948" s="157"/>
      <c r="B948" s="158"/>
      <c r="C948" s="158"/>
      <c r="D948" s="160"/>
      <c r="E948" s="158"/>
      <c r="F948" s="157"/>
      <c r="G948" s="159"/>
    </row>
    <row r="949" spans="1:7">
      <c r="A949" s="157"/>
      <c r="B949" s="158"/>
      <c r="C949" s="158"/>
      <c r="D949" s="160"/>
      <c r="E949" s="158"/>
      <c r="F949" s="157"/>
      <c r="G949" s="159"/>
    </row>
    <row r="950" spans="1:7">
      <c r="A950" s="157"/>
      <c r="B950" s="158"/>
      <c r="C950" s="158"/>
      <c r="D950" s="160"/>
      <c r="E950" s="158"/>
      <c r="F950" s="157"/>
      <c r="G950" s="159"/>
    </row>
    <row r="951" spans="1:7">
      <c r="A951" s="157"/>
      <c r="B951" s="158"/>
      <c r="C951" s="158"/>
      <c r="D951" s="160"/>
      <c r="E951" s="158"/>
      <c r="F951" s="157"/>
      <c r="G951" s="159"/>
    </row>
    <row r="952" spans="1:7">
      <c r="A952" s="157"/>
      <c r="B952" s="158"/>
      <c r="C952" s="158"/>
      <c r="D952" s="160"/>
      <c r="E952" s="158"/>
      <c r="F952" s="157"/>
      <c r="G952" s="159"/>
    </row>
    <row r="953" spans="1:7">
      <c r="A953" s="157"/>
      <c r="B953" s="158"/>
      <c r="C953" s="158"/>
      <c r="D953" s="160"/>
      <c r="E953" s="158"/>
      <c r="F953" s="157"/>
      <c r="G953" s="159"/>
    </row>
    <row r="954" spans="1:7">
      <c r="A954" s="157"/>
      <c r="B954" s="158"/>
      <c r="C954" s="158"/>
      <c r="D954" s="160"/>
      <c r="E954" s="158"/>
      <c r="F954" s="157"/>
      <c r="G954" s="159"/>
    </row>
    <row r="955" spans="1:7">
      <c r="A955" s="157"/>
      <c r="B955" s="158"/>
      <c r="C955" s="158"/>
      <c r="D955" s="160"/>
      <c r="E955" s="158"/>
      <c r="F955" s="157"/>
      <c r="G955" s="159"/>
    </row>
    <row r="956" spans="1:7">
      <c r="A956" s="157"/>
      <c r="B956" s="158"/>
      <c r="C956" s="158"/>
      <c r="D956" s="160"/>
      <c r="E956" s="158"/>
      <c r="F956" s="157"/>
      <c r="G956" s="159"/>
    </row>
    <row r="957" spans="1:7">
      <c r="A957" s="157"/>
      <c r="B957" s="158"/>
      <c r="C957" s="158"/>
      <c r="D957" s="160"/>
      <c r="E957" s="158"/>
      <c r="F957" s="157"/>
      <c r="G957" s="159"/>
    </row>
    <row r="958" spans="1:7">
      <c r="A958" s="157"/>
      <c r="B958" s="158"/>
      <c r="C958" s="158"/>
      <c r="D958" s="160"/>
      <c r="E958" s="158"/>
      <c r="F958" s="157"/>
      <c r="G958" s="159"/>
    </row>
    <row r="959" spans="1:7">
      <c r="A959" s="157"/>
      <c r="B959" s="158"/>
      <c r="C959" s="158"/>
      <c r="D959" s="160"/>
      <c r="E959" s="158"/>
      <c r="F959" s="157"/>
      <c r="G959" s="159"/>
    </row>
    <row r="960" spans="1:7">
      <c r="A960" s="157"/>
      <c r="B960" s="158"/>
      <c r="C960" s="158"/>
      <c r="D960" s="160"/>
      <c r="E960" s="158"/>
      <c r="F960" s="157"/>
      <c r="G960" s="159"/>
    </row>
    <row r="961" spans="1:7">
      <c r="A961" s="157"/>
      <c r="B961" s="158"/>
      <c r="C961" s="158"/>
      <c r="D961" s="160"/>
      <c r="E961" s="158"/>
      <c r="F961" s="157"/>
      <c r="G961" s="159"/>
    </row>
    <row r="962" spans="1:7">
      <c r="A962" s="157"/>
      <c r="B962" s="158"/>
      <c r="C962" s="158"/>
      <c r="D962" s="160"/>
      <c r="E962" s="158"/>
      <c r="F962" s="157"/>
      <c r="G962" s="159"/>
    </row>
    <row r="963" spans="1:7">
      <c r="A963" s="157"/>
      <c r="B963" s="158"/>
      <c r="C963" s="158"/>
      <c r="D963" s="160"/>
      <c r="E963" s="158"/>
      <c r="F963" s="157"/>
      <c r="G963" s="159"/>
    </row>
    <row r="964" spans="1:7">
      <c r="A964" s="157"/>
      <c r="B964" s="158"/>
      <c r="C964" s="158"/>
      <c r="D964" s="160"/>
      <c r="E964" s="158"/>
      <c r="F964" s="157"/>
      <c r="G964" s="159"/>
    </row>
    <row r="965" spans="1:7">
      <c r="A965" s="157"/>
      <c r="B965" s="158"/>
      <c r="C965" s="158"/>
      <c r="D965" s="160"/>
      <c r="E965" s="158"/>
      <c r="F965" s="157"/>
      <c r="G965" s="159"/>
    </row>
    <row r="966" spans="1:7">
      <c r="A966" s="157"/>
      <c r="B966" s="158"/>
      <c r="C966" s="158"/>
      <c r="D966" s="160"/>
      <c r="E966" s="158"/>
      <c r="F966" s="157"/>
      <c r="G966" s="159"/>
    </row>
    <row r="967" spans="1:7">
      <c r="A967" s="157"/>
      <c r="B967" s="158"/>
      <c r="C967" s="158"/>
      <c r="D967" s="160"/>
      <c r="E967" s="158"/>
      <c r="F967" s="157"/>
      <c r="G967" s="159"/>
    </row>
    <row r="968" spans="1:7">
      <c r="A968" s="157"/>
      <c r="B968" s="158"/>
      <c r="C968" s="158"/>
      <c r="D968" s="160"/>
      <c r="E968" s="158"/>
      <c r="F968" s="157"/>
      <c r="G968" s="159"/>
    </row>
    <row r="969" spans="1:7">
      <c r="A969" s="157"/>
      <c r="B969" s="158"/>
      <c r="C969" s="158"/>
      <c r="D969" s="160"/>
      <c r="E969" s="158"/>
      <c r="F969" s="157"/>
      <c r="G969" s="159"/>
    </row>
    <row r="970" spans="1:7">
      <c r="A970" s="157"/>
      <c r="B970" s="158"/>
      <c r="C970" s="158"/>
      <c r="D970" s="160"/>
      <c r="E970" s="158"/>
      <c r="F970" s="157"/>
      <c r="G970" s="159"/>
    </row>
    <row r="971" spans="1:7">
      <c r="A971" s="157"/>
      <c r="B971" s="158"/>
      <c r="C971" s="158"/>
      <c r="D971" s="160"/>
      <c r="E971" s="158"/>
      <c r="F971" s="157"/>
      <c r="G971" s="159"/>
    </row>
    <row r="972" spans="1:7">
      <c r="A972" s="157"/>
      <c r="B972" s="158"/>
      <c r="C972" s="158"/>
      <c r="D972" s="160"/>
      <c r="E972" s="158"/>
      <c r="F972" s="157"/>
      <c r="G972" s="159"/>
    </row>
    <row r="973" spans="1:7">
      <c r="A973" s="157"/>
      <c r="B973" s="158"/>
      <c r="C973" s="158"/>
      <c r="D973" s="160"/>
      <c r="E973" s="158"/>
      <c r="F973" s="157"/>
      <c r="G973" s="159"/>
    </row>
    <row r="974" spans="1:7">
      <c r="A974" s="157"/>
      <c r="B974" s="158"/>
      <c r="C974" s="158"/>
      <c r="D974" s="160"/>
      <c r="E974" s="158"/>
      <c r="F974" s="157"/>
      <c r="G974" s="159"/>
    </row>
    <row r="975" spans="1:7">
      <c r="A975" s="157"/>
      <c r="B975" s="158"/>
      <c r="C975" s="158"/>
      <c r="D975" s="160"/>
      <c r="E975" s="158"/>
      <c r="F975" s="157"/>
      <c r="G975" s="159"/>
    </row>
    <row r="976" spans="1:7">
      <c r="A976" s="157"/>
      <c r="B976" s="158"/>
      <c r="C976" s="158"/>
      <c r="D976" s="160"/>
      <c r="E976" s="158"/>
      <c r="F976" s="157"/>
      <c r="G976" s="159"/>
    </row>
    <row r="977" spans="1:7">
      <c r="A977" s="157"/>
      <c r="B977" s="158"/>
      <c r="C977" s="158"/>
      <c r="D977" s="160"/>
      <c r="E977" s="158"/>
      <c r="F977" s="157"/>
      <c r="G977" s="159"/>
    </row>
    <row r="978" spans="1:7">
      <c r="A978" s="157"/>
      <c r="B978" s="158"/>
      <c r="C978" s="158"/>
      <c r="D978" s="160"/>
      <c r="E978" s="158"/>
      <c r="F978" s="157"/>
      <c r="G978" s="159"/>
    </row>
    <row r="979" spans="1:7">
      <c r="A979" s="157"/>
      <c r="B979" s="158"/>
      <c r="C979" s="158"/>
      <c r="D979" s="160"/>
      <c r="E979" s="158"/>
      <c r="F979" s="157"/>
      <c r="G979" s="159"/>
    </row>
    <row r="980" spans="1:7">
      <c r="A980" s="157"/>
      <c r="B980" s="158"/>
      <c r="C980" s="158"/>
      <c r="D980" s="160"/>
      <c r="E980" s="158"/>
      <c r="F980" s="157"/>
      <c r="G980" s="159"/>
    </row>
    <row r="981" spans="1:7">
      <c r="A981" s="157"/>
      <c r="B981" s="158"/>
      <c r="C981" s="158"/>
      <c r="D981" s="160"/>
      <c r="E981" s="158"/>
      <c r="F981" s="157"/>
      <c r="G981" s="159"/>
    </row>
    <row r="982" spans="1:7">
      <c r="A982" s="157"/>
      <c r="B982" s="158"/>
      <c r="C982" s="158"/>
      <c r="D982" s="160"/>
      <c r="E982" s="158"/>
      <c r="F982" s="157"/>
      <c r="G982" s="159"/>
    </row>
    <row r="983" spans="1:7">
      <c r="A983" s="157"/>
      <c r="B983" s="158"/>
      <c r="C983" s="158"/>
      <c r="D983" s="160"/>
      <c r="E983" s="158"/>
      <c r="F983" s="157"/>
      <c r="G983" s="159"/>
    </row>
    <row r="984" spans="1:7">
      <c r="A984" s="157"/>
      <c r="B984" s="158"/>
      <c r="C984" s="158"/>
      <c r="D984" s="160"/>
      <c r="E984" s="158"/>
      <c r="F984" s="157"/>
      <c r="G984" s="159"/>
    </row>
    <row r="985" spans="1:7">
      <c r="A985" s="157"/>
      <c r="B985" s="158"/>
      <c r="C985" s="158"/>
      <c r="D985" s="160"/>
      <c r="E985" s="158"/>
      <c r="F985" s="157"/>
      <c r="G985" s="159"/>
    </row>
    <row r="986" spans="1:7">
      <c r="A986" s="157"/>
      <c r="B986" s="158"/>
      <c r="C986" s="158"/>
      <c r="D986" s="160"/>
      <c r="E986" s="158"/>
      <c r="F986" s="157"/>
      <c r="G986" s="159"/>
    </row>
    <row r="987" spans="1:7">
      <c r="A987" s="157"/>
      <c r="B987" s="158"/>
      <c r="C987" s="158"/>
      <c r="D987" s="160"/>
      <c r="E987" s="158"/>
      <c r="F987" s="157"/>
      <c r="G987" s="159"/>
    </row>
    <row r="988" spans="1:7">
      <c r="A988" s="157"/>
      <c r="B988" s="158"/>
      <c r="C988" s="158"/>
      <c r="D988" s="160"/>
      <c r="E988" s="158"/>
      <c r="F988" s="157"/>
      <c r="G988" s="159"/>
    </row>
    <row r="989" spans="1:7">
      <c r="A989" s="157"/>
      <c r="B989" s="158"/>
      <c r="C989" s="158"/>
      <c r="D989" s="160"/>
      <c r="E989" s="158"/>
      <c r="F989" s="157"/>
      <c r="G989" s="159"/>
    </row>
    <row r="990" spans="1:7">
      <c r="A990" s="157"/>
      <c r="B990" s="158"/>
      <c r="C990" s="158"/>
      <c r="D990" s="160"/>
      <c r="E990" s="158"/>
      <c r="F990" s="157"/>
      <c r="G990" s="159"/>
    </row>
    <row r="991" spans="1:7">
      <c r="A991" s="157"/>
      <c r="B991" s="158"/>
      <c r="C991" s="158"/>
      <c r="D991" s="160"/>
      <c r="E991" s="158"/>
      <c r="F991" s="157"/>
      <c r="G991" s="159"/>
    </row>
    <row r="992" spans="1:7">
      <c r="A992" s="157"/>
      <c r="B992" s="158"/>
      <c r="C992" s="158"/>
      <c r="D992" s="160"/>
      <c r="E992" s="158"/>
      <c r="F992" s="157"/>
      <c r="G992" s="159"/>
    </row>
    <row r="993" spans="1:7">
      <c r="A993" s="157"/>
      <c r="B993" s="158"/>
      <c r="C993" s="158"/>
      <c r="D993" s="160"/>
      <c r="E993" s="158"/>
      <c r="F993" s="157"/>
      <c r="G993" s="159"/>
    </row>
    <row r="994" spans="1:7">
      <c r="A994" s="157"/>
      <c r="B994" s="158"/>
      <c r="C994" s="158"/>
      <c r="D994" s="160"/>
      <c r="E994" s="158"/>
      <c r="F994" s="157"/>
      <c r="G994" s="159"/>
    </row>
    <row r="995" spans="1:7">
      <c r="A995" s="157"/>
      <c r="B995" s="158"/>
      <c r="C995" s="158"/>
      <c r="D995" s="160"/>
      <c r="E995" s="158"/>
      <c r="F995" s="157"/>
      <c r="G995" s="159"/>
    </row>
    <row r="996" spans="1:7">
      <c r="A996" s="157"/>
      <c r="B996" s="158"/>
      <c r="C996" s="158"/>
      <c r="D996" s="160"/>
      <c r="E996" s="158"/>
      <c r="F996" s="157"/>
      <c r="G996" s="159"/>
    </row>
    <row r="997" spans="1:7">
      <c r="A997" s="157"/>
      <c r="B997" s="158"/>
      <c r="C997" s="158"/>
      <c r="D997" s="160"/>
      <c r="E997" s="158"/>
      <c r="F997" s="157"/>
      <c r="G997" s="159"/>
    </row>
    <row r="998" spans="1:7">
      <c r="A998" s="157"/>
      <c r="B998" s="158"/>
      <c r="C998" s="158"/>
      <c r="D998" s="160"/>
      <c r="E998" s="158"/>
      <c r="F998" s="157"/>
      <c r="G998" s="159"/>
    </row>
    <row r="999" spans="1:7">
      <c r="A999" s="157"/>
      <c r="B999" s="158"/>
      <c r="C999" s="158"/>
      <c r="D999" s="160"/>
      <c r="E999" s="158"/>
      <c r="F999" s="157"/>
      <c r="G999" s="159"/>
    </row>
    <row r="1000" spans="1:7">
      <c r="A1000" s="157"/>
      <c r="B1000" s="158"/>
      <c r="C1000" s="158"/>
      <c r="D1000" s="160"/>
      <c r="E1000" s="158"/>
      <c r="F1000" s="157"/>
      <c r="G1000" s="159"/>
    </row>
    <row r="1001" spans="1:7">
      <c r="A1001" s="157"/>
      <c r="B1001" s="158"/>
      <c r="C1001" s="158"/>
      <c r="D1001" s="160"/>
      <c r="E1001" s="158"/>
      <c r="F1001" s="157"/>
      <c r="G1001" s="159"/>
    </row>
    <row r="1002" spans="1:7">
      <c r="A1002" s="157"/>
      <c r="B1002" s="158"/>
      <c r="C1002" s="158"/>
      <c r="D1002" s="160"/>
      <c r="E1002" s="158"/>
      <c r="F1002" s="157"/>
      <c r="G1002" s="159"/>
    </row>
    <row r="1003" spans="1:7">
      <c r="A1003" s="157"/>
      <c r="B1003" s="158"/>
      <c r="C1003" s="158"/>
      <c r="D1003" s="160"/>
      <c r="E1003" s="158"/>
      <c r="F1003" s="157"/>
      <c r="G1003" s="159"/>
    </row>
    <row r="1004" spans="1:7">
      <c r="A1004" s="157"/>
      <c r="B1004" s="158"/>
      <c r="C1004" s="158"/>
      <c r="D1004" s="160"/>
      <c r="E1004" s="158"/>
      <c r="F1004" s="157"/>
      <c r="G1004" s="159"/>
    </row>
    <row r="1005" spans="1:7">
      <c r="A1005" s="157"/>
      <c r="B1005" s="158"/>
      <c r="C1005" s="158"/>
      <c r="D1005" s="160"/>
      <c r="E1005" s="158"/>
      <c r="F1005" s="157"/>
      <c r="G1005" s="159"/>
    </row>
    <row r="1006" spans="1:7">
      <c r="A1006" s="157"/>
      <c r="B1006" s="158"/>
      <c r="C1006" s="158"/>
      <c r="D1006" s="160"/>
      <c r="E1006" s="158"/>
      <c r="F1006" s="157"/>
      <c r="G1006" s="159"/>
    </row>
    <row r="1007" spans="1:7">
      <c r="A1007" s="157"/>
      <c r="B1007" s="158"/>
      <c r="C1007" s="158"/>
      <c r="D1007" s="160"/>
      <c r="E1007" s="158"/>
      <c r="F1007" s="157"/>
      <c r="G1007" s="159"/>
    </row>
    <row r="1008" spans="1:7">
      <c r="A1008" s="157"/>
      <c r="B1008" s="158"/>
      <c r="C1008" s="158"/>
      <c r="D1008" s="160"/>
      <c r="E1008" s="158"/>
      <c r="F1008" s="157"/>
      <c r="G1008" s="159"/>
    </row>
    <row r="1009" spans="1:7">
      <c r="A1009" s="157"/>
      <c r="B1009" s="158"/>
      <c r="C1009" s="158"/>
      <c r="D1009" s="160"/>
      <c r="E1009" s="158"/>
      <c r="F1009" s="157"/>
      <c r="G1009" s="159"/>
    </row>
    <row r="1010" spans="1:7">
      <c r="A1010" s="157"/>
      <c r="B1010" s="158"/>
      <c r="C1010" s="158"/>
      <c r="D1010" s="160"/>
      <c r="E1010" s="158"/>
      <c r="F1010" s="157"/>
      <c r="G1010" s="159"/>
    </row>
    <row r="1011" spans="1:7">
      <c r="A1011" s="157"/>
      <c r="B1011" s="158"/>
      <c r="C1011" s="158"/>
      <c r="D1011" s="160"/>
      <c r="E1011" s="158"/>
      <c r="F1011" s="157"/>
      <c r="G1011" s="159"/>
    </row>
    <row r="1012" spans="1:7">
      <c r="A1012" s="157"/>
      <c r="B1012" s="158"/>
      <c r="C1012" s="158"/>
      <c r="D1012" s="160"/>
      <c r="E1012" s="158"/>
      <c r="F1012" s="157"/>
      <c r="G1012" s="159"/>
    </row>
    <row r="1013" spans="1:7">
      <c r="A1013" s="157"/>
      <c r="B1013" s="158"/>
      <c r="C1013" s="158"/>
      <c r="D1013" s="160"/>
      <c r="E1013" s="158"/>
      <c r="F1013" s="157"/>
      <c r="G1013" s="159"/>
    </row>
    <row r="1014" spans="1:7">
      <c r="A1014" s="157"/>
      <c r="B1014" s="158"/>
      <c r="C1014" s="158"/>
      <c r="D1014" s="160"/>
      <c r="E1014" s="158"/>
      <c r="F1014" s="157"/>
      <c r="G1014" s="159"/>
    </row>
    <row r="1015" spans="1:7">
      <c r="A1015" s="157"/>
      <c r="B1015" s="158"/>
      <c r="C1015" s="158"/>
      <c r="D1015" s="160"/>
      <c r="E1015" s="158"/>
      <c r="F1015" s="157"/>
      <c r="G1015" s="159"/>
    </row>
    <row r="1016" spans="1:7">
      <c r="A1016" s="157"/>
      <c r="B1016" s="158"/>
      <c r="C1016" s="158"/>
      <c r="D1016" s="160"/>
      <c r="E1016" s="158"/>
      <c r="F1016" s="157"/>
      <c r="G1016" s="159"/>
    </row>
    <row r="1017" spans="1:7">
      <c r="A1017" s="157"/>
      <c r="B1017" s="158"/>
      <c r="C1017" s="158"/>
      <c r="D1017" s="160"/>
      <c r="E1017" s="158"/>
      <c r="F1017" s="157"/>
      <c r="G1017" s="159"/>
    </row>
    <row r="1018" spans="1:7">
      <c r="A1018" s="157"/>
      <c r="B1018" s="158"/>
      <c r="C1018" s="158"/>
      <c r="D1018" s="160"/>
      <c r="E1018" s="158"/>
      <c r="F1018" s="157"/>
      <c r="G1018" s="159"/>
    </row>
    <row r="1019" spans="1:7">
      <c r="A1019" s="157"/>
      <c r="B1019" s="158"/>
      <c r="C1019" s="158"/>
      <c r="D1019" s="160"/>
      <c r="E1019" s="158"/>
      <c r="F1019" s="157"/>
      <c r="G1019" s="159"/>
    </row>
    <row r="1020" spans="1:7">
      <c r="A1020" s="157"/>
      <c r="B1020" s="158"/>
      <c r="C1020" s="158"/>
      <c r="D1020" s="160"/>
      <c r="E1020" s="158"/>
      <c r="F1020" s="157"/>
      <c r="G1020" s="159"/>
    </row>
    <row r="1021" spans="1:7">
      <c r="A1021" s="157"/>
      <c r="B1021" s="158"/>
      <c r="C1021" s="158"/>
      <c r="D1021" s="160"/>
      <c r="E1021" s="158"/>
      <c r="F1021" s="157"/>
      <c r="G1021" s="159"/>
    </row>
    <row r="1022" spans="1:7">
      <c r="A1022" s="157"/>
      <c r="B1022" s="158"/>
      <c r="C1022" s="158"/>
      <c r="D1022" s="160"/>
      <c r="E1022" s="158"/>
      <c r="F1022" s="157"/>
      <c r="G1022" s="159"/>
    </row>
    <row r="1023" spans="1:7">
      <c r="A1023" s="157"/>
      <c r="B1023" s="158"/>
      <c r="C1023" s="158"/>
      <c r="D1023" s="160"/>
      <c r="E1023" s="158"/>
      <c r="F1023" s="157"/>
      <c r="G1023" s="159"/>
    </row>
    <row r="1024" spans="1:7">
      <c r="A1024" s="157"/>
      <c r="B1024" s="158"/>
      <c r="C1024" s="158"/>
      <c r="D1024" s="160"/>
      <c r="E1024" s="158"/>
      <c r="F1024" s="157"/>
      <c r="G1024" s="159"/>
    </row>
    <row r="1025" spans="1:7">
      <c r="A1025" s="157"/>
      <c r="B1025" s="158"/>
      <c r="C1025" s="158"/>
      <c r="D1025" s="160"/>
      <c r="E1025" s="158"/>
      <c r="F1025" s="157"/>
      <c r="G1025" s="159"/>
    </row>
    <row r="1026" spans="1:7">
      <c r="A1026" s="157"/>
      <c r="B1026" s="158"/>
      <c r="C1026" s="158"/>
      <c r="D1026" s="160"/>
      <c r="E1026" s="158"/>
      <c r="F1026" s="157"/>
      <c r="G1026" s="159"/>
    </row>
    <row r="1027" spans="1:7">
      <c r="A1027" s="157"/>
      <c r="B1027" s="158"/>
      <c r="C1027" s="158"/>
      <c r="D1027" s="160"/>
      <c r="E1027" s="158"/>
      <c r="F1027" s="157"/>
      <c r="G1027" s="159"/>
    </row>
    <row r="1028" spans="1:7">
      <c r="A1028" s="157"/>
      <c r="B1028" s="158"/>
      <c r="C1028" s="158"/>
      <c r="D1028" s="160"/>
      <c r="E1028" s="158"/>
      <c r="F1028" s="157"/>
      <c r="G1028" s="159"/>
    </row>
    <row r="1029" spans="1:7">
      <c r="A1029" s="157"/>
      <c r="B1029" s="158"/>
      <c r="C1029" s="158"/>
      <c r="D1029" s="160"/>
      <c r="E1029" s="158"/>
      <c r="F1029" s="157"/>
      <c r="G1029" s="159"/>
    </row>
    <row r="1030" spans="1:7">
      <c r="A1030" s="157"/>
      <c r="B1030" s="158"/>
      <c r="C1030" s="158"/>
      <c r="D1030" s="160"/>
      <c r="E1030" s="158"/>
      <c r="F1030" s="157"/>
      <c r="G1030" s="159"/>
    </row>
    <row r="1031" spans="1:7">
      <c r="A1031" s="157"/>
      <c r="B1031" s="158"/>
      <c r="C1031" s="158"/>
      <c r="D1031" s="160"/>
      <c r="E1031" s="158"/>
      <c r="F1031" s="157"/>
      <c r="G1031" s="159"/>
    </row>
    <row r="1032" spans="1:7">
      <c r="A1032" s="157"/>
      <c r="B1032" s="158"/>
      <c r="C1032" s="158"/>
      <c r="D1032" s="160"/>
      <c r="E1032" s="158"/>
      <c r="F1032" s="157"/>
      <c r="G1032" s="159"/>
    </row>
    <row r="1033" spans="1:7">
      <c r="A1033" s="157"/>
      <c r="B1033" s="158"/>
      <c r="C1033" s="158"/>
      <c r="D1033" s="160"/>
      <c r="E1033" s="158"/>
      <c r="F1033" s="157"/>
      <c r="G1033" s="159"/>
    </row>
    <row r="1034" spans="1:7">
      <c r="A1034" s="157"/>
      <c r="B1034" s="158"/>
      <c r="C1034" s="158"/>
      <c r="D1034" s="160"/>
      <c r="E1034" s="158"/>
      <c r="F1034" s="157"/>
      <c r="G1034" s="159"/>
    </row>
    <row r="1035" spans="1:7">
      <c r="A1035" s="157"/>
      <c r="B1035" s="158"/>
      <c r="C1035" s="158"/>
      <c r="D1035" s="160"/>
      <c r="E1035" s="158"/>
      <c r="F1035" s="157"/>
      <c r="G1035" s="159"/>
    </row>
    <row r="1036" spans="1:7">
      <c r="A1036" s="157"/>
      <c r="B1036" s="158"/>
      <c r="C1036" s="158"/>
      <c r="D1036" s="160"/>
      <c r="E1036" s="158"/>
      <c r="F1036" s="157"/>
      <c r="G1036" s="159"/>
    </row>
    <row r="1037" spans="1:7">
      <c r="A1037" s="157"/>
      <c r="B1037" s="158"/>
      <c r="C1037" s="158"/>
      <c r="D1037" s="160"/>
      <c r="E1037" s="158"/>
      <c r="F1037" s="157"/>
      <c r="G1037" s="159"/>
    </row>
    <row r="1038" spans="1:7">
      <c r="A1038" s="157"/>
      <c r="B1038" s="158"/>
      <c r="C1038" s="158"/>
      <c r="D1038" s="160"/>
      <c r="E1038" s="158"/>
      <c r="F1038" s="157"/>
      <c r="G1038" s="159"/>
    </row>
    <row r="1039" spans="1:7">
      <c r="A1039" s="157"/>
      <c r="B1039" s="158"/>
      <c r="C1039" s="158"/>
      <c r="D1039" s="160"/>
      <c r="E1039" s="158"/>
      <c r="F1039" s="157"/>
      <c r="G1039" s="159"/>
    </row>
    <row r="1040" spans="1:7">
      <c r="A1040" s="157"/>
      <c r="B1040" s="158"/>
      <c r="C1040" s="158"/>
      <c r="D1040" s="160"/>
      <c r="E1040" s="158"/>
      <c r="F1040" s="157"/>
      <c r="G1040" s="159"/>
    </row>
    <row r="1041" spans="1:7">
      <c r="A1041" s="157"/>
      <c r="B1041" s="158"/>
      <c r="C1041" s="158"/>
      <c r="D1041" s="160"/>
      <c r="E1041" s="158"/>
      <c r="F1041" s="157"/>
      <c r="G1041" s="159"/>
    </row>
    <row r="1042" spans="1:7">
      <c r="A1042" s="157"/>
      <c r="B1042" s="158"/>
      <c r="C1042" s="158"/>
      <c r="D1042" s="160"/>
      <c r="E1042" s="158"/>
      <c r="F1042" s="157"/>
      <c r="G1042" s="159"/>
    </row>
    <row r="1043" spans="1:7">
      <c r="A1043" s="157"/>
      <c r="B1043" s="158"/>
      <c r="C1043" s="158"/>
      <c r="D1043" s="160"/>
      <c r="E1043" s="158"/>
      <c r="F1043" s="157"/>
      <c r="G1043" s="159"/>
    </row>
    <row r="1044" spans="1:7">
      <c r="A1044" s="157"/>
      <c r="B1044" s="158"/>
      <c r="C1044" s="158"/>
      <c r="D1044" s="160"/>
      <c r="E1044" s="158"/>
      <c r="F1044" s="157"/>
      <c r="G1044" s="159"/>
    </row>
    <row r="1045" spans="1:7">
      <c r="A1045" s="157"/>
      <c r="B1045" s="158"/>
      <c r="C1045" s="158"/>
      <c r="D1045" s="160"/>
      <c r="E1045" s="158"/>
      <c r="F1045" s="157"/>
      <c r="G1045" s="159"/>
    </row>
    <row r="1046" spans="1:7">
      <c r="A1046" s="157"/>
      <c r="B1046" s="158"/>
      <c r="C1046" s="158"/>
      <c r="D1046" s="160"/>
      <c r="E1046" s="158"/>
      <c r="F1046" s="157"/>
      <c r="G1046" s="159"/>
    </row>
    <row r="1047" spans="1:7">
      <c r="A1047" s="157"/>
      <c r="B1047" s="158"/>
      <c r="C1047" s="158"/>
      <c r="D1047" s="160"/>
      <c r="E1047" s="158"/>
      <c r="F1047" s="157"/>
      <c r="G1047" s="159"/>
    </row>
    <row r="1048" spans="1:7">
      <c r="A1048" s="157"/>
      <c r="B1048" s="158"/>
      <c r="C1048" s="158"/>
      <c r="D1048" s="160"/>
      <c r="E1048" s="158"/>
      <c r="F1048" s="157"/>
      <c r="G1048" s="159"/>
    </row>
    <row r="1049" spans="1:7">
      <c r="A1049" s="157"/>
      <c r="B1049" s="158"/>
      <c r="C1049" s="158"/>
      <c r="D1049" s="160"/>
      <c r="E1049" s="158"/>
      <c r="F1049" s="157"/>
      <c r="G1049" s="159"/>
    </row>
    <row r="1050" spans="1:7">
      <c r="A1050" s="157"/>
      <c r="B1050" s="158"/>
      <c r="C1050" s="158"/>
      <c r="D1050" s="160"/>
      <c r="E1050" s="158"/>
      <c r="F1050" s="157"/>
      <c r="G1050" s="159"/>
    </row>
    <row r="1051" spans="1:7">
      <c r="A1051" s="157"/>
      <c r="B1051" s="158"/>
      <c r="C1051" s="158"/>
      <c r="D1051" s="160"/>
      <c r="E1051" s="158"/>
      <c r="F1051" s="157"/>
      <c r="G1051" s="159"/>
    </row>
    <row r="1052" spans="1:7">
      <c r="A1052" s="157"/>
      <c r="B1052" s="158"/>
      <c r="C1052" s="158"/>
      <c r="D1052" s="160"/>
      <c r="E1052" s="158"/>
      <c r="F1052" s="157"/>
      <c r="G1052" s="159"/>
    </row>
    <row r="1053" spans="1:7">
      <c r="A1053" s="157"/>
      <c r="B1053" s="158"/>
      <c r="C1053" s="158"/>
      <c r="D1053" s="160"/>
      <c r="E1053" s="158"/>
      <c r="F1053" s="157"/>
      <c r="G1053" s="159"/>
    </row>
    <row r="1054" spans="1:7">
      <c r="A1054" s="157"/>
      <c r="B1054" s="158"/>
      <c r="C1054" s="158"/>
      <c r="D1054" s="160"/>
      <c r="E1054" s="158"/>
      <c r="F1054" s="157"/>
      <c r="G1054" s="159"/>
    </row>
    <row r="1055" spans="1:7">
      <c r="A1055" s="157"/>
      <c r="B1055" s="158"/>
      <c r="C1055" s="158"/>
      <c r="D1055" s="160"/>
      <c r="E1055" s="158"/>
      <c r="F1055" s="157"/>
      <c r="G1055" s="159"/>
    </row>
    <row r="1056" spans="1:7">
      <c r="A1056" s="157"/>
      <c r="B1056" s="158"/>
      <c r="C1056" s="158"/>
      <c r="D1056" s="160"/>
      <c r="E1056" s="158"/>
      <c r="F1056" s="157"/>
      <c r="G1056" s="159"/>
    </row>
    <row r="1057" spans="1:7">
      <c r="A1057" s="157"/>
      <c r="B1057" s="158"/>
      <c r="C1057" s="158"/>
      <c r="D1057" s="160"/>
      <c r="E1057" s="158"/>
      <c r="F1057" s="157"/>
      <c r="G1057" s="159"/>
    </row>
    <row r="1058" spans="1:7">
      <c r="A1058" s="157"/>
      <c r="B1058" s="158"/>
      <c r="C1058" s="158"/>
      <c r="D1058" s="160"/>
      <c r="E1058" s="158"/>
      <c r="F1058" s="157"/>
      <c r="G1058" s="159"/>
    </row>
    <row r="1059" spans="1:7">
      <c r="A1059" s="157"/>
      <c r="B1059" s="158"/>
      <c r="C1059" s="158"/>
      <c r="D1059" s="160"/>
      <c r="E1059" s="158"/>
      <c r="F1059" s="157"/>
      <c r="G1059" s="159"/>
    </row>
    <row r="1060" spans="1:7">
      <c r="A1060" s="157"/>
      <c r="B1060" s="158"/>
      <c r="C1060" s="158"/>
      <c r="D1060" s="160"/>
      <c r="E1060" s="158"/>
      <c r="F1060" s="157"/>
      <c r="G1060" s="159"/>
    </row>
    <row r="1061" spans="1:7">
      <c r="A1061" s="157"/>
      <c r="B1061" s="158"/>
      <c r="C1061" s="158"/>
      <c r="D1061" s="160"/>
      <c r="E1061" s="158"/>
      <c r="F1061" s="157"/>
      <c r="G1061" s="159"/>
    </row>
    <row r="1062" spans="1:7">
      <c r="A1062" s="157"/>
      <c r="B1062" s="158"/>
      <c r="C1062" s="158"/>
      <c r="D1062" s="160"/>
      <c r="E1062" s="158"/>
      <c r="F1062" s="157"/>
      <c r="G1062" s="159"/>
    </row>
    <row r="1063" spans="1:7">
      <c r="A1063" s="157"/>
      <c r="B1063" s="158"/>
      <c r="C1063" s="158"/>
      <c r="D1063" s="160"/>
      <c r="E1063" s="158"/>
      <c r="F1063" s="157"/>
      <c r="G1063" s="159"/>
    </row>
    <row r="1064" spans="1:7">
      <c r="A1064" s="157"/>
      <c r="B1064" s="158"/>
      <c r="C1064" s="158"/>
      <c r="D1064" s="160"/>
      <c r="E1064" s="158"/>
      <c r="F1064" s="157"/>
      <c r="G1064" s="159"/>
    </row>
    <row r="1065" spans="1:7">
      <c r="A1065" s="157"/>
      <c r="B1065" s="158"/>
      <c r="C1065" s="158"/>
      <c r="D1065" s="160"/>
      <c r="E1065" s="158"/>
      <c r="F1065" s="157"/>
      <c r="G1065" s="159"/>
    </row>
    <row r="1066" spans="1:7">
      <c r="A1066" s="157"/>
      <c r="B1066" s="158"/>
      <c r="C1066" s="158"/>
      <c r="D1066" s="160"/>
      <c r="E1066" s="158"/>
      <c r="F1066" s="157"/>
      <c r="G1066" s="159"/>
    </row>
    <row r="1067" spans="1:7">
      <c r="A1067" s="157"/>
      <c r="B1067" s="158"/>
      <c r="C1067" s="158"/>
      <c r="D1067" s="160"/>
      <c r="E1067" s="158"/>
      <c r="F1067" s="157"/>
      <c r="G1067" s="159"/>
    </row>
    <row r="1068" spans="1:7">
      <c r="A1068" s="157"/>
      <c r="B1068" s="158"/>
      <c r="C1068" s="158"/>
      <c r="D1068" s="160"/>
      <c r="E1068" s="158"/>
      <c r="F1068" s="157"/>
      <c r="G1068" s="159"/>
    </row>
    <row r="1069" spans="1:7">
      <c r="A1069" s="157"/>
      <c r="B1069" s="158"/>
      <c r="C1069" s="158"/>
      <c r="D1069" s="160"/>
      <c r="E1069" s="158"/>
      <c r="F1069" s="157"/>
      <c r="G1069" s="159"/>
    </row>
    <row r="1070" spans="1:7">
      <c r="A1070" s="157"/>
      <c r="B1070" s="158"/>
      <c r="C1070" s="158"/>
      <c r="D1070" s="160"/>
      <c r="E1070" s="158"/>
      <c r="F1070" s="157"/>
      <c r="G1070" s="159"/>
    </row>
    <row r="1071" spans="1:7">
      <c r="A1071" s="157"/>
      <c r="B1071" s="158"/>
      <c r="C1071" s="158"/>
      <c r="D1071" s="160"/>
      <c r="E1071" s="158"/>
      <c r="F1071" s="157"/>
      <c r="G1071" s="159"/>
    </row>
    <row r="1072" spans="1:7">
      <c r="A1072" s="157"/>
      <c r="B1072" s="158"/>
      <c r="C1072" s="158"/>
      <c r="D1072" s="160"/>
      <c r="E1072" s="158"/>
      <c r="F1072" s="157"/>
      <c r="G1072" s="159"/>
    </row>
    <row r="1073" spans="1:7">
      <c r="A1073" s="157"/>
      <c r="B1073" s="158"/>
      <c r="C1073" s="158"/>
      <c r="D1073" s="160"/>
      <c r="E1073" s="158"/>
      <c r="F1073" s="157"/>
      <c r="G1073" s="159"/>
    </row>
    <row r="1074" spans="1:7">
      <c r="A1074" s="157"/>
      <c r="B1074" s="158"/>
      <c r="C1074" s="158"/>
      <c r="D1074" s="160"/>
      <c r="E1074" s="158"/>
      <c r="F1074" s="157"/>
      <c r="G1074" s="159"/>
    </row>
    <row r="1075" spans="1:7">
      <c r="A1075" s="157"/>
      <c r="B1075" s="158"/>
      <c r="C1075" s="158"/>
      <c r="D1075" s="160"/>
      <c r="E1075" s="158"/>
      <c r="F1075" s="157"/>
      <c r="G1075" s="159"/>
    </row>
    <row r="1076" spans="1:7">
      <c r="A1076" s="157"/>
      <c r="B1076" s="158"/>
      <c r="C1076" s="158"/>
      <c r="D1076" s="160"/>
      <c r="E1076" s="158"/>
      <c r="F1076" s="157"/>
      <c r="G1076" s="159"/>
    </row>
    <row r="1077" spans="1:7">
      <c r="A1077" s="157"/>
      <c r="B1077" s="158"/>
      <c r="C1077" s="158"/>
      <c r="D1077" s="160"/>
      <c r="E1077" s="158"/>
      <c r="F1077" s="157"/>
      <c r="G1077" s="159"/>
    </row>
    <row r="1078" spans="1:7">
      <c r="A1078" s="157"/>
      <c r="B1078" s="158"/>
      <c r="C1078" s="158"/>
      <c r="D1078" s="160"/>
      <c r="E1078" s="158"/>
      <c r="F1078" s="157"/>
      <c r="G1078" s="159"/>
    </row>
    <row r="1079" spans="1:7">
      <c r="A1079" s="157"/>
      <c r="B1079" s="158"/>
      <c r="C1079" s="158"/>
      <c r="D1079" s="160"/>
      <c r="E1079" s="158"/>
      <c r="F1079" s="157"/>
      <c r="G1079" s="159"/>
    </row>
    <row r="1080" spans="1:7">
      <c r="A1080" s="157"/>
      <c r="B1080" s="158"/>
      <c r="C1080" s="158"/>
      <c r="D1080" s="160"/>
      <c r="E1080" s="158"/>
      <c r="F1080" s="157"/>
      <c r="G1080" s="159"/>
    </row>
    <row r="1081" spans="1:7">
      <c r="A1081" s="157"/>
      <c r="B1081" s="158"/>
      <c r="C1081" s="158"/>
      <c r="D1081" s="160"/>
      <c r="E1081" s="158"/>
      <c r="F1081" s="157"/>
      <c r="G1081" s="159"/>
    </row>
    <row r="1082" spans="1:7">
      <c r="A1082" s="157"/>
      <c r="B1082" s="158"/>
      <c r="C1082" s="158"/>
      <c r="D1082" s="160"/>
      <c r="E1082" s="158"/>
      <c r="F1082" s="157"/>
      <c r="G1082" s="159"/>
    </row>
    <row r="1083" spans="1:7">
      <c r="A1083" s="157"/>
      <c r="B1083" s="158"/>
      <c r="C1083" s="158"/>
      <c r="D1083" s="160"/>
      <c r="E1083" s="158"/>
      <c r="F1083" s="157"/>
      <c r="G1083" s="159"/>
    </row>
    <row r="1084" spans="1:7">
      <c r="A1084" s="157"/>
      <c r="B1084" s="158"/>
      <c r="C1084" s="158"/>
      <c r="D1084" s="160"/>
      <c r="E1084" s="158"/>
      <c r="F1084" s="157"/>
      <c r="G1084" s="159"/>
    </row>
    <row r="1085" spans="1:7">
      <c r="A1085" s="157"/>
      <c r="B1085" s="158"/>
      <c r="C1085" s="158"/>
      <c r="D1085" s="160"/>
      <c r="E1085" s="158"/>
      <c r="F1085" s="157"/>
      <c r="G1085" s="159"/>
    </row>
    <row r="1086" spans="1:7">
      <c r="A1086" s="157"/>
      <c r="B1086" s="158"/>
      <c r="C1086" s="158"/>
      <c r="D1086" s="160"/>
      <c r="E1086" s="158"/>
      <c r="F1086" s="157"/>
      <c r="G1086" s="159"/>
    </row>
    <row r="1087" spans="1:7">
      <c r="A1087" s="157"/>
      <c r="B1087" s="158"/>
      <c r="C1087" s="158"/>
      <c r="D1087" s="160"/>
      <c r="E1087" s="158"/>
      <c r="F1087" s="157"/>
      <c r="G1087" s="159"/>
    </row>
    <row r="1088" spans="1:7">
      <c r="A1088" s="157"/>
      <c r="B1088" s="158"/>
      <c r="C1088" s="158"/>
      <c r="D1088" s="160"/>
      <c r="E1088" s="158"/>
      <c r="F1088" s="157"/>
      <c r="G1088" s="159"/>
    </row>
    <row r="1089" spans="1:7">
      <c r="A1089" s="157"/>
      <c r="B1089" s="158"/>
      <c r="C1089" s="158"/>
      <c r="D1089" s="160"/>
      <c r="E1089" s="158"/>
      <c r="F1089" s="157"/>
      <c r="G1089" s="159"/>
    </row>
    <row r="1090" spans="1:7">
      <c r="A1090" s="157"/>
      <c r="B1090" s="158"/>
      <c r="C1090" s="158"/>
      <c r="D1090" s="160"/>
      <c r="E1090" s="158"/>
      <c r="F1090" s="157"/>
      <c r="G1090" s="159"/>
    </row>
    <row r="1091" spans="1:7">
      <c r="A1091" s="157"/>
      <c r="B1091" s="158"/>
      <c r="C1091" s="158"/>
      <c r="D1091" s="160"/>
      <c r="E1091" s="158"/>
      <c r="F1091" s="157"/>
      <c r="G1091" s="159"/>
    </row>
    <row r="1092" spans="1:7">
      <c r="A1092" s="157"/>
      <c r="B1092" s="158"/>
      <c r="C1092" s="158"/>
      <c r="D1092" s="160"/>
      <c r="E1092" s="158"/>
      <c r="F1092" s="157"/>
      <c r="G1092" s="159"/>
    </row>
    <row r="1093" spans="1:7">
      <c r="A1093" s="157"/>
      <c r="B1093" s="158"/>
      <c r="C1093" s="158"/>
      <c r="D1093" s="160"/>
      <c r="E1093" s="158"/>
      <c r="F1093" s="157"/>
      <c r="G1093" s="159"/>
    </row>
    <row r="1094" spans="1:7">
      <c r="A1094" s="157"/>
      <c r="B1094" s="158"/>
      <c r="C1094" s="158"/>
      <c r="D1094" s="160"/>
      <c r="E1094" s="158"/>
      <c r="F1094" s="157"/>
      <c r="G1094" s="159"/>
    </row>
    <row r="1095" spans="1:7">
      <c r="A1095" s="157"/>
      <c r="B1095" s="158"/>
      <c r="C1095" s="158"/>
      <c r="D1095" s="160"/>
      <c r="E1095" s="158"/>
      <c r="F1095" s="157"/>
      <c r="G1095" s="159"/>
    </row>
    <row r="1096" spans="1:7">
      <c r="A1096" s="157"/>
      <c r="B1096" s="158"/>
      <c r="C1096" s="158"/>
      <c r="D1096" s="160"/>
      <c r="E1096" s="158"/>
      <c r="F1096" s="157"/>
      <c r="G1096" s="159"/>
    </row>
    <row r="1097" spans="1:7">
      <c r="A1097" s="157"/>
      <c r="B1097" s="158"/>
      <c r="C1097" s="158"/>
      <c r="D1097" s="160"/>
      <c r="E1097" s="158"/>
      <c r="F1097" s="157"/>
      <c r="G1097" s="159"/>
    </row>
    <row r="1098" spans="1:7">
      <c r="A1098" s="157"/>
      <c r="B1098" s="158"/>
      <c r="C1098" s="158"/>
      <c r="D1098" s="160"/>
      <c r="E1098" s="158"/>
      <c r="F1098" s="157"/>
      <c r="G1098" s="159"/>
    </row>
    <row r="1099" spans="1:7">
      <c r="A1099" s="157"/>
      <c r="B1099" s="158"/>
      <c r="C1099" s="158"/>
      <c r="D1099" s="160"/>
      <c r="E1099" s="158"/>
      <c r="F1099" s="157"/>
      <c r="G1099" s="159"/>
    </row>
    <row r="1100" spans="1:7">
      <c r="A1100" s="157"/>
      <c r="B1100" s="158"/>
      <c r="C1100" s="158"/>
      <c r="D1100" s="160"/>
      <c r="E1100" s="158"/>
      <c r="F1100" s="157"/>
      <c r="G1100" s="159"/>
    </row>
    <row r="1101" spans="1:7">
      <c r="A1101" s="157"/>
      <c r="B1101" s="158"/>
      <c r="C1101" s="158"/>
      <c r="D1101" s="160"/>
      <c r="E1101" s="158"/>
      <c r="F1101" s="157"/>
      <c r="G1101" s="159"/>
    </row>
    <row r="1102" spans="1:7">
      <c r="A1102" s="157"/>
      <c r="B1102" s="158"/>
      <c r="C1102" s="158"/>
      <c r="D1102" s="160"/>
      <c r="E1102" s="158"/>
      <c r="F1102" s="157"/>
      <c r="G1102" s="159"/>
    </row>
    <row r="1103" spans="1:7">
      <c r="A1103" s="157"/>
      <c r="B1103" s="158"/>
      <c r="C1103" s="158"/>
      <c r="D1103" s="160"/>
      <c r="E1103" s="158"/>
      <c r="F1103" s="157"/>
      <c r="G1103" s="159"/>
    </row>
    <row r="1104" spans="1:7">
      <c r="A1104" s="157"/>
      <c r="B1104" s="158"/>
      <c r="C1104" s="158"/>
      <c r="D1104" s="160"/>
      <c r="E1104" s="158"/>
      <c r="F1104" s="157"/>
      <c r="G1104" s="159"/>
    </row>
    <row r="1105" spans="1:7">
      <c r="A1105" s="157"/>
      <c r="B1105" s="158"/>
      <c r="C1105" s="158"/>
      <c r="D1105" s="160"/>
      <c r="E1105" s="158"/>
      <c r="F1105" s="157"/>
      <c r="G1105" s="159"/>
    </row>
    <row r="1106" spans="1:7">
      <c r="A1106" s="157"/>
      <c r="B1106" s="158"/>
      <c r="C1106" s="158"/>
      <c r="D1106" s="160"/>
      <c r="E1106" s="158"/>
      <c r="F1106" s="157"/>
      <c r="G1106" s="159"/>
    </row>
    <row r="1107" spans="1:7">
      <c r="A1107" s="157"/>
      <c r="B1107" s="158"/>
      <c r="C1107" s="158"/>
      <c r="D1107" s="160"/>
      <c r="E1107" s="158"/>
      <c r="F1107" s="157"/>
      <c r="G1107" s="159"/>
    </row>
    <row r="1108" spans="1:7">
      <c r="A1108" s="157"/>
      <c r="B1108" s="158"/>
      <c r="C1108" s="158"/>
      <c r="D1108" s="160"/>
      <c r="E1108" s="158"/>
      <c r="F1108" s="157"/>
      <c r="G1108" s="159"/>
    </row>
    <row r="1109" spans="1:7">
      <c r="A1109" s="157"/>
      <c r="B1109" s="158"/>
      <c r="C1109" s="158"/>
      <c r="D1109" s="160"/>
      <c r="E1109" s="158"/>
      <c r="F1109" s="157"/>
      <c r="G1109" s="159"/>
    </row>
    <row r="1110" spans="1:7">
      <c r="A1110" s="157"/>
      <c r="B1110" s="158"/>
      <c r="C1110" s="158"/>
      <c r="D1110" s="160"/>
      <c r="E1110" s="158"/>
      <c r="F1110" s="157"/>
      <c r="G1110" s="159"/>
    </row>
    <row r="1111" spans="1:7">
      <c r="A1111" s="157"/>
      <c r="B1111" s="158"/>
      <c r="C1111" s="158"/>
      <c r="D1111" s="160"/>
      <c r="E1111" s="158"/>
      <c r="F1111" s="157"/>
      <c r="G1111" s="159"/>
    </row>
    <row r="1112" spans="1:7">
      <c r="A1112" s="157"/>
      <c r="B1112" s="158"/>
      <c r="C1112" s="158"/>
      <c r="D1112" s="160"/>
      <c r="E1112" s="158"/>
      <c r="F1112" s="157"/>
      <c r="G1112" s="159"/>
    </row>
    <row r="1113" spans="1:7">
      <c r="A1113" s="157"/>
      <c r="B1113" s="158"/>
      <c r="C1113" s="158"/>
      <c r="D1113" s="160"/>
      <c r="E1113" s="158"/>
      <c r="F1113" s="157"/>
      <c r="G1113" s="159"/>
    </row>
    <row r="1114" spans="1:7">
      <c r="A1114" s="157"/>
      <c r="B1114" s="158"/>
      <c r="C1114" s="158"/>
      <c r="D1114" s="160"/>
      <c r="E1114" s="158"/>
      <c r="F1114" s="157"/>
      <c r="G1114" s="159"/>
    </row>
    <row r="1115" spans="1:7">
      <c r="A1115" s="157"/>
      <c r="B1115" s="158"/>
      <c r="C1115" s="158"/>
      <c r="D1115" s="160"/>
      <c r="E1115" s="158"/>
      <c r="F1115" s="157"/>
      <c r="G1115" s="159"/>
    </row>
    <row r="1116" spans="1:7">
      <c r="A1116" s="157"/>
      <c r="B1116" s="158"/>
      <c r="C1116" s="158"/>
      <c r="D1116" s="160"/>
      <c r="E1116" s="158"/>
      <c r="F1116" s="157"/>
      <c r="G1116" s="159"/>
    </row>
    <row r="1117" spans="1:7">
      <c r="A1117" s="157"/>
      <c r="B1117" s="158"/>
      <c r="C1117" s="158"/>
      <c r="D1117" s="160"/>
      <c r="E1117" s="158"/>
      <c r="F1117" s="157"/>
      <c r="G1117" s="159"/>
    </row>
    <row r="1118" spans="1:7">
      <c r="A1118" s="157"/>
      <c r="B1118" s="158"/>
      <c r="C1118" s="158"/>
      <c r="D1118" s="160"/>
      <c r="E1118" s="158"/>
      <c r="F1118" s="157"/>
      <c r="G1118" s="159"/>
    </row>
    <row r="1119" spans="1:7">
      <c r="A1119" s="157"/>
      <c r="B1119" s="158"/>
      <c r="C1119" s="158"/>
      <c r="D1119" s="160"/>
      <c r="E1119" s="158"/>
      <c r="F1119" s="157"/>
      <c r="G1119" s="159"/>
    </row>
    <row r="1120" spans="1:7">
      <c r="A1120" s="157"/>
      <c r="B1120" s="158"/>
      <c r="C1120" s="158"/>
      <c r="D1120" s="160"/>
      <c r="E1120" s="158"/>
      <c r="F1120" s="157"/>
      <c r="G1120" s="159"/>
    </row>
    <row r="1121" spans="1:7">
      <c r="A1121" s="157"/>
      <c r="B1121" s="158"/>
      <c r="C1121" s="158"/>
      <c r="D1121" s="160"/>
      <c r="E1121" s="158"/>
      <c r="F1121" s="157"/>
      <c r="G1121" s="159"/>
    </row>
    <row r="1122" spans="1:7">
      <c r="A1122" s="157"/>
      <c r="B1122" s="158"/>
      <c r="C1122" s="158"/>
      <c r="D1122" s="160"/>
      <c r="E1122" s="158"/>
      <c r="F1122" s="157"/>
      <c r="G1122" s="159"/>
    </row>
    <row r="1123" spans="1:7">
      <c r="A1123" s="157"/>
      <c r="B1123" s="158"/>
      <c r="C1123" s="158"/>
      <c r="D1123" s="160"/>
      <c r="E1123" s="158"/>
      <c r="F1123" s="157"/>
      <c r="G1123" s="159"/>
    </row>
    <row r="1124" spans="1:7">
      <c r="A1124" s="157"/>
      <c r="B1124" s="158"/>
      <c r="C1124" s="158"/>
      <c r="D1124" s="160"/>
      <c r="E1124" s="158"/>
      <c r="F1124" s="157"/>
      <c r="G1124" s="159"/>
    </row>
    <row r="1125" spans="1:7">
      <c r="A1125" s="157"/>
      <c r="B1125" s="158"/>
      <c r="C1125" s="158"/>
      <c r="D1125" s="160"/>
      <c r="E1125" s="158"/>
      <c r="F1125" s="157"/>
      <c r="G1125" s="159"/>
    </row>
    <row r="1126" spans="1:7">
      <c r="A1126" s="157"/>
      <c r="B1126" s="158"/>
      <c r="C1126" s="158"/>
      <c r="D1126" s="160"/>
      <c r="E1126" s="158"/>
      <c r="F1126" s="157"/>
      <c r="G1126" s="159"/>
    </row>
    <row r="1127" spans="1:7">
      <c r="A1127" s="157"/>
      <c r="B1127" s="158"/>
      <c r="C1127" s="158"/>
      <c r="D1127" s="160"/>
      <c r="E1127" s="158"/>
      <c r="F1127" s="157"/>
      <c r="G1127" s="159"/>
    </row>
    <row r="1128" spans="1:7">
      <c r="A1128" s="157"/>
      <c r="B1128" s="158"/>
      <c r="C1128" s="158"/>
      <c r="D1128" s="160"/>
      <c r="E1128" s="158"/>
      <c r="F1128" s="157"/>
      <c r="G1128" s="159"/>
    </row>
    <row r="1129" spans="1:7">
      <c r="A1129" s="157"/>
      <c r="B1129" s="158"/>
      <c r="C1129" s="158"/>
      <c r="D1129" s="160"/>
      <c r="E1129" s="158"/>
      <c r="F1129" s="157"/>
      <c r="G1129" s="159"/>
    </row>
    <row r="1130" spans="1:7">
      <c r="A1130" s="157"/>
      <c r="B1130" s="158"/>
      <c r="C1130" s="158"/>
      <c r="D1130" s="160"/>
      <c r="E1130" s="158"/>
      <c r="F1130" s="157"/>
      <c r="G1130" s="159"/>
    </row>
    <row r="1131" spans="1:7">
      <c r="A1131" s="157"/>
      <c r="B1131" s="158"/>
      <c r="C1131" s="158"/>
      <c r="D1131" s="160"/>
      <c r="E1131" s="158"/>
      <c r="F1131" s="157"/>
      <c r="G1131" s="159"/>
    </row>
    <row r="1132" spans="1:7">
      <c r="A1132" s="157"/>
      <c r="B1132" s="158"/>
      <c r="C1132" s="158"/>
      <c r="D1132" s="160"/>
      <c r="E1132" s="158"/>
      <c r="F1132" s="157"/>
      <c r="G1132" s="159"/>
    </row>
    <row r="1133" spans="1:7">
      <c r="A1133" s="157"/>
      <c r="B1133" s="158"/>
      <c r="C1133" s="158"/>
      <c r="D1133" s="160"/>
      <c r="E1133" s="158"/>
      <c r="F1133" s="157"/>
      <c r="G1133" s="159"/>
    </row>
    <row r="1134" spans="1:7">
      <c r="A1134" s="157"/>
      <c r="B1134" s="158"/>
      <c r="C1134" s="158"/>
      <c r="D1134" s="160"/>
      <c r="E1134" s="158"/>
      <c r="F1134" s="157"/>
      <c r="G1134" s="159"/>
    </row>
    <row r="1135" spans="1:7">
      <c r="A1135" s="157"/>
      <c r="B1135" s="158"/>
      <c r="C1135" s="158"/>
      <c r="D1135" s="160"/>
      <c r="E1135" s="158"/>
      <c r="F1135" s="157"/>
      <c r="G1135" s="159"/>
    </row>
    <row r="1136" spans="1:7">
      <c r="A1136" s="157"/>
      <c r="B1136" s="158"/>
      <c r="C1136" s="158"/>
      <c r="D1136" s="160"/>
      <c r="E1136" s="158"/>
      <c r="F1136" s="157"/>
      <c r="G1136" s="159"/>
    </row>
    <row r="1137" spans="1:7">
      <c r="A1137" s="157"/>
      <c r="B1137" s="158"/>
      <c r="C1137" s="158"/>
      <c r="D1137" s="160"/>
      <c r="E1137" s="158"/>
      <c r="F1137" s="157"/>
      <c r="G1137" s="159"/>
    </row>
    <row r="1138" spans="1:7">
      <c r="A1138" s="157"/>
      <c r="B1138" s="158"/>
      <c r="C1138" s="158"/>
      <c r="D1138" s="160"/>
      <c r="E1138" s="158"/>
      <c r="F1138" s="157"/>
      <c r="G1138" s="159"/>
    </row>
    <row r="1139" spans="1:7">
      <c r="A1139" s="157"/>
      <c r="B1139" s="158"/>
      <c r="C1139" s="158"/>
      <c r="D1139" s="160"/>
      <c r="E1139" s="158"/>
      <c r="F1139" s="157"/>
      <c r="G1139" s="159"/>
    </row>
    <row r="1140" spans="1:7">
      <c r="A1140" s="157"/>
      <c r="B1140" s="158"/>
      <c r="C1140" s="158"/>
      <c r="D1140" s="160"/>
      <c r="E1140" s="158"/>
      <c r="F1140" s="157"/>
      <c r="G1140" s="159"/>
    </row>
    <row r="1141" spans="1:7">
      <c r="A1141" s="157"/>
      <c r="B1141" s="158"/>
      <c r="C1141" s="158"/>
      <c r="D1141" s="160"/>
      <c r="E1141" s="158"/>
      <c r="F1141" s="157"/>
      <c r="G1141" s="159"/>
    </row>
    <row r="1142" spans="1:7">
      <c r="A1142" s="157"/>
      <c r="B1142" s="158"/>
      <c r="C1142" s="158"/>
      <c r="D1142" s="160"/>
      <c r="E1142" s="158"/>
      <c r="F1142" s="157"/>
      <c r="G1142" s="159"/>
    </row>
    <row r="1143" spans="1:7">
      <c r="A1143" s="157"/>
      <c r="B1143" s="158"/>
      <c r="C1143" s="158"/>
      <c r="D1143" s="160"/>
      <c r="E1143" s="158"/>
      <c r="F1143" s="157"/>
      <c r="G1143" s="159"/>
    </row>
    <row r="1144" spans="1:7">
      <c r="A1144" s="157"/>
      <c r="B1144" s="158"/>
      <c r="C1144" s="158"/>
      <c r="D1144" s="160"/>
      <c r="E1144" s="158"/>
      <c r="F1144" s="157"/>
      <c r="G1144" s="159"/>
    </row>
    <row r="1145" spans="1:7">
      <c r="A1145" s="157"/>
      <c r="B1145" s="158"/>
      <c r="C1145" s="158"/>
      <c r="D1145" s="160"/>
      <c r="E1145" s="158"/>
      <c r="F1145" s="157"/>
      <c r="G1145" s="159"/>
    </row>
    <row r="1146" spans="1:7">
      <c r="A1146" s="157"/>
      <c r="B1146" s="158"/>
      <c r="C1146" s="158"/>
      <c r="D1146" s="160"/>
      <c r="E1146" s="158"/>
      <c r="F1146" s="157"/>
      <c r="G1146" s="159"/>
    </row>
    <row r="1147" spans="1:7">
      <c r="A1147" s="157"/>
      <c r="B1147" s="158"/>
      <c r="C1147" s="158"/>
      <c r="D1147" s="160"/>
      <c r="E1147" s="158"/>
      <c r="F1147" s="157"/>
      <c r="G1147" s="159"/>
    </row>
    <row r="1148" spans="1:7">
      <c r="A1148" s="157"/>
      <c r="B1148" s="158"/>
      <c r="C1148" s="158"/>
      <c r="D1148" s="160"/>
      <c r="E1148" s="158"/>
      <c r="F1148" s="157"/>
      <c r="G1148" s="159"/>
    </row>
    <row r="1149" spans="1:7">
      <c r="A1149" s="157"/>
      <c r="B1149" s="158"/>
      <c r="C1149" s="158"/>
      <c r="D1149" s="160"/>
      <c r="E1149" s="158"/>
      <c r="F1149" s="157"/>
      <c r="G1149" s="159"/>
    </row>
    <row r="1150" spans="1:7">
      <c r="A1150" s="157"/>
      <c r="B1150" s="158"/>
      <c r="C1150" s="158"/>
      <c r="D1150" s="160"/>
      <c r="E1150" s="158"/>
      <c r="F1150" s="157"/>
      <c r="G1150" s="159"/>
    </row>
    <row r="1151" spans="1:7">
      <c r="A1151" s="157"/>
      <c r="B1151" s="158"/>
      <c r="C1151" s="158"/>
      <c r="D1151" s="160"/>
      <c r="E1151" s="158"/>
      <c r="F1151" s="157"/>
      <c r="G1151" s="159"/>
    </row>
    <row r="1152" spans="1:7">
      <c r="A1152" s="157"/>
      <c r="B1152" s="158"/>
      <c r="C1152" s="158"/>
      <c r="D1152" s="160"/>
      <c r="E1152" s="158"/>
      <c r="F1152" s="157"/>
      <c r="G1152" s="159"/>
    </row>
    <row r="1153" spans="1:7">
      <c r="A1153" s="157"/>
      <c r="B1153" s="158"/>
      <c r="C1153" s="158"/>
      <c r="D1153" s="160"/>
      <c r="E1153" s="158"/>
      <c r="F1153" s="157"/>
      <c r="G1153" s="159"/>
    </row>
    <row r="1154" spans="1:7">
      <c r="A1154" s="157"/>
      <c r="B1154" s="158"/>
      <c r="C1154" s="158"/>
      <c r="D1154" s="160"/>
      <c r="E1154" s="158"/>
      <c r="F1154" s="157"/>
      <c r="G1154" s="159"/>
    </row>
    <row r="1155" spans="1:7">
      <c r="A1155" s="157"/>
      <c r="B1155" s="158"/>
      <c r="C1155" s="158"/>
      <c r="D1155" s="160"/>
      <c r="E1155" s="158"/>
      <c r="F1155" s="157"/>
      <c r="G1155" s="159"/>
    </row>
    <row r="1156" spans="1:7">
      <c r="A1156" s="157"/>
      <c r="B1156" s="158"/>
      <c r="C1156" s="158"/>
      <c r="D1156" s="160"/>
      <c r="E1156" s="158"/>
      <c r="F1156" s="157"/>
      <c r="G1156" s="159"/>
    </row>
    <row r="1157" spans="1:7">
      <c r="A1157" s="157"/>
      <c r="B1157" s="158"/>
      <c r="C1157" s="158"/>
      <c r="D1157" s="160"/>
      <c r="E1157" s="158"/>
      <c r="F1157" s="157"/>
      <c r="G1157" s="159"/>
    </row>
    <row r="1158" spans="1:7">
      <c r="A1158" s="157"/>
      <c r="B1158" s="158"/>
      <c r="C1158" s="158"/>
      <c r="D1158" s="160"/>
      <c r="E1158" s="158"/>
      <c r="F1158" s="157"/>
      <c r="G1158" s="159"/>
    </row>
    <row r="1159" spans="1:7">
      <c r="A1159" s="157"/>
      <c r="B1159" s="158"/>
      <c r="C1159" s="158"/>
      <c r="D1159" s="160"/>
      <c r="E1159" s="158"/>
      <c r="F1159" s="157"/>
      <c r="G1159" s="159"/>
    </row>
    <row r="1160" spans="1:7">
      <c r="A1160" s="157"/>
      <c r="B1160" s="158"/>
      <c r="C1160" s="158"/>
      <c r="D1160" s="160"/>
      <c r="E1160" s="158"/>
      <c r="F1160" s="157"/>
      <c r="G1160" s="159"/>
    </row>
    <row r="1161" spans="1:7">
      <c r="A1161" s="157"/>
      <c r="B1161" s="158"/>
      <c r="C1161" s="158"/>
      <c r="D1161" s="160"/>
      <c r="E1161" s="158"/>
      <c r="F1161" s="157"/>
      <c r="G1161" s="159"/>
    </row>
    <row r="1162" spans="1:7">
      <c r="A1162" s="157"/>
      <c r="B1162" s="158"/>
      <c r="C1162" s="158"/>
      <c r="D1162" s="160"/>
      <c r="E1162" s="158"/>
      <c r="F1162" s="157"/>
      <c r="G1162" s="159"/>
    </row>
    <row r="1163" spans="1:7">
      <c r="A1163" s="157"/>
      <c r="B1163" s="158"/>
      <c r="C1163" s="158"/>
      <c r="D1163" s="160"/>
      <c r="E1163" s="158"/>
      <c r="F1163" s="157"/>
      <c r="G1163" s="159"/>
    </row>
    <row r="1164" spans="1:7">
      <c r="A1164" s="157"/>
      <c r="B1164" s="158"/>
      <c r="C1164" s="158"/>
      <c r="D1164" s="160"/>
      <c r="E1164" s="158"/>
      <c r="F1164" s="157"/>
      <c r="G1164" s="159"/>
    </row>
    <row r="1165" spans="1:7">
      <c r="A1165" s="157"/>
      <c r="B1165" s="158"/>
      <c r="C1165" s="158"/>
      <c r="D1165" s="160"/>
      <c r="E1165" s="158"/>
      <c r="F1165" s="157"/>
      <c r="G1165" s="159"/>
    </row>
    <row r="1166" spans="1:7">
      <c r="A1166" s="157"/>
      <c r="B1166" s="158"/>
      <c r="C1166" s="158"/>
      <c r="D1166" s="160"/>
      <c r="E1166" s="158"/>
      <c r="F1166" s="157"/>
      <c r="G1166" s="159"/>
    </row>
    <row r="1167" spans="1:7">
      <c r="A1167" s="157"/>
      <c r="B1167" s="158"/>
      <c r="C1167" s="158"/>
      <c r="D1167" s="160"/>
      <c r="E1167" s="158"/>
      <c r="F1167" s="157"/>
      <c r="G1167" s="159"/>
    </row>
    <row r="1168" spans="1:7">
      <c r="A1168" s="157"/>
      <c r="B1168" s="158"/>
      <c r="C1168" s="158"/>
      <c r="D1168" s="160"/>
      <c r="E1168" s="158"/>
      <c r="F1168" s="157"/>
      <c r="G1168" s="159"/>
    </row>
    <row r="1169" spans="1:7">
      <c r="A1169" s="157"/>
      <c r="B1169" s="158"/>
      <c r="C1169" s="158"/>
      <c r="D1169" s="160"/>
      <c r="E1169" s="158"/>
      <c r="F1169" s="157"/>
      <c r="G1169" s="159"/>
    </row>
    <row r="1170" spans="1:7">
      <c r="A1170" s="157"/>
      <c r="B1170" s="158"/>
      <c r="C1170" s="158"/>
      <c r="D1170" s="160"/>
      <c r="E1170" s="158"/>
      <c r="F1170" s="157"/>
      <c r="G1170" s="159"/>
    </row>
    <row r="1171" spans="1:7">
      <c r="A1171" s="157"/>
      <c r="B1171" s="158"/>
      <c r="C1171" s="158"/>
      <c r="D1171" s="160"/>
      <c r="E1171" s="158"/>
      <c r="F1171" s="157"/>
      <c r="G1171" s="159"/>
    </row>
    <row r="1172" spans="1:7">
      <c r="A1172" s="157"/>
      <c r="B1172" s="158"/>
      <c r="C1172" s="158"/>
      <c r="D1172" s="160"/>
      <c r="E1172" s="158"/>
      <c r="F1172" s="157"/>
      <c r="G1172" s="159"/>
    </row>
    <row r="1173" spans="1:7">
      <c r="A1173" s="157"/>
      <c r="B1173" s="158"/>
      <c r="C1173" s="158"/>
      <c r="D1173" s="160"/>
      <c r="E1173" s="158"/>
      <c r="F1173" s="157"/>
      <c r="G1173" s="159"/>
    </row>
    <row r="1174" spans="1:7">
      <c r="A1174" s="157"/>
      <c r="B1174" s="158"/>
      <c r="C1174" s="158"/>
      <c r="D1174" s="160"/>
      <c r="E1174" s="158"/>
      <c r="F1174" s="157"/>
      <c r="G1174" s="159"/>
    </row>
    <row r="1175" spans="1:7">
      <c r="A1175" s="157"/>
      <c r="B1175" s="158"/>
      <c r="C1175" s="158"/>
      <c r="D1175" s="160"/>
      <c r="E1175" s="158"/>
      <c r="F1175" s="157"/>
      <c r="G1175" s="159"/>
    </row>
    <row r="1176" spans="1:7">
      <c r="A1176" s="157"/>
      <c r="B1176" s="158"/>
      <c r="C1176" s="158"/>
      <c r="D1176" s="160"/>
      <c r="E1176" s="158"/>
      <c r="F1176" s="157"/>
      <c r="G1176" s="159"/>
    </row>
    <row r="1177" spans="1:7">
      <c r="A1177" s="157"/>
      <c r="B1177" s="158"/>
      <c r="C1177" s="158"/>
      <c r="D1177" s="160"/>
      <c r="E1177" s="158"/>
      <c r="F1177" s="157"/>
      <c r="G1177" s="159"/>
    </row>
    <row r="1178" spans="1:7">
      <c r="A1178" s="157"/>
      <c r="B1178" s="158"/>
      <c r="C1178" s="158"/>
      <c r="D1178" s="160"/>
      <c r="E1178" s="158"/>
      <c r="F1178" s="157"/>
      <c r="G1178" s="159"/>
    </row>
    <row r="1179" spans="1:7">
      <c r="A1179" s="157"/>
      <c r="B1179" s="158"/>
      <c r="C1179" s="158"/>
      <c r="D1179" s="160"/>
      <c r="E1179" s="158"/>
      <c r="F1179" s="157"/>
      <c r="G1179" s="159"/>
    </row>
    <row r="1180" spans="1:7">
      <c r="A1180" s="157"/>
      <c r="B1180" s="158"/>
      <c r="C1180" s="158"/>
      <c r="D1180" s="160"/>
      <c r="E1180" s="158"/>
      <c r="F1180" s="157"/>
      <c r="G1180" s="159"/>
    </row>
    <row r="1181" spans="1:7">
      <c r="A1181" s="157"/>
      <c r="B1181" s="158"/>
      <c r="C1181" s="158"/>
      <c r="D1181" s="160"/>
      <c r="E1181" s="158"/>
      <c r="F1181" s="157"/>
      <c r="G1181" s="159"/>
    </row>
    <row r="1182" spans="1:7">
      <c r="A1182" s="157"/>
      <c r="B1182" s="158"/>
      <c r="C1182" s="158"/>
      <c r="D1182" s="160"/>
      <c r="E1182" s="158"/>
      <c r="F1182" s="157"/>
      <c r="G1182" s="159"/>
    </row>
    <row r="1183" spans="1:7">
      <c r="A1183" s="157"/>
      <c r="B1183" s="158"/>
      <c r="C1183" s="158"/>
      <c r="D1183" s="160"/>
      <c r="E1183" s="158"/>
      <c r="F1183" s="157"/>
      <c r="G1183" s="159"/>
    </row>
    <row r="1184" spans="1:7">
      <c r="A1184" s="157"/>
      <c r="B1184" s="158"/>
      <c r="C1184" s="158"/>
      <c r="D1184" s="160"/>
      <c r="E1184" s="158"/>
      <c r="F1184" s="157"/>
      <c r="G1184" s="159"/>
    </row>
    <row r="1185" spans="1:7">
      <c r="A1185" s="157"/>
      <c r="B1185" s="158"/>
      <c r="C1185" s="158"/>
      <c r="D1185" s="160"/>
      <c r="E1185" s="158"/>
      <c r="F1185" s="157"/>
      <c r="G1185" s="159"/>
    </row>
    <row r="1186" spans="1:7">
      <c r="A1186" s="157"/>
      <c r="B1186" s="158"/>
      <c r="C1186" s="158"/>
      <c r="D1186" s="160"/>
      <c r="E1186" s="158"/>
      <c r="F1186" s="157"/>
      <c r="G1186" s="159"/>
    </row>
    <row r="1187" spans="1:7">
      <c r="A1187" s="157"/>
      <c r="B1187" s="158"/>
      <c r="C1187" s="158"/>
      <c r="D1187" s="160"/>
      <c r="E1187" s="158"/>
      <c r="F1187" s="157"/>
      <c r="G1187" s="159"/>
    </row>
    <row r="1188" spans="1:7">
      <c r="A1188" s="157"/>
      <c r="B1188" s="158"/>
      <c r="C1188" s="158"/>
      <c r="D1188" s="160"/>
      <c r="E1188" s="158"/>
      <c r="F1188" s="157"/>
      <c r="G1188" s="159"/>
    </row>
    <row r="1189" spans="1:7">
      <c r="A1189" s="157"/>
      <c r="B1189" s="158"/>
      <c r="C1189" s="158"/>
      <c r="D1189" s="160"/>
      <c r="E1189" s="158"/>
      <c r="F1189" s="157"/>
      <c r="G1189" s="159"/>
    </row>
    <row r="1190" spans="1:7">
      <c r="A1190" s="157"/>
      <c r="B1190" s="158"/>
      <c r="C1190" s="158"/>
      <c r="D1190" s="160"/>
      <c r="E1190" s="158"/>
      <c r="F1190" s="157"/>
      <c r="G1190" s="159"/>
    </row>
    <row r="1191" spans="1:7">
      <c r="A1191" s="157"/>
      <c r="B1191" s="158"/>
      <c r="C1191" s="158"/>
      <c r="D1191" s="160"/>
      <c r="E1191" s="158"/>
      <c r="F1191" s="157"/>
      <c r="G1191" s="159"/>
    </row>
    <row r="1192" spans="1:7">
      <c r="A1192" s="157"/>
      <c r="B1192" s="158"/>
      <c r="C1192" s="158"/>
      <c r="D1192" s="160"/>
      <c r="E1192" s="158"/>
      <c r="F1192" s="157"/>
      <c r="G1192" s="159"/>
    </row>
    <row r="1193" spans="1:7">
      <c r="A1193" s="157"/>
      <c r="B1193" s="158"/>
      <c r="C1193" s="158"/>
      <c r="D1193" s="160"/>
      <c r="E1193" s="158"/>
      <c r="F1193" s="157"/>
      <c r="G1193" s="159"/>
    </row>
    <row r="1194" spans="1:7">
      <c r="A1194" s="157"/>
      <c r="B1194" s="158"/>
      <c r="C1194" s="158"/>
      <c r="D1194" s="160"/>
      <c r="E1194" s="158"/>
      <c r="F1194" s="157"/>
      <c r="G1194" s="159"/>
    </row>
    <row r="1195" spans="1:7">
      <c r="A1195" s="157"/>
      <c r="B1195" s="158"/>
      <c r="C1195" s="158"/>
      <c r="D1195" s="160"/>
      <c r="E1195" s="158"/>
      <c r="F1195" s="157"/>
      <c r="G1195" s="159"/>
    </row>
    <row r="1196" spans="1:7">
      <c r="A1196" s="157"/>
      <c r="B1196" s="158"/>
      <c r="C1196" s="158"/>
      <c r="D1196" s="160"/>
      <c r="E1196" s="158"/>
      <c r="F1196" s="157"/>
      <c r="G1196" s="159"/>
    </row>
    <row r="1197" spans="1:7">
      <c r="A1197" s="157"/>
      <c r="B1197" s="158"/>
      <c r="C1197" s="158"/>
      <c r="D1197" s="160"/>
      <c r="E1197" s="158"/>
      <c r="F1197" s="157"/>
      <c r="G1197" s="159"/>
    </row>
    <row r="1198" spans="1:7">
      <c r="A1198" s="157"/>
      <c r="B1198" s="158"/>
      <c r="C1198" s="158"/>
      <c r="D1198" s="160"/>
      <c r="E1198" s="158"/>
      <c r="F1198" s="157"/>
      <c r="G1198" s="159"/>
    </row>
    <row r="1199" spans="1:7">
      <c r="A1199" s="157"/>
      <c r="B1199" s="158"/>
      <c r="C1199" s="158"/>
      <c r="D1199" s="160"/>
      <c r="E1199" s="158"/>
      <c r="F1199" s="157"/>
      <c r="G1199" s="159"/>
    </row>
    <row r="1200" spans="1:7">
      <c r="A1200" s="157"/>
      <c r="B1200" s="158"/>
      <c r="C1200" s="158"/>
      <c r="D1200" s="160"/>
      <c r="E1200" s="158"/>
      <c r="F1200" s="157"/>
      <c r="G1200" s="159"/>
    </row>
    <row r="1201" spans="1:7">
      <c r="A1201" s="157"/>
      <c r="B1201" s="158"/>
      <c r="C1201" s="158"/>
      <c r="D1201" s="160"/>
      <c r="E1201" s="158"/>
      <c r="F1201" s="157"/>
      <c r="G1201" s="159"/>
    </row>
    <row r="1202" spans="1:7">
      <c r="A1202" s="157"/>
      <c r="B1202" s="158"/>
      <c r="C1202" s="158"/>
      <c r="D1202" s="160"/>
      <c r="E1202" s="158"/>
      <c r="F1202" s="157"/>
      <c r="G1202" s="159"/>
    </row>
    <row r="1203" spans="1:7">
      <c r="A1203" s="157"/>
      <c r="B1203" s="158"/>
      <c r="C1203" s="158"/>
      <c r="D1203" s="160"/>
      <c r="E1203" s="158"/>
      <c r="F1203" s="157"/>
      <c r="G1203" s="159"/>
    </row>
    <row r="1204" spans="1:7">
      <c r="A1204" s="157"/>
      <c r="B1204" s="158"/>
      <c r="C1204" s="158"/>
      <c r="D1204" s="160"/>
      <c r="E1204" s="158"/>
      <c r="F1204" s="157"/>
      <c r="G1204" s="159"/>
    </row>
    <row r="1205" spans="1:7">
      <c r="A1205" s="157"/>
      <c r="B1205" s="158"/>
      <c r="C1205" s="158"/>
      <c r="D1205" s="160"/>
      <c r="E1205" s="158"/>
      <c r="F1205" s="157"/>
      <c r="G1205" s="159"/>
    </row>
    <row r="1206" spans="1:7">
      <c r="A1206" s="157"/>
      <c r="B1206" s="158"/>
      <c r="C1206" s="158"/>
      <c r="D1206" s="160"/>
      <c r="E1206" s="158"/>
      <c r="F1206" s="157"/>
      <c r="G1206" s="159"/>
    </row>
    <row r="1207" spans="1:7">
      <c r="A1207" s="157"/>
      <c r="B1207" s="158"/>
      <c r="C1207" s="158"/>
      <c r="D1207" s="160"/>
      <c r="E1207" s="158"/>
      <c r="F1207" s="157"/>
      <c r="G1207" s="159"/>
    </row>
    <row r="1208" spans="1:7">
      <c r="A1208" s="157"/>
      <c r="B1208" s="158"/>
      <c r="C1208" s="158"/>
      <c r="D1208" s="160"/>
      <c r="E1208" s="158"/>
      <c r="F1208" s="157"/>
      <c r="G1208" s="159"/>
    </row>
    <row r="1209" spans="1:7">
      <c r="A1209" s="157"/>
      <c r="B1209" s="158"/>
      <c r="C1209" s="158"/>
      <c r="D1209" s="160"/>
      <c r="E1209" s="158"/>
      <c r="F1209" s="157"/>
      <c r="G1209" s="159"/>
    </row>
    <row r="1210" spans="1:7">
      <c r="A1210" s="157"/>
      <c r="B1210" s="158"/>
      <c r="C1210" s="158"/>
      <c r="D1210" s="160"/>
      <c r="E1210" s="158"/>
      <c r="F1210" s="157"/>
      <c r="G1210" s="159"/>
    </row>
    <row r="1211" spans="1:7">
      <c r="A1211" s="157"/>
      <c r="B1211" s="158"/>
      <c r="C1211" s="158"/>
      <c r="D1211" s="160"/>
      <c r="E1211" s="158"/>
      <c r="F1211" s="157"/>
      <c r="G1211" s="159"/>
    </row>
    <row r="1212" spans="1:7">
      <c r="A1212" s="157"/>
      <c r="B1212" s="158"/>
      <c r="C1212" s="158"/>
      <c r="D1212" s="160"/>
      <c r="E1212" s="158"/>
      <c r="F1212" s="157"/>
      <c r="G1212" s="159"/>
    </row>
    <row r="1213" spans="1:7">
      <c r="A1213" s="157"/>
      <c r="B1213" s="158"/>
      <c r="C1213" s="158"/>
      <c r="D1213" s="160"/>
      <c r="E1213" s="158"/>
      <c r="F1213" s="157"/>
      <c r="G1213" s="159"/>
    </row>
    <row r="1214" spans="1:7">
      <c r="A1214" s="157"/>
      <c r="B1214" s="158"/>
      <c r="C1214" s="158"/>
      <c r="D1214" s="160"/>
      <c r="E1214" s="158"/>
      <c r="F1214" s="157"/>
      <c r="G1214" s="159"/>
    </row>
    <row r="1215" spans="1:7">
      <c r="A1215" s="157"/>
      <c r="B1215" s="158"/>
      <c r="C1215" s="158"/>
      <c r="D1215" s="160"/>
      <c r="E1215" s="158"/>
      <c r="F1215" s="157"/>
      <c r="G1215" s="159"/>
    </row>
    <row r="1216" spans="1:7">
      <c r="A1216" s="157"/>
      <c r="B1216" s="158"/>
      <c r="C1216" s="158"/>
      <c r="D1216" s="160"/>
      <c r="E1216" s="158"/>
      <c r="F1216" s="157"/>
      <c r="G1216" s="159"/>
    </row>
    <row r="1217" spans="1:7">
      <c r="A1217" s="157"/>
      <c r="B1217" s="158"/>
      <c r="C1217" s="158"/>
      <c r="D1217" s="160"/>
      <c r="E1217" s="158"/>
      <c r="F1217" s="157"/>
      <c r="G1217" s="159"/>
    </row>
    <row r="1218" spans="1:7">
      <c r="A1218" s="157"/>
      <c r="B1218" s="158"/>
      <c r="C1218" s="158"/>
      <c r="D1218" s="160"/>
      <c r="E1218" s="158"/>
      <c r="F1218" s="157"/>
      <c r="G1218" s="159"/>
    </row>
    <row r="1219" spans="1:7">
      <c r="A1219" s="157"/>
      <c r="B1219" s="158"/>
      <c r="C1219" s="158"/>
      <c r="D1219" s="160"/>
      <c r="E1219" s="158"/>
      <c r="F1219" s="157"/>
      <c r="G1219" s="159"/>
    </row>
    <row r="1220" spans="1:7">
      <c r="A1220" s="157"/>
      <c r="B1220" s="158"/>
      <c r="C1220" s="158"/>
      <c r="D1220" s="160"/>
      <c r="E1220" s="158"/>
      <c r="F1220" s="157"/>
      <c r="G1220" s="159"/>
    </row>
    <row r="1221" spans="1:7">
      <c r="A1221" s="157"/>
      <c r="B1221" s="158"/>
      <c r="C1221" s="158"/>
      <c r="D1221" s="160"/>
      <c r="E1221" s="158"/>
      <c r="F1221" s="157"/>
      <c r="G1221" s="159"/>
    </row>
    <row r="1222" spans="1:7">
      <c r="A1222" s="157"/>
      <c r="B1222" s="158"/>
      <c r="C1222" s="158"/>
      <c r="D1222" s="160"/>
      <c r="E1222" s="158"/>
      <c r="F1222" s="157"/>
      <c r="G1222" s="159"/>
    </row>
    <row r="1223" spans="1:7">
      <c r="A1223" s="157"/>
      <c r="B1223" s="158"/>
      <c r="C1223" s="158"/>
      <c r="D1223" s="160"/>
      <c r="E1223" s="158"/>
      <c r="F1223" s="157"/>
      <c r="G1223" s="159"/>
    </row>
    <row r="1224" spans="1:7">
      <c r="A1224" s="157"/>
      <c r="B1224" s="158"/>
      <c r="C1224" s="158"/>
      <c r="D1224" s="160"/>
      <c r="E1224" s="158"/>
      <c r="F1224" s="157"/>
      <c r="G1224" s="159"/>
    </row>
    <row r="1225" spans="1:7">
      <c r="A1225" s="157"/>
      <c r="B1225" s="158"/>
      <c r="C1225" s="158"/>
      <c r="D1225" s="160"/>
      <c r="E1225" s="158"/>
      <c r="F1225" s="157"/>
      <c r="G1225" s="159"/>
    </row>
    <row r="1226" spans="1:7">
      <c r="A1226" s="157"/>
      <c r="B1226" s="158"/>
      <c r="C1226" s="158"/>
      <c r="D1226" s="160"/>
      <c r="E1226" s="158"/>
      <c r="F1226" s="157"/>
      <c r="G1226" s="159"/>
    </row>
    <row r="1227" spans="1:7">
      <c r="A1227" s="157"/>
      <c r="B1227" s="158"/>
      <c r="C1227" s="158"/>
      <c r="D1227" s="160"/>
      <c r="E1227" s="158"/>
      <c r="F1227" s="157"/>
      <c r="G1227" s="159"/>
    </row>
    <row r="1228" spans="1:7">
      <c r="A1228" s="157"/>
      <c r="B1228" s="158"/>
      <c r="C1228" s="158"/>
      <c r="D1228" s="160"/>
      <c r="E1228" s="158"/>
      <c r="F1228" s="157"/>
      <c r="G1228" s="159"/>
    </row>
    <row r="1229" spans="1:7">
      <c r="A1229" s="157"/>
      <c r="B1229" s="158"/>
      <c r="C1229" s="158"/>
      <c r="D1229" s="160"/>
      <c r="E1229" s="158"/>
      <c r="F1229" s="157"/>
      <c r="G1229" s="159"/>
    </row>
    <row r="1230" spans="1:7">
      <c r="A1230" s="157"/>
      <c r="B1230" s="158"/>
      <c r="C1230" s="158"/>
      <c r="D1230" s="160"/>
      <c r="E1230" s="158"/>
      <c r="F1230" s="157"/>
      <c r="G1230" s="159"/>
    </row>
    <row r="1231" spans="1:7">
      <c r="A1231" s="157"/>
      <c r="B1231" s="158"/>
      <c r="C1231" s="158"/>
      <c r="D1231" s="160"/>
      <c r="E1231" s="158"/>
      <c r="F1231" s="157"/>
      <c r="G1231" s="159"/>
    </row>
    <row r="1232" spans="1:7">
      <c r="A1232" s="157"/>
      <c r="B1232" s="158"/>
      <c r="C1232" s="158"/>
      <c r="D1232" s="160"/>
      <c r="E1232" s="158"/>
      <c r="F1232" s="157"/>
      <c r="G1232" s="159"/>
    </row>
    <row r="1233" spans="1:7">
      <c r="A1233" s="157"/>
      <c r="B1233" s="158"/>
      <c r="C1233" s="158"/>
      <c r="D1233" s="160"/>
      <c r="E1233" s="158"/>
      <c r="F1233" s="157"/>
      <c r="G1233" s="159"/>
    </row>
    <row r="1234" spans="1:7">
      <c r="A1234" s="157"/>
      <c r="B1234" s="158"/>
      <c r="C1234" s="158"/>
      <c r="D1234" s="160"/>
      <c r="E1234" s="158"/>
      <c r="F1234" s="157"/>
      <c r="G1234" s="159"/>
    </row>
    <row r="1235" spans="1:7">
      <c r="A1235" s="157"/>
      <c r="B1235" s="158"/>
      <c r="C1235" s="158"/>
      <c r="D1235" s="160"/>
      <c r="E1235" s="158"/>
      <c r="F1235" s="157"/>
      <c r="G1235" s="159"/>
    </row>
    <row r="1236" spans="1:7">
      <c r="A1236" s="157"/>
      <c r="B1236" s="158"/>
      <c r="C1236" s="158"/>
      <c r="D1236" s="160"/>
      <c r="E1236" s="158"/>
      <c r="F1236" s="157"/>
      <c r="G1236" s="159"/>
    </row>
    <row r="1237" spans="1:7">
      <c r="A1237" s="157"/>
      <c r="B1237" s="158"/>
      <c r="C1237" s="158"/>
      <c r="D1237" s="160"/>
      <c r="E1237" s="158"/>
      <c r="F1237" s="157"/>
      <c r="G1237" s="159"/>
    </row>
    <row r="1238" spans="1:7">
      <c r="A1238" s="157"/>
      <c r="B1238" s="158"/>
      <c r="C1238" s="158"/>
      <c r="D1238" s="160"/>
      <c r="E1238" s="158"/>
      <c r="F1238" s="157"/>
      <c r="G1238" s="159"/>
    </row>
    <row r="1239" spans="1:7">
      <c r="A1239" s="157"/>
      <c r="B1239" s="158"/>
      <c r="C1239" s="158"/>
      <c r="D1239" s="160"/>
      <c r="E1239" s="158"/>
      <c r="F1239" s="157"/>
      <c r="G1239" s="159"/>
    </row>
    <row r="1240" spans="1:7">
      <c r="A1240" s="157"/>
      <c r="B1240" s="158"/>
      <c r="C1240" s="158"/>
      <c r="D1240" s="160"/>
      <c r="E1240" s="158"/>
      <c r="F1240" s="157"/>
      <c r="G1240" s="159"/>
    </row>
    <row r="1241" spans="1:7">
      <c r="A1241" s="157"/>
      <c r="B1241" s="158"/>
      <c r="C1241" s="158"/>
      <c r="D1241" s="160"/>
      <c r="E1241" s="158"/>
      <c r="F1241" s="157"/>
      <c r="G1241" s="159"/>
    </row>
    <row r="1242" spans="1:7">
      <c r="A1242" s="157"/>
      <c r="B1242" s="158"/>
      <c r="C1242" s="158"/>
      <c r="D1242" s="160"/>
      <c r="E1242" s="158"/>
      <c r="F1242" s="157"/>
      <c r="G1242" s="159"/>
    </row>
    <row r="1243" spans="1:7">
      <c r="A1243" s="157"/>
      <c r="B1243" s="158"/>
      <c r="C1243" s="158"/>
      <c r="D1243" s="160"/>
      <c r="E1243" s="158"/>
      <c r="F1243" s="157"/>
      <c r="G1243" s="159"/>
    </row>
    <row r="1244" spans="1:7">
      <c r="A1244" s="157"/>
      <c r="B1244" s="158"/>
      <c r="C1244" s="158"/>
      <c r="D1244" s="160"/>
      <c r="E1244" s="158"/>
      <c r="F1244" s="157"/>
      <c r="G1244" s="159"/>
    </row>
    <row r="1245" spans="1:7">
      <c r="A1245" s="157"/>
      <c r="B1245" s="158"/>
      <c r="C1245" s="158"/>
      <c r="D1245" s="160"/>
      <c r="E1245" s="158"/>
      <c r="F1245" s="157"/>
      <c r="G1245" s="159"/>
    </row>
    <row r="1246" spans="1:7">
      <c r="A1246" s="157"/>
      <c r="B1246" s="158"/>
      <c r="C1246" s="158"/>
      <c r="D1246" s="160"/>
      <c r="E1246" s="158"/>
      <c r="F1246" s="157"/>
      <c r="G1246" s="159"/>
    </row>
    <row r="1247" spans="1:7">
      <c r="A1247" s="157"/>
      <c r="B1247" s="158"/>
      <c r="C1247" s="158"/>
      <c r="D1247" s="160"/>
      <c r="E1247" s="158"/>
      <c r="F1247" s="157"/>
      <c r="G1247" s="159"/>
    </row>
    <row r="1248" spans="1:7">
      <c r="A1248" s="157"/>
      <c r="B1248" s="158"/>
      <c r="C1248" s="158"/>
      <c r="D1248" s="160"/>
      <c r="E1248" s="158"/>
      <c r="F1248" s="157"/>
      <c r="G1248" s="159"/>
    </row>
    <row r="1249" spans="1:7">
      <c r="A1249" s="157"/>
      <c r="B1249" s="158"/>
      <c r="C1249" s="158"/>
      <c r="D1249" s="160"/>
      <c r="E1249" s="158"/>
      <c r="F1249" s="157"/>
      <c r="G1249" s="159"/>
    </row>
    <row r="1250" spans="1:7">
      <c r="A1250" s="157"/>
      <c r="B1250" s="158"/>
      <c r="C1250" s="158"/>
      <c r="D1250" s="160"/>
      <c r="E1250" s="158"/>
      <c r="F1250" s="157"/>
      <c r="G1250" s="159"/>
    </row>
    <row r="1251" spans="1:7">
      <c r="A1251" s="157"/>
      <c r="B1251" s="158"/>
      <c r="C1251" s="158"/>
      <c r="D1251" s="160"/>
      <c r="E1251" s="158"/>
      <c r="F1251" s="157"/>
      <c r="G1251" s="159"/>
    </row>
    <row r="1252" spans="1:7">
      <c r="A1252" s="157"/>
      <c r="B1252" s="158"/>
      <c r="C1252" s="158"/>
      <c r="D1252" s="160"/>
      <c r="E1252" s="158"/>
      <c r="F1252" s="157"/>
      <c r="G1252" s="159"/>
    </row>
    <row r="1253" spans="1:7">
      <c r="A1253" s="157"/>
      <c r="B1253" s="158"/>
      <c r="C1253" s="158"/>
      <c r="D1253" s="160"/>
      <c r="E1253" s="158"/>
      <c r="F1253" s="157"/>
      <c r="G1253" s="159"/>
    </row>
    <row r="1254" spans="1:7">
      <c r="A1254" s="157"/>
      <c r="B1254" s="158"/>
      <c r="C1254" s="158"/>
      <c r="D1254" s="160"/>
      <c r="E1254" s="158"/>
      <c r="F1254" s="157"/>
      <c r="G1254" s="159"/>
    </row>
    <row r="1255" spans="1:7">
      <c r="A1255" s="157"/>
      <c r="B1255" s="158"/>
      <c r="C1255" s="158"/>
      <c r="D1255" s="160"/>
      <c r="E1255" s="158"/>
      <c r="F1255" s="157"/>
      <c r="G1255" s="159"/>
    </row>
    <row r="1256" spans="1:7">
      <c r="A1256" s="157"/>
      <c r="B1256" s="158"/>
      <c r="C1256" s="158"/>
      <c r="D1256" s="160"/>
      <c r="E1256" s="158"/>
      <c r="F1256" s="157"/>
      <c r="G1256" s="159"/>
    </row>
    <row r="1257" spans="1:7">
      <c r="A1257" s="157"/>
      <c r="B1257" s="158"/>
      <c r="C1257" s="158"/>
      <c r="D1257" s="160"/>
      <c r="E1257" s="158"/>
      <c r="F1257" s="157"/>
      <c r="G1257" s="159"/>
    </row>
    <row r="1258" spans="1:7">
      <c r="A1258" s="157"/>
      <c r="B1258" s="158"/>
      <c r="C1258" s="158"/>
      <c r="D1258" s="160"/>
      <c r="E1258" s="158"/>
      <c r="F1258" s="157"/>
      <c r="G1258" s="159"/>
    </row>
    <row r="1259" spans="1:7">
      <c r="A1259" s="157"/>
      <c r="B1259" s="158"/>
      <c r="C1259" s="158"/>
      <c r="D1259" s="160"/>
      <c r="E1259" s="158"/>
      <c r="F1259" s="157"/>
      <c r="G1259" s="159"/>
    </row>
    <row r="1260" spans="1:7">
      <c r="A1260" s="157"/>
      <c r="B1260" s="158"/>
      <c r="C1260" s="158"/>
      <c r="D1260" s="160"/>
      <c r="E1260" s="158"/>
      <c r="F1260" s="157"/>
      <c r="G1260" s="159"/>
    </row>
    <row r="1261" spans="1:7">
      <c r="A1261" s="157"/>
      <c r="B1261" s="158"/>
      <c r="C1261" s="158"/>
      <c r="D1261" s="160"/>
      <c r="E1261" s="158"/>
      <c r="F1261" s="157"/>
      <c r="G1261" s="159"/>
    </row>
    <row r="1262" spans="1:7">
      <c r="A1262" s="157"/>
      <c r="B1262" s="158"/>
      <c r="C1262" s="158"/>
      <c r="D1262" s="160"/>
      <c r="E1262" s="158"/>
      <c r="F1262" s="157"/>
      <c r="G1262" s="159"/>
    </row>
    <row r="1263" spans="1:7">
      <c r="A1263" s="157"/>
      <c r="B1263" s="158"/>
      <c r="C1263" s="158"/>
      <c r="D1263" s="160"/>
      <c r="E1263" s="158"/>
      <c r="F1263" s="157"/>
      <c r="G1263" s="159"/>
    </row>
    <row r="1264" spans="1:7">
      <c r="A1264" s="157"/>
      <c r="B1264" s="158"/>
      <c r="C1264" s="158"/>
      <c r="D1264" s="160"/>
      <c r="E1264" s="158"/>
      <c r="F1264" s="157"/>
      <c r="G1264" s="159"/>
    </row>
    <row r="1265" spans="1:7">
      <c r="A1265" s="157"/>
      <c r="B1265" s="158"/>
      <c r="C1265" s="158"/>
      <c r="D1265" s="160"/>
      <c r="E1265" s="158"/>
      <c r="F1265" s="157"/>
      <c r="G1265" s="159"/>
    </row>
    <row r="1266" spans="1:7">
      <c r="A1266" s="157"/>
      <c r="B1266" s="158"/>
      <c r="C1266" s="158"/>
      <c r="D1266" s="160"/>
      <c r="E1266" s="158"/>
      <c r="F1266" s="157"/>
      <c r="G1266" s="159"/>
    </row>
    <row r="1267" spans="1:7">
      <c r="A1267" s="157"/>
      <c r="B1267" s="158"/>
      <c r="C1267" s="158"/>
      <c r="D1267" s="160"/>
      <c r="E1267" s="158"/>
      <c r="F1267" s="157"/>
      <c r="G1267" s="159"/>
    </row>
    <row r="1268" spans="1:7">
      <c r="A1268" s="157"/>
      <c r="B1268" s="158"/>
      <c r="C1268" s="158"/>
      <c r="D1268" s="160"/>
      <c r="E1268" s="158"/>
      <c r="F1268" s="157"/>
      <c r="G1268" s="159"/>
    </row>
    <row r="1269" spans="1:7">
      <c r="A1269" s="157"/>
      <c r="B1269" s="158"/>
      <c r="C1269" s="158"/>
      <c r="D1269" s="160"/>
      <c r="E1269" s="158"/>
      <c r="F1269" s="157"/>
      <c r="G1269" s="159"/>
    </row>
    <row r="1270" spans="1:7">
      <c r="A1270" s="157"/>
      <c r="B1270" s="158"/>
      <c r="C1270" s="158"/>
      <c r="D1270" s="160"/>
      <c r="E1270" s="158"/>
      <c r="F1270" s="157"/>
      <c r="G1270" s="159"/>
    </row>
    <row r="1271" spans="1:7">
      <c r="A1271" s="157"/>
      <c r="B1271" s="158"/>
      <c r="C1271" s="158"/>
      <c r="D1271" s="160"/>
      <c r="E1271" s="158"/>
      <c r="F1271" s="157"/>
      <c r="G1271" s="159"/>
    </row>
    <row r="1272" spans="1:7">
      <c r="A1272" s="157"/>
      <c r="B1272" s="158"/>
      <c r="C1272" s="158"/>
      <c r="D1272" s="160"/>
      <c r="E1272" s="158"/>
      <c r="F1272" s="157"/>
      <c r="G1272" s="159"/>
    </row>
    <row r="1273" spans="1:7">
      <c r="A1273" s="157"/>
      <c r="B1273" s="158"/>
      <c r="C1273" s="158"/>
      <c r="D1273" s="160"/>
      <c r="E1273" s="158"/>
      <c r="F1273" s="157"/>
      <c r="G1273" s="159"/>
    </row>
    <row r="1274" spans="1:7">
      <c r="A1274" s="157"/>
      <c r="B1274" s="158"/>
      <c r="C1274" s="158"/>
      <c r="D1274" s="160"/>
      <c r="E1274" s="158"/>
      <c r="F1274" s="157"/>
      <c r="G1274" s="159"/>
    </row>
    <row r="1275" spans="1:7">
      <c r="A1275" s="157"/>
      <c r="B1275" s="158"/>
      <c r="C1275" s="158"/>
      <c r="D1275" s="160"/>
      <c r="E1275" s="158"/>
      <c r="F1275" s="157"/>
      <c r="G1275" s="159"/>
    </row>
    <row r="1276" spans="1:7">
      <c r="A1276" s="157"/>
      <c r="B1276" s="158"/>
      <c r="C1276" s="158"/>
      <c r="D1276" s="160"/>
      <c r="E1276" s="158"/>
      <c r="F1276" s="157"/>
      <c r="G1276" s="159"/>
    </row>
    <row r="1277" spans="1:7">
      <c r="A1277" s="157"/>
      <c r="B1277" s="158"/>
      <c r="C1277" s="158"/>
      <c r="D1277" s="160"/>
      <c r="E1277" s="158"/>
      <c r="F1277" s="157"/>
      <c r="G1277" s="159"/>
    </row>
    <row r="1278" spans="1:7">
      <c r="A1278" s="157"/>
      <c r="B1278" s="158"/>
      <c r="C1278" s="158"/>
      <c r="D1278" s="160"/>
      <c r="E1278" s="158"/>
      <c r="F1278" s="157"/>
      <c r="G1278" s="159"/>
    </row>
    <row r="1279" spans="1:7">
      <c r="A1279" s="157"/>
      <c r="B1279" s="158"/>
      <c r="C1279" s="158"/>
      <c r="D1279" s="160"/>
      <c r="E1279" s="158"/>
      <c r="F1279" s="157"/>
      <c r="G1279" s="159"/>
    </row>
    <row r="1280" spans="1:7">
      <c r="A1280" s="157"/>
      <c r="B1280" s="158"/>
      <c r="C1280" s="158"/>
      <c r="D1280" s="160"/>
      <c r="E1280" s="158"/>
      <c r="F1280" s="157"/>
      <c r="G1280" s="159"/>
    </row>
    <row r="1281" spans="1:7">
      <c r="A1281" s="157"/>
      <c r="B1281" s="158"/>
      <c r="C1281" s="158"/>
      <c r="D1281" s="160"/>
      <c r="E1281" s="158"/>
      <c r="F1281" s="157"/>
      <c r="G1281" s="159"/>
    </row>
    <row r="1282" spans="1:7">
      <c r="A1282" s="157"/>
      <c r="B1282" s="158"/>
      <c r="C1282" s="158"/>
      <c r="D1282" s="160"/>
      <c r="E1282" s="158"/>
      <c r="F1282" s="157"/>
      <c r="G1282" s="159"/>
    </row>
    <row r="1283" spans="1:7">
      <c r="A1283" s="157"/>
      <c r="B1283" s="158"/>
      <c r="C1283" s="158"/>
      <c r="D1283" s="160"/>
      <c r="E1283" s="158"/>
      <c r="F1283" s="157"/>
      <c r="G1283" s="159"/>
    </row>
    <row r="1284" spans="1:7">
      <c r="A1284" s="157"/>
      <c r="B1284" s="158"/>
      <c r="C1284" s="158"/>
      <c r="D1284" s="160"/>
      <c r="E1284" s="158"/>
      <c r="F1284" s="157"/>
      <c r="G1284" s="159"/>
    </row>
    <row r="1285" spans="1:7">
      <c r="A1285" s="157"/>
      <c r="B1285" s="158"/>
      <c r="C1285" s="158"/>
      <c r="D1285" s="160"/>
      <c r="E1285" s="158"/>
      <c r="F1285" s="157"/>
      <c r="G1285" s="159"/>
    </row>
    <row r="1286" spans="1:7">
      <c r="A1286" s="157"/>
      <c r="B1286" s="158"/>
      <c r="C1286" s="158"/>
      <c r="D1286" s="160"/>
      <c r="E1286" s="158"/>
      <c r="F1286" s="157"/>
      <c r="G1286" s="159"/>
    </row>
    <row r="1287" spans="1:7">
      <c r="A1287" s="157"/>
      <c r="B1287" s="158"/>
      <c r="C1287" s="158"/>
      <c r="D1287" s="160"/>
      <c r="E1287" s="158"/>
      <c r="F1287" s="157"/>
      <c r="G1287" s="159"/>
    </row>
    <row r="1288" spans="1:7">
      <c r="A1288" s="157"/>
      <c r="B1288" s="158"/>
      <c r="C1288" s="158"/>
      <c r="D1288" s="160"/>
      <c r="E1288" s="158"/>
      <c r="F1288" s="157"/>
      <c r="G1288" s="159"/>
    </row>
    <row r="1289" spans="1:7">
      <c r="A1289" s="157"/>
      <c r="B1289" s="158"/>
      <c r="C1289" s="158"/>
      <c r="D1289" s="160"/>
      <c r="E1289" s="158"/>
      <c r="F1289" s="157"/>
      <c r="G1289" s="159"/>
    </row>
    <row r="1290" spans="1:7">
      <c r="A1290" s="157"/>
      <c r="B1290" s="158"/>
      <c r="C1290" s="158"/>
      <c r="D1290" s="160"/>
      <c r="E1290" s="158"/>
      <c r="F1290" s="157"/>
      <c r="G1290" s="159"/>
    </row>
    <row r="1291" spans="1:7">
      <c r="A1291" s="157"/>
      <c r="B1291" s="158"/>
      <c r="C1291" s="158"/>
      <c r="D1291" s="160"/>
      <c r="E1291" s="158"/>
      <c r="F1291" s="157"/>
      <c r="G1291" s="159"/>
    </row>
    <row r="1292" spans="1:7">
      <c r="A1292" s="157"/>
      <c r="B1292" s="158"/>
      <c r="C1292" s="158"/>
      <c r="D1292" s="160"/>
      <c r="E1292" s="158"/>
      <c r="F1292" s="157"/>
      <c r="G1292" s="159"/>
    </row>
    <row r="1293" spans="1:7">
      <c r="A1293" s="157"/>
      <c r="B1293" s="158"/>
      <c r="C1293" s="158"/>
      <c r="D1293" s="160"/>
      <c r="E1293" s="158"/>
      <c r="F1293" s="157"/>
      <c r="G1293" s="159"/>
    </row>
    <row r="1294" spans="1:7">
      <c r="A1294" s="157"/>
      <c r="B1294" s="158"/>
      <c r="C1294" s="158"/>
      <c r="D1294" s="160"/>
      <c r="E1294" s="158"/>
      <c r="F1294" s="157"/>
      <c r="G1294" s="159"/>
    </row>
    <row r="1295" spans="1:7">
      <c r="A1295" s="157"/>
      <c r="B1295" s="158"/>
      <c r="C1295" s="158"/>
      <c r="D1295" s="160"/>
      <c r="E1295" s="158"/>
      <c r="F1295" s="157"/>
      <c r="G1295" s="159"/>
    </row>
    <row r="1296" spans="1:7">
      <c r="A1296" s="157"/>
      <c r="B1296" s="158"/>
      <c r="C1296" s="158"/>
      <c r="D1296" s="160"/>
      <c r="E1296" s="158"/>
      <c r="F1296" s="157"/>
      <c r="G1296" s="159"/>
    </row>
    <row r="1297" spans="1:7">
      <c r="A1297" s="157"/>
      <c r="B1297" s="158"/>
      <c r="C1297" s="158"/>
      <c r="D1297" s="160"/>
      <c r="E1297" s="158"/>
      <c r="F1297" s="157"/>
      <c r="G1297" s="159"/>
    </row>
    <row r="1298" spans="1:7">
      <c r="A1298" s="157"/>
      <c r="B1298" s="158"/>
      <c r="C1298" s="158"/>
      <c r="D1298" s="160"/>
      <c r="E1298" s="158"/>
      <c r="F1298" s="157"/>
      <c r="G1298" s="159"/>
    </row>
    <row r="1299" spans="1:7">
      <c r="A1299" s="157"/>
      <c r="B1299" s="158"/>
      <c r="C1299" s="158"/>
      <c r="D1299" s="160"/>
      <c r="E1299" s="158"/>
      <c r="F1299" s="157"/>
      <c r="G1299" s="159"/>
    </row>
    <row r="1300" spans="1:7">
      <c r="A1300" s="157"/>
      <c r="B1300" s="158"/>
      <c r="C1300" s="158"/>
      <c r="D1300" s="160"/>
      <c r="E1300" s="158"/>
      <c r="F1300" s="157"/>
      <c r="G1300" s="159"/>
    </row>
    <row r="1301" spans="1:7">
      <c r="A1301" s="157"/>
      <c r="B1301" s="158"/>
      <c r="C1301" s="158"/>
      <c r="D1301" s="160"/>
      <c r="E1301" s="158"/>
      <c r="F1301" s="157"/>
      <c r="G1301" s="159"/>
    </row>
    <row r="1302" spans="1:7">
      <c r="A1302" s="157"/>
      <c r="B1302" s="158"/>
      <c r="C1302" s="158"/>
      <c r="D1302" s="160"/>
      <c r="E1302" s="158"/>
      <c r="F1302" s="157"/>
      <c r="G1302" s="159"/>
    </row>
    <row r="1303" spans="1:7">
      <c r="A1303" s="157"/>
      <c r="B1303" s="158"/>
      <c r="C1303" s="158"/>
      <c r="D1303" s="160"/>
      <c r="E1303" s="158"/>
      <c r="F1303" s="157"/>
      <c r="G1303" s="159"/>
    </row>
    <row r="1304" spans="1:7">
      <c r="A1304" s="157"/>
      <c r="B1304" s="158"/>
      <c r="C1304" s="158"/>
      <c r="D1304" s="160"/>
      <c r="E1304" s="158"/>
      <c r="F1304" s="157"/>
      <c r="G1304" s="159"/>
    </row>
    <row r="1305" spans="1:7">
      <c r="A1305" s="157"/>
      <c r="B1305" s="158"/>
      <c r="C1305" s="158"/>
      <c r="D1305" s="160"/>
      <c r="E1305" s="158"/>
      <c r="F1305" s="157"/>
      <c r="G1305" s="159"/>
    </row>
    <row r="1306" spans="1:7">
      <c r="A1306" s="157"/>
      <c r="B1306" s="158"/>
      <c r="C1306" s="158"/>
      <c r="D1306" s="160"/>
      <c r="E1306" s="158"/>
      <c r="F1306" s="157"/>
      <c r="G1306" s="159"/>
    </row>
    <row r="1307" spans="1:7">
      <c r="A1307" s="157"/>
      <c r="B1307" s="158"/>
      <c r="C1307" s="158"/>
      <c r="D1307" s="160"/>
      <c r="E1307" s="158"/>
      <c r="F1307" s="157"/>
      <c r="G1307" s="159"/>
    </row>
    <row r="1308" spans="1:7">
      <c r="A1308" s="157"/>
      <c r="B1308" s="158"/>
      <c r="C1308" s="158"/>
      <c r="D1308" s="160"/>
      <c r="E1308" s="158"/>
      <c r="F1308" s="157"/>
      <c r="G1308" s="159"/>
    </row>
    <row r="1309" spans="1:7">
      <c r="A1309" s="157"/>
      <c r="B1309" s="158"/>
      <c r="C1309" s="158"/>
      <c r="D1309" s="160"/>
      <c r="E1309" s="158"/>
      <c r="F1309" s="157"/>
      <c r="G1309" s="159"/>
    </row>
    <row r="1310" spans="1:7">
      <c r="A1310" s="157"/>
      <c r="B1310" s="158"/>
      <c r="C1310" s="158"/>
      <c r="D1310" s="160"/>
      <c r="E1310" s="158"/>
      <c r="F1310" s="157"/>
      <c r="G1310" s="159"/>
    </row>
    <row r="1311" spans="1:7">
      <c r="A1311" s="157"/>
      <c r="B1311" s="158"/>
      <c r="C1311" s="158"/>
      <c r="D1311" s="160"/>
      <c r="E1311" s="158"/>
      <c r="F1311" s="157"/>
      <c r="G1311" s="159"/>
    </row>
    <row r="1312" spans="1:7">
      <c r="A1312" s="157"/>
      <c r="B1312" s="158"/>
      <c r="C1312" s="158"/>
      <c r="D1312" s="160"/>
      <c r="E1312" s="158"/>
      <c r="F1312" s="157"/>
      <c r="G1312" s="159"/>
    </row>
    <row r="1313" spans="1:7">
      <c r="A1313" s="157"/>
      <c r="B1313" s="158"/>
      <c r="C1313" s="158"/>
      <c r="D1313" s="160"/>
      <c r="E1313" s="158"/>
      <c r="F1313" s="157"/>
      <c r="G1313" s="159"/>
    </row>
    <row r="1314" spans="1:7">
      <c r="A1314" s="157"/>
      <c r="B1314" s="158"/>
      <c r="C1314" s="158"/>
      <c r="D1314" s="160"/>
      <c r="E1314" s="158"/>
      <c r="F1314" s="157"/>
      <c r="G1314" s="159"/>
    </row>
    <row r="1315" spans="1:7">
      <c r="A1315" s="157"/>
      <c r="B1315" s="158"/>
      <c r="C1315" s="158"/>
      <c r="D1315" s="160"/>
      <c r="E1315" s="158"/>
      <c r="F1315" s="157"/>
      <c r="G1315" s="159"/>
    </row>
    <row r="1316" spans="1:7">
      <c r="A1316" s="157"/>
      <c r="B1316" s="158"/>
      <c r="C1316" s="158"/>
      <c r="D1316" s="160"/>
      <c r="E1316" s="158"/>
      <c r="F1316" s="157"/>
      <c r="G1316" s="159"/>
    </row>
    <row r="1317" spans="1:7">
      <c r="A1317" s="157"/>
      <c r="B1317" s="158"/>
      <c r="C1317" s="158"/>
      <c r="D1317" s="160"/>
      <c r="E1317" s="158"/>
      <c r="F1317" s="157"/>
      <c r="G1317" s="159"/>
    </row>
    <row r="1318" spans="1:7">
      <c r="A1318" s="157"/>
      <c r="B1318" s="158"/>
      <c r="C1318" s="158"/>
      <c r="D1318" s="160"/>
      <c r="E1318" s="158"/>
      <c r="F1318" s="157"/>
      <c r="G1318" s="159"/>
    </row>
    <row r="1319" spans="1:7">
      <c r="A1319" s="157"/>
      <c r="B1319" s="158"/>
      <c r="C1319" s="158"/>
      <c r="D1319" s="160"/>
      <c r="E1319" s="158"/>
      <c r="F1319" s="157"/>
      <c r="G1319" s="159"/>
    </row>
    <row r="1320" spans="1:7">
      <c r="A1320" s="157"/>
      <c r="B1320" s="158"/>
      <c r="C1320" s="158"/>
      <c r="D1320" s="160"/>
      <c r="E1320" s="158"/>
      <c r="F1320" s="157"/>
      <c r="G1320" s="159"/>
    </row>
    <row r="1321" spans="1:7">
      <c r="A1321" s="157"/>
      <c r="B1321" s="158"/>
      <c r="C1321" s="158"/>
      <c r="D1321" s="160"/>
      <c r="E1321" s="158"/>
      <c r="F1321" s="157"/>
      <c r="G1321" s="159"/>
    </row>
    <row r="1322" spans="1:7">
      <c r="A1322" s="157"/>
      <c r="B1322" s="158"/>
      <c r="C1322" s="158"/>
      <c r="D1322" s="160"/>
      <c r="E1322" s="158"/>
      <c r="F1322" s="157"/>
      <c r="G1322" s="159"/>
    </row>
    <row r="1323" spans="1:7">
      <c r="A1323" s="157"/>
      <c r="B1323" s="158"/>
      <c r="C1323" s="158"/>
      <c r="D1323" s="160"/>
      <c r="E1323" s="158"/>
      <c r="F1323" s="157"/>
      <c r="G1323" s="159"/>
    </row>
    <row r="1324" spans="1:7">
      <c r="A1324" s="157"/>
      <c r="B1324" s="158"/>
      <c r="C1324" s="158"/>
      <c r="D1324" s="160"/>
      <c r="E1324" s="158"/>
      <c r="F1324" s="157"/>
      <c r="G1324" s="159"/>
    </row>
    <row r="1325" spans="1:7">
      <c r="A1325" s="157"/>
      <c r="B1325" s="158"/>
      <c r="C1325" s="158"/>
      <c r="D1325" s="160"/>
      <c r="E1325" s="158"/>
      <c r="F1325" s="157"/>
      <c r="G1325" s="159"/>
    </row>
    <row r="1326" spans="1:7">
      <c r="A1326" s="157"/>
      <c r="B1326" s="158"/>
      <c r="C1326" s="158"/>
      <c r="D1326" s="160"/>
      <c r="E1326" s="158"/>
      <c r="F1326" s="157"/>
      <c r="G1326" s="159"/>
    </row>
    <row r="1327" spans="1:7">
      <c r="A1327" s="157"/>
      <c r="B1327" s="158"/>
      <c r="C1327" s="158"/>
      <c r="D1327" s="160"/>
      <c r="E1327" s="158"/>
      <c r="F1327" s="157"/>
      <c r="G1327" s="159"/>
    </row>
    <row r="1328" spans="1:7">
      <c r="A1328" s="157"/>
      <c r="B1328" s="158"/>
      <c r="C1328" s="158"/>
      <c r="D1328" s="160"/>
      <c r="E1328" s="158"/>
      <c r="F1328" s="157"/>
      <c r="G1328" s="159"/>
    </row>
    <row r="1329" spans="1:7">
      <c r="A1329" s="157"/>
      <c r="B1329" s="158"/>
      <c r="C1329" s="158"/>
      <c r="D1329" s="160"/>
      <c r="E1329" s="158"/>
      <c r="F1329" s="157"/>
      <c r="G1329" s="159"/>
    </row>
    <row r="1330" spans="1:7">
      <c r="A1330" s="157"/>
      <c r="B1330" s="158"/>
      <c r="C1330" s="158"/>
      <c r="D1330" s="160"/>
      <c r="E1330" s="158"/>
      <c r="F1330" s="157"/>
      <c r="G1330" s="159"/>
    </row>
    <row r="1331" spans="1:7">
      <c r="A1331" s="157"/>
      <c r="B1331" s="158"/>
      <c r="C1331" s="158"/>
      <c r="D1331" s="160"/>
      <c r="E1331" s="158"/>
      <c r="F1331" s="157"/>
      <c r="G1331" s="159"/>
    </row>
    <row r="1332" spans="1:7">
      <c r="A1332" s="157"/>
      <c r="B1332" s="158"/>
      <c r="C1332" s="158"/>
      <c r="D1332" s="160"/>
      <c r="E1332" s="158"/>
      <c r="F1332" s="157"/>
      <c r="G1332" s="159"/>
    </row>
    <row r="1333" spans="1:7">
      <c r="A1333" s="157"/>
      <c r="B1333" s="158"/>
      <c r="C1333" s="158"/>
      <c r="D1333" s="160"/>
      <c r="E1333" s="158"/>
      <c r="F1333" s="157"/>
      <c r="G1333" s="159"/>
    </row>
    <row r="1334" spans="1:7">
      <c r="A1334" s="157"/>
      <c r="B1334" s="158"/>
      <c r="C1334" s="158"/>
      <c r="D1334" s="160"/>
      <c r="E1334" s="158"/>
      <c r="F1334" s="157"/>
      <c r="G1334" s="159"/>
    </row>
    <row r="1335" spans="1:7">
      <c r="A1335" s="157"/>
      <c r="B1335" s="158"/>
      <c r="C1335" s="158"/>
      <c r="D1335" s="160"/>
      <c r="E1335" s="158"/>
      <c r="F1335" s="157"/>
      <c r="G1335" s="159"/>
    </row>
    <row r="1336" spans="1:7">
      <c r="A1336" s="157"/>
      <c r="B1336" s="158"/>
      <c r="C1336" s="158"/>
      <c r="D1336" s="160"/>
      <c r="E1336" s="158"/>
      <c r="F1336" s="157"/>
      <c r="G1336" s="159"/>
    </row>
    <row r="1337" spans="1:7">
      <c r="A1337" s="157"/>
      <c r="B1337" s="158"/>
      <c r="C1337" s="158"/>
      <c r="D1337" s="160"/>
      <c r="E1337" s="158"/>
      <c r="F1337" s="157"/>
      <c r="G1337" s="159"/>
    </row>
    <row r="1338" spans="1:7">
      <c r="A1338" s="157"/>
      <c r="B1338" s="158"/>
      <c r="C1338" s="158"/>
      <c r="D1338" s="160"/>
      <c r="E1338" s="158"/>
      <c r="F1338" s="157"/>
      <c r="G1338" s="159"/>
    </row>
    <row r="1339" spans="1:7">
      <c r="A1339" s="157"/>
      <c r="B1339" s="158"/>
      <c r="C1339" s="158"/>
      <c r="D1339" s="160"/>
      <c r="E1339" s="158"/>
      <c r="F1339" s="157"/>
      <c r="G1339" s="159"/>
    </row>
    <row r="1340" spans="1:7">
      <c r="A1340" s="157"/>
      <c r="B1340" s="158"/>
      <c r="C1340" s="158"/>
      <c r="D1340" s="160"/>
      <c r="E1340" s="158"/>
      <c r="F1340" s="157"/>
      <c r="G1340" s="159"/>
    </row>
    <row r="1341" spans="1:7">
      <c r="A1341" s="157"/>
      <c r="B1341" s="158"/>
      <c r="C1341" s="158"/>
      <c r="D1341" s="160"/>
      <c r="E1341" s="158"/>
      <c r="F1341" s="157"/>
      <c r="G1341" s="159"/>
    </row>
    <row r="1342" spans="1:7">
      <c r="A1342" s="157"/>
      <c r="B1342" s="158"/>
      <c r="C1342" s="158"/>
      <c r="D1342" s="160"/>
      <c r="E1342" s="158"/>
      <c r="F1342" s="157"/>
      <c r="G1342" s="159"/>
    </row>
    <row r="1343" spans="1:7">
      <c r="A1343" s="157"/>
      <c r="B1343" s="158"/>
      <c r="C1343" s="158"/>
      <c r="D1343" s="160"/>
      <c r="E1343" s="158"/>
      <c r="F1343" s="157"/>
      <c r="G1343" s="159"/>
    </row>
    <row r="1344" spans="1:7">
      <c r="A1344" s="157"/>
      <c r="B1344" s="158"/>
      <c r="C1344" s="158"/>
      <c r="D1344" s="160"/>
      <c r="E1344" s="158"/>
      <c r="F1344" s="157"/>
      <c r="G1344" s="159"/>
    </row>
    <row r="1345" spans="1:7">
      <c r="A1345" s="157"/>
      <c r="B1345" s="158"/>
      <c r="C1345" s="158"/>
      <c r="D1345" s="160"/>
      <c r="E1345" s="158"/>
      <c r="F1345" s="157"/>
      <c r="G1345" s="159"/>
    </row>
    <row r="1346" spans="1:7">
      <c r="A1346" s="157"/>
      <c r="B1346" s="158"/>
      <c r="C1346" s="158"/>
      <c r="D1346" s="160"/>
      <c r="E1346" s="158"/>
      <c r="F1346" s="157"/>
      <c r="G1346" s="159"/>
    </row>
    <row r="1347" spans="1:7">
      <c r="A1347" s="157"/>
      <c r="B1347" s="158"/>
      <c r="C1347" s="158"/>
      <c r="D1347" s="160"/>
      <c r="E1347" s="158"/>
      <c r="F1347" s="157"/>
      <c r="G1347" s="159"/>
    </row>
    <row r="1348" spans="1:7">
      <c r="A1348" s="157"/>
      <c r="B1348" s="158"/>
      <c r="C1348" s="158"/>
      <c r="D1348" s="160"/>
      <c r="E1348" s="158"/>
      <c r="F1348" s="157"/>
      <c r="G1348" s="159"/>
    </row>
    <row r="1349" spans="1:7">
      <c r="A1349" s="157"/>
      <c r="B1349" s="158"/>
      <c r="C1349" s="158"/>
      <c r="D1349" s="160"/>
      <c r="E1349" s="158"/>
      <c r="F1349" s="157"/>
      <c r="G1349" s="159"/>
    </row>
    <row r="1350" spans="1:7">
      <c r="A1350" s="157"/>
      <c r="B1350" s="158"/>
      <c r="C1350" s="158"/>
      <c r="D1350" s="160"/>
      <c r="E1350" s="158"/>
      <c r="F1350" s="157"/>
      <c r="G1350" s="159"/>
    </row>
    <row r="1351" spans="1:7">
      <c r="A1351" s="157"/>
      <c r="B1351" s="158"/>
      <c r="C1351" s="158"/>
      <c r="D1351" s="160"/>
      <c r="E1351" s="158"/>
      <c r="F1351" s="157"/>
      <c r="G1351" s="159"/>
    </row>
    <row r="1352" spans="1:7">
      <c r="A1352" s="157"/>
      <c r="B1352" s="158"/>
      <c r="C1352" s="158"/>
      <c r="D1352" s="160"/>
      <c r="E1352" s="158"/>
      <c r="F1352" s="157"/>
      <c r="G1352" s="159"/>
    </row>
    <row r="1353" spans="1:7">
      <c r="A1353" s="157"/>
      <c r="B1353" s="158"/>
      <c r="C1353" s="158"/>
      <c r="D1353" s="160"/>
      <c r="E1353" s="158"/>
      <c r="F1353" s="157"/>
      <c r="G1353" s="159"/>
    </row>
    <row r="1354" spans="1:7">
      <c r="A1354" s="157"/>
      <c r="B1354" s="158"/>
      <c r="C1354" s="158"/>
      <c r="D1354" s="160"/>
      <c r="E1354" s="158"/>
      <c r="F1354" s="157"/>
      <c r="G1354" s="159"/>
    </row>
    <row r="1355" spans="1:7">
      <c r="A1355" s="157"/>
      <c r="B1355" s="158"/>
      <c r="C1355" s="158"/>
      <c r="D1355" s="160"/>
      <c r="E1355" s="158"/>
      <c r="F1355" s="157"/>
      <c r="G1355" s="159"/>
    </row>
    <row r="1356" spans="1:7">
      <c r="A1356" s="157"/>
      <c r="B1356" s="158"/>
      <c r="C1356" s="158"/>
      <c r="D1356" s="160"/>
      <c r="E1356" s="158"/>
      <c r="F1356" s="157"/>
      <c r="G1356" s="159"/>
    </row>
    <row r="1357" spans="1:7">
      <c r="A1357" s="157"/>
      <c r="B1357" s="158"/>
      <c r="C1357" s="158"/>
      <c r="D1357" s="160"/>
      <c r="E1357" s="158"/>
      <c r="F1357" s="157"/>
      <c r="G1357" s="159"/>
    </row>
    <row r="1358" spans="1:7">
      <c r="A1358" s="157"/>
      <c r="B1358" s="158"/>
      <c r="C1358" s="158"/>
      <c r="D1358" s="160"/>
      <c r="E1358" s="158"/>
      <c r="F1358" s="157"/>
      <c r="G1358" s="159"/>
    </row>
    <row r="1359" spans="1:7">
      <c r="A1359" s="157"/>
      <c r="B1359" s="158"/>
      <c r="C1359" s="158"/>
      <c r="D1359" s="160"/>
      <c r="E1359" s="158"/>
      <c r="F1359" s="157"/>
      <c r="G1359" s="159"/>
    </row>
    <row r="1360" spans="1:7">
      <c r="A1360" s="157"/>
      <c r="B1360" s="158"/>
      <c r="C1360" s="158"/>
      <c r="D1360" s="160"/>
      <c r="E1360" s="158"/>
      <c r="F1360" s="157"/>
      <c r="G1360" s="159"/>
    </row>
    <row r="1361" spans="1:7">
      <c r="A1361" s="157"/>
      <c r="B1361" s="158"/>
      <c r="C1361" s="158"/>
      <c r="D1361" s="160"/>
      <c r="E1361" s="158"/>
      <c r="F1361" s="157"/>
      <c r="G1361" s="159"/>
    </row>
    <row r="1362" spans="1:7">
      <c r="A1362" s="157"/>
      <c r="B1362" s="158"/>
      <c r="C1362" s="158"/>
      <c r="D1362" s="160"/>
      <c r="E1362" s="158"/>
      <c r="F1362" s="157"/>
      <c r="G1362" s="159"/>
    </row>
    <row r="1363" spans="1:7">
      <c r="A1363" s="157"/>
      <c r="B1363" s="158"/>
      <c r="C1363" s="158"/>
      <c r="D1363" s="160"/>
      <c r="E1363" s="158"/>
      <c r="F1363" s="157"/>
      <c r="G1363" s="159"/>
    </row>
    <row r="1364" spans="1:7">
      <c r="A1364" s="157"/>
      <c r="B1364" s="158"/>
      <c r="C1364" s="158"/>
      <c r="D1364" s="160"/>
      <c r="E1364" s="158"/>
      <c r="F1364" s="157"/>
      <c r="G1364" s="159"/>
    </row>
    <row r="1365" spans="1:7">
      <c r="A1365" s="157"/>
      <c r="B1365" s="158"/>
      <c r="C1365" s="158"/>
      <c r="D1365" s="160"/>
      <c r="E1365" s="158"/>
      <c r="F1365" s="157"/>
      <c r="G1365" s="159"/>
    </row>
    <row r="1366" spans="1:7">
      <c r="A1366" s="157"/>
      <c r="B1366" s="158"/>
      <c r="C1366" s="158"/>
      <c r="D1366" s="160"/>
      <c r="E1366" s="158"/>
      <c r="F1366" s="157"/>
      <c r="G1366" s="159"/>
    </row>
    <row r="1367" spans="1:7">
      <c r="A1367" s="157"/>
      <c r="B1367" s="158"/>
      <c r="C1367" s="158"/>
      <c r="D1367" s="160"/>
      <c r="E1367" s="158"/>
      <c r="F1367" s="157"/>
      <c r="G1367" s="159"/>
    </row>
    <row r="1368" spans="1:7">
      <c r="A1368" s="157"/>
      <c r="B1368" s="158"/>
      <c r="C1368" s="158"/>
      <c r="D1368" s="160"/>
      <c r="E1368" s="158"/>
      <c r="F1368" s="157"/>
      <c r="G1368" s="159"/>
    </row>
    <row r="1369" spans="1:7">
      <c r="A1369" s="157"/>
      <c r="B1369" s="158"/>
      <c r="C1369" s="158"/>
      <c r="D1369" s="160"/>
      <c r="E1369" s="158"/>
      <c r="F1369" s="157"/>
      <c r="G1369" s="159"/>
    </row>
    <row r="1370" spans="1:7">
      <c r="A1370" s="157"/>
      <c r="B1370" s="158"/>
      <c r="C1370" s="158"/>
      <c r="D1370" s="160"/>
      <c r="E1370" s="158"/>
      <c r="F1370" s="157"/>
      <c r="G1370" s="159"/>
    </row>
    <row r="1371" spans="1:7">
      <c r="A1371" s="157"/>
      <c r="B1371" s="158"/>
      <c r="C1371" s="158"/>
      <c r="D1371" s="160"/>
      <c r="E1371" s="158"/>
      <c r="F1371" s="157"/>
      <c r="G1371" s="159"/>
    </row>
    <row r="1372" spans="1:7">
      <c r="A1372" s="157"/>
      <c r="B1372" s="158"/>
      <c r="C1372" s="158"/>
      <c r="D1372" s="160"/>
      <c r="E1372" s="158"/>
      <c r="F1372" s="157"/>
      <c r="G1372" s="159"/>
    </row>
    <row r="1373" spans="1:7">
      <c r="A1373" s="157"/>
      <c r="B1373" s="158"/>
      <c r="C1373" s="158"/>
      <c r="D1373" s="160"/>
      <c r="E1373" s="158"/>
      <c r="F1373" s="157"/>
      <c r="G1373" s="159"/>
    </row>
    <row r="1374" spans="1:7">
      <c r="A1374" s="157"/>
      <c r="B1374" s="158"/>
      <c r="C1374" s="158"/>
      <c r="D1374" s="160"/>
      <c r="E1374" s="158"/>
      <c r="F1374" s="157"/>
      <c r="G1374" s="159"/>
    </row>
    <row r="1375" spans="1:7">
      <c r="A1375" s="157"/>
      <c r="B1375" s="158"/>
      <c r="C1375" s="158"/>
      <c r="D1375" s="160"/>
      <c r="E1375" s="158"/>
      <c r="F1375" s="157"/>
      <c r="G1375" s="159"/>
    </row>
    <row r="1376" spans="1:7">
      <c r="A1376" s="157"/>
      <c r="B1376" s="158"/>
      <c r="C1376" s="158"/>
      <c r="D1376" s="160"/>
      <c r="E1376" s="158"/>
      <c r="F1376" s="157"/>
      <c r="G1376" s="159"/>
    </row>
    <row r="1377" spans="1:7">
      <c r="A1377" s="157"/>
      <c r="B1377" s="158"/>
      <c r="C1377" s="158"/>
      <c r="D1377" s="160"/>
      <c r="E1377" s="158"/>
      <c r="F1377" s="157"/>
      <c r="G1377" s="159"/>
    </row>
    <row r="1378" spans="1:7">
      <c r="A1378" s="157"/>
      <c r="B1378" s="158"/>
      <c r="C1378" s="158"/>
      <c r="D1378" s="160"/>
      <c r="E1378" s="158"/>
      <c r="F1378" s="157"/>
      <c r="G1378" s="159"/>
    </row>
    <row r="1379" spans="1:7">
      <c r="A1379" s="157"/>
      <c r="B1379" s="158"/>
      <c r="C1379" s="158"/>
      <c r="D1379" s="160"/>
      <c r="E1379" s="158"/>
      <c r="F1379" s="157"/>
      <c r="G1379" s="159"/>
    </row>
    <row r="1380" spans="1:7">
      <c r="A1380" s="157"/>
      <c r="B1380" s="158"/>
      <c r="C1380" s="158"/>
      <c r="D1380" s="160"/>
      <c r="E1380" s="158"/>
      <c r="F1380" s="157"/>
      <c r="G1380" s="159"/>
    </row>
    <row r="1381" spans="1:7">
      <c r="A1381" s="157"/>
      <c r="B1381" s="158"/>
      <c r="C1381" s="158"/>
      <c r="D1381" s="160"/>
      <c r="E1381" s="158"/>
      <c r="F1381" s="157"/>
      <c r="G1381" s="159"/>
    </row>
    <row r="1382" spans="1:7">
      <c r="A1382" s="157"/>
      <c r="B1382" s="158"/>
      <c r="C1382" s="158"/>
      <c r="D1382" s="160"/>
      <c r="E1382" s="158"/>
      <c r="F1382" s="157"/>
      <c r="G1382" s="159"/>
    </row>
    <row r="1383" spans="1:7">
      <c r="A1383" s="157"/>
      <c r="B1383" s="158"/>
      <c r="C1383" s="158"/>
      <c r="D1383" s="160"/>
      <c r="E1383" s="158"/>
      <c r="F1383" s="157"/>
      <c r="G1383" s="159"/>
    </row>
    <row r="1384" spans="1:7">
      <c r="A1384" s="157"/>
      <c r="B1384" s="158"/>
      <c r="C1384" s="158"/>
      <c r="D1384" s="160"/>
      <c r="E1384" s="158"/>
      <c r="F1384" s="157"/>
      <c r="G1384" s="159"/>
    </row>
    <row r="1385" spans="1:7">
      <c r="A1385" s="157"/>
      <c r="B1385" s="158"/>
      <c r="C1385" s="158"/>
      <c r="D1385" s="160"/>
      <c r="E1385" s="158"/>
      <c r="F1385" s="157"/>
      <c r="G1385" s="159"/>
    </row>
    <row r="1386" spans="1:7">
      <c r="A1386" s="157"/>
      <c r="B1386" s="158"/>
      <c r="C1386" s="158"/>
      <c r="D1386" s="160"/>
      <c r="E1386" s="158"/>
      <c r="F1386" s="157"/>
      <c r="G1386" s="159"/>
    </row>
    <row r="1387" spans="1:7">
      <c r="A1387" s="157"/>
      <c r="B1387" s="158"/>
      <c r="C1387" s="158"/>
      <c r="D1387" s="160"/>
      <c r="E1387" s="158"/>
      <c r="F1387" s="157"/>
      <c r="G1387" s="159"/>
    </row>
    <row r="1388" spans="1:7">
      <c r="A1388" s="157"/>
      <c r="B1388" s="158"/>
      <c r="C1388" s="158"/>
      <c r="D1388" s="160"/>
      <c r="E1388" s="158"/>
      <c r="F1388" s="157"/>
      <c r="G1388" s="159"/>
    </row>
    <row r="1389" spans="1:7">
      <c r="A1389" s="157"/>
      <c r="B1389" s="158"/>
      <c r="C1389" s="158"/>
      <c r="D1389" s="160"/>
      <c r="E1389" s="158"/>
      <c r="F1389" s="157"/>
      <c r="G1389" s="159"/>
    </row>
    <row r="1390" spans="1:7">
      <c r="A1390" s="157"/>
      <c r="B1390" s="158"/>
      <c r="C1390" s="158"/>
      <c r="D1390" s="160"/>
      <c r="E1390" s="158"/>
      <c r="F1390" s="157"/>
      <c r="G1390" s="159"/>
    </row>
    <row r="1391" spans="1:7">
      <c r="A1391" s="157"/>
      <c r="B1391" s="158"/>
      <c r="C1391" s="158"/>
      <c r="D1391" s="160"/>
      <c r="E1391" s="158"/>
      <c r="F1391" s="157"/>
      <c r="G1391" s="159"/>
    </row>
    <row r="1392" spans="1:7">
      <c r="A1392" s="157"/>
      <c r="B1392" s="158"/>
      <c r="C1392" s="158"/>
      <c r="D1392" s="160"/>
      <c r="E1392" s="158"/>
      <c r="F1392" s="157"/>
      <c r="G1392" s="159"/>
    </row>
    <row r="1393" spans="1:7">
      <c r="A1393" s="157"/>
      <c r="B1393" s="158"/>
      <c r="C1393" s="158"/>
      <c r="D1393" s="160"/>
      <c r="E1393" s="158"/>
      <c r="F1393" s="157"/>
      <c r="G1393" s="159"/>
    </row>
    <row r="1394" spans="1:7">
      <c r="A1394" s="157"/>
      <c r="B1394" s="158"/>
      <c r="C1394" s="158"/>
      <c r="D1394" s="160"/>
      <c r="E1394" s="158"/>
      <c r="F1394" s="157"/>
      <c r="G1394" s="159"/>
    </row>
    <row r="1395" spans="1:7">
      <c r="A1395" s="157"/>
      <c r="B1395" s="158"/>
      <c r="C1395" s="158"/>
      <c r="D1395" s="160"/>
      <c r="E1395" s="158"/>
      <c r="F1395" s="157"/>
      <c r="G1395" s="159"/>
    </row>
    <row r="1396" spans="1:7">
      <c r="A1396" s="157"/>
      <c r="B1396" s="158"/>
      <c r="C1396" s="158"/>
      <c r="D1396" s="160"/>
      <c r="E1396" s="158"/>
      <c r="F1396" s="157"/>
      <c r="G1396" s="159"/>
    </row>
    <row r="1397" spans="1:7">
      <c r="A1397" s="157"/>
      <c r="B1397" s="158"/>
      <c r="C1397" s="158"/>
      <c r="D1397" s="160"/>
      <c r="E1397" s="158"/>
      <c r="F1397" s="157"/>
      <c r="G1397" s="159"/>
    </row>
    <row r="1398" spans="1:7">
      <c r="A1398" s="157"/>
      <c r="B1398" s="158"/>
      <c r="C1398" s="158"/>
      <c r="D1398" s="160"/>
      <c r="E1398" s="158"/>
      <c r="F1398" s="157"/>
      <c r="G1398" s="159"/>
    </row>
    <row r="1399" spans="1:7">
      <c r="A1399" s="157"/>
      <c r="B1399" s="158"/>
      <c r="C1399" s="158"/>
      <c r="D1399" s="160"/>
      <c r="E1399" s="158"/>
      <c r="F1399" s="157"/>
      <c r="G1399" s="159"/>
    </row>
    <row r="1400" spans="1:7">
      <c r="A1400" s="157"/>
      <c r="B1400" s="158"/>
      <c r="C1400" s="158"/>
      <c r="D1400" s="160"/>
      <c r="E1400" s="158"/>
      <c r="F1400" s="157"/>
      <c r="G1400" s="159"/>
    </row>
    <row r="1401" spans="1:7">
      <c r="A1401" s="157"/>
      <c r="B1401" s="158"/>
      <c r="C1401" s="158"/>
      <c r="D1401" s="160"/>
      <c r="E1401" s="158"/>
      <c r="F1401" s="157"/>
      <c r="G1401" s="159"/>
    </row>
    <row r="1402" spans="1:7">
      <c r="A1402" s="157"/>
      <c r="B1402" s="158"/>
      <c r="C1402" s="158"/>
      <c r="D1402" s="160"/>
      <c r="E1402" s="158"/>
      <c r="F1402" s="157"/>
      <c r="G1402" s="159"/>
    </row>
    <row r="1403" spans="1:7">
      <c r="A1403" s="157"/>
      <c r="B1403" s="158"/>
      <c r="C1403" s="158"/>
      <c r="D1403" s="160"/>
      <c r="E1403" s="158"/>
      <c r="F1403" s="157"/>
      <c r="G1403" s="159"/>
    </row>
    <row r="1404" spans="1:7">
      <c r="A1404" s="157"/>
      <c r="B1404" s="158"/>
      <c r="C1404" s="158"/>
      <c r="D1404" s="160"/>
      <c r="E1404" s="158"/>
      <c r="F1404" s="157"/>
      <c r="G1404" s="159"/>
    </row>
    <row r="1405" spans="1:7">
      <c r="A1405" s="157"/>
      <c r="B1405" s="158"/>
      <c r="C1405" s="158"/>
      <c r="D1405" s="160"/>
      <c r="E1405" s="158"/>
      <c r="F1405" s="157"/>
      <c r="G1405" s="159"/>
    </row>
    <row r="1406" spans="1:7">
      <c r="A1406" s="157"/>
      <c r="B1406" s="158"/>
      <c r="C1406" s="158"/>
      <c r="D1406" s="160"/>
      <c r="E1406" s="158"/>
      <c r="F1406" s="157"/>
      <c r="G1406" s="159"/>
    </row>
    <row r="1407" spans="1:7">
      <c r="A1407" s="157"/>
      <c r="B1407" s="158"/>
      <c r="C1407" s="158"/>
      <c r="D1407" s="160"/>
      <c r="E1407" s="158"/>
      <c r="F1407" s="157"/>
      <c r="G1407" s="159"/>
    </row>
    <row r="1408" spans="1:7">
      <c r="A1408" s="157"/>
      <c r="B1408" s="158"/>
      <c r="C1408" s="158"/>
      <c r="D1408" s="160"/>
      <c r="E1408" s="158"/>
      <c r="F1408" s="157"/>
      <c r="G1408" s="159"/>
    </row>
    <row r="1409" spans="1:7">
      <c r="A1409" s="157"/>
      <c r="B1409" s="158"/>
      <c r="C1409" s="158"/>
      <c r="D1409" s="160"/>
      <c r="E1409" s="158"/>
      <c r="F1409" s="157"/>
      <c r="G1409" s="159"/>
    </row>
    <row r="1410" spans="1:7">
      <c r="A1410" s="157"/>
      <c r="B1410" s="158"/>
      <c r="C1410" s="158"/>
      <c r="D1410" s="160"/>
      <c r="E1410" s="158"/>
      <c r="F1410" s="157"/>
      <c r="G1410" s="159"/>
    </row>
    <row r="1411" spans="1:7">
      <c r="A1411" s="157"/>
      <c r="B1411" s="158"/>
      <c r="C1411" s="158"/>
      <c r="D1411" s="160"/>
      <c r="E1411" s="158"/>
      <c r="F1411" s="157"/>
      <c r="G1411" s="159"/>
    </row>
    <row r="1412" spans="1:7">
      <c r="A1412" s="157"/>
      <c r="B1412" s="158"/>
      <c r="C1412" s="158"/>
      <c r="D1412" s="160"/>
      <c r="E1412" s="158"/>
      <c r="F1412" s="157"/>
      <c r="G1412" s="159"/>
    </row>
    <row r="1413" spans="1:7">
      <c r="A1413" s="157"/>
      <c r="B1413" s="158"/>
      <c r="C1413" s="158"/>
      <c r="D1413" s="160"/>
      <c r="E1413" s="158"/>
      <c r="F1413" s="157"/>
      <c r="G1413" s="159"/>
    </row>
    <row r="1414" spans="1:7">
      <c r="A1414" s="157"/>
      <c r="B1414" s="158"/>
      <c r="C1414" s="158"/>
      <c r="D1414" s="160"/>
      <c r="E1414" s="158"/>
      <c r="F1414" s="157"/>
      <c r="G1414" s="159"/>
    </row>
    <row r="1415" spans="1:7">
      <c r="A1415" s="157"/>
      <c r="B1415" s="158"/>
      <c r="C1415" s="158"/>
      <c r="D1415" s="160"/>
      <c r="E1415" s="158"/>
      <c r="F1415" s="157"/>
      <c r="G1415" s="159"/>
    </row>
    <row r="1416" spans="1:7">
      <c r="A1416" s="157"/>
      <c r="B1416" s="158"/>
      <c r="C1416" s="158"/>
      <c r="D1416" s="160"/>
      <c r="E1416" s="158"/>
      <c r="F1416" s="157"/>
      <c r="G1416" s="159"/>
    </row>
    <row r="1417" spans="1:7">
      <c r="A1417" s="157"/>
      <c r="B1417" s="158"/>
      <c r="C1417" s="158"/>
      <c r="D1417" s="160"/>
      <c r="E1417" s="158"/>
      <c r="F1417" s="157"/>
      <c r="G1417" s="159"/>
    </row>
    <row r="1418" spans="1:7">
      <c r="A1418" s="157"/>
      <c r="B1418" s="158"/>
      <c r="C1418" s="158"/>
      <c r="D1418" s="160"/>
      <c r="E1418" s="158"/>
      <c r="F1418" s="157"/>
      <c r="G1418" s="159"/>
    </row>
    <row r="1419" spans="1:7">
      <c r="A1419" s="157"/>
      <c r="B1419" s="158"/>
      <c r="C1419" s="158"/>
      <c r="D1419" s="160"/>
      <c r="E1419" s="158"/>
      <c r="F1419" s="157"/>
      <c r="G1419" s="159"/>
    </row>
    <row r="1420" spans="1:7">
      <c r="A1420" s="157"/>
      <c r="B1420" s="158"/>
      <c r="C1420" s="158"/>
      <c r="D1420" s="160"/>
      <c r="E1420" s="158"/>
      <c r="F1420" s="157"/>
      <c r="G1420" s="159"/>
    </row>
    <row r="1421" spans="1:7">
      <c r="A1421" s="157"/>
      <c r="B1421" s="158"/>
      <c r="C1421" s="158"/>
      <c r="D1421" s="160"/>
      <c r="E1421" s="158"/>
      <c r="F1421" s="157"/>
      <c r="G1421" s="159"/>
    </row>
    <row r="1422" spans="1:7">
      <c r="A1422" s="157"/>
      <c r="B1422" s="158"/>
      <c r="C1422" s="158"/>
      <c r="D1422" s="160"/>
      <c r="E1422" s="158"/>
      <c r="F1422" s="157"/>
      <c r="G1422" s="159"/>
    </row>
    <row r="1423" spans="1:7">
      <c r="A1423" s="157"/>
      <c r="B1423" s="158"/>
      <c r="C1423" s="158"/>
      <c r="D1423" s="160"/>
      <c r="E1423" s="158"/>
      <c r="F1423" s="157"/>
      <c r="G1423" s="159"/>
    </row>
    <row r="1424" spans="1:7">
      <c r="A1424" s="157"/>
      <c r="B1424" s="158"/>
      <c r="C1424" s="158"/>
      <c r="D1424" s="160"/>
      <c r="E1424" s="158"/>
      <c r="F1424" s="157"/>
      <c r="G1424" s="159"/>
    </row>
    <row r="1425" spans="1:7">
      <c r="A1425" s="157"/>
      <c r="B1425" s="158"/>
      <c r="C1425" s="158"/>
      <c r="D1425" s="160"/>
      <c r="E1425" s="158"/>
      <c r="F1425" s="157"/>
      <c r="G1425" s="159"/>
    </row>
    <row r="1426" spans="1:7">
      <c r="A1426" s="157"/>
      <c r="B1426" s="158"/>
      <c r="C1426" s="158"/>
      <c r="D1426" s="160"/>
      <c r="E1426" s="158"/>
      <c r="F1426" s="157"/>
      <c r="G1426" s="159"/>
    </row>
    <row r="1427" spans="1:7">
      <c r="A1427" s="157"/>
      <c r="B1427" s="158"/>
      <c r="C1427" s="158"/>
      <c r="D1427" s="160"/>
      <c r="E1427" s="158"/>
      <c r="F1427" s="157"/>
      <c r="G1427" s="159"/>
    </row>
    <row r="1428" spans="1:7">
      <c r="A1428" s="157"/>
      <c r="B1428" s="158"/>
      <c r="C1428" s="158"/>
      <c r="D1428" s="160"/>
      <c r="E1428" s="158"/>
      <c r="F1428" s="157"/>
      <c r="G1428" s="159"/>
    </row>
    <row r="1429" spans="1:7">
      <c r="A1429" s="157"/>
      <c r="B1429" s="158"/>
      <c r="C1429" s="158"/>
      <c r="D1429" s="160"/>
      <c r="E1429" s="158"/>
      <c r="F1429" s="157"/>
      <c r="G1429" s="159"/>
    </row>
    <row r="1430" spans="1:7">
      <c r="A1430" s="157"/>
      <c r="B1430" s="158"/>
      <c r="C1430" s="158"/>
      <c r="D1430" s="160"/>
      <c r="E1430" s="158"/>
      <c r="F1430" s="157"/>
      <c r="G1430" s="159"/>
    </row>
    <row r="1431" spans="1:7">
      <c r="A1431" s="157"/>
      <c r="B1431" s="158"/>
      <c r="C1431" s="158"/>
      <c r="D1431" s="160"/>
      <c r="E1431" s="158"/>
      <c r="F1431" s="157"/>
      <c r="G1431" s="159"/>
    </row>
    <row r="1432" spans="1:7">
      <c r="A1432" s="157"/>
      <c r="B1432" s="158"/>
      <c r="C1432" s="158"/>
      <c r="D1432" s="160"/>
      <c r="E1432" s="158"/>
      <c r="F1432" s="157"/>
      <c r="G1432" s="159"/>
    </row>
    <row r="1433" spans="1:7">
      <c r="A1433" s="157"/>
      <c r="B1433" s="158"/>
      <c r="C1433" s="158"/>
      <c r="D1433" s="160"/>
      <c r="E1433" s="158"/>
      <c r="F1433" s="157"/>
      <c r="G1433" s="159"/>
    </row>
    <row r="1434" spans="1:7">
      <c r="A1434" s="157"/>
      <c r="B1434" s="158"/>
      <c r="C1434" s="158"/>
      <c r="D1434" s="160"/>
      <c r="E1434" s="158"/>
      <c r="F1434" s="157"/>
      <c r="G1434" s="159"/>
    </row>
    <row r="1435" spans="1:7">
      <c r="A1435" s="157"/>
      <c r="B1435" s="158"/>
      <c r="C1435" s="158"/>
      <c r="D1435" s="160"/>
      <c r="E1435" s="158"/>
      <c r="F1435" s="157"/>
      <c r="G1435" s="159"/>
    </row>
    <row r="1436" spans="1:7">
      <c r="A1436" s="157"/>
      <c r="B1436" s="158"/>
      <c r="C1436" s="158"/>
      <c r="D1436" s="160"/>
      <c r="E1436" s="158"/>
      <c r="F1436" s="157"/>
      <c r="G1436" s="159"/>
    </row>
    <row r="1437" spans="1:7">
      <c r="A1437" s="157"/>
      <c r="B1437" s="158"/>
      <c r="C1437" s="158"/>
      <c r="D1437" s="160"/>
      <c r="E1437" s="158"/>
      <c r="F1437" s="157"/>
      <c r="G1437" s="159"/>
    </row>
    <row r="1438" spans="1:7">
      <c r="A1438" s="157"/>
      <c r="B1438" s="158"/>
      <c r="C1438" s="158"/>
      <c r="D1438" s="160"/>
      <c r="E1438" s="158"/>
      <c r="F1438" s="157"/>
      <c r="G1438" s="159"/>
    </row>
    <row r="1439" spans="1:7">
      <c r="A1439" s="157"/>
      <c r="B1439" s="158"/>
      <c r="C1439" s="158"/>
      <c r="D1439" s="160"/>
      <c r="E1439" s="158"/>
      <c r="F1439" s="157"/>
      <c r="G1439" s="159"/>
    </row>
    <row r="1440" spans="1:7">
      <c r="A1440" s="157"/>
      <c r="B1440" s="158"/>
      <c r="C1440" s="158"/>
      <c r="D1440" s="160"/>
      <c r="E1440" s="158"/>
      <c r="F1440" s="157"/>
      <c r="G1440" s="159"/>
    </row>
    <row r="1441" spans="1:7">
      <c r="A1441" s="157"/>
      <c r="B1441" s="158"/>
      <c r="C1441" s="158"/>
      <c r="D1441" s="160"/>
      <c r="E1441" s="158"/>
      <c r="F1441" s="157"/>
      <c r="G1441" s="159"/>
    </row>
    <row r="1442" spans="1:7">
      <c r="A1442" s="157"/>
      <c r="B1442" s="158"/>
      <c r="C1442" s="158"/>
      <c r="D1442" s="160"/>
      <c r="E1442" s="158"/>
      <c r="F1442" s="157"/>
      <c r="G1442" s="159"/>
    </row>
    <row r="1443" spans="1:7">
      <c r="A1443" s="157"/>
      <c r="B1443" s="158"/>
      <c r="C1443" s="158"/>
      <c r="D1443" s="160"/>
      <c r="E1443" s="158"/>
      <c r="F1443" s="157"/>
      <c r="G1443" s="159"/>
    </row>
    <row r="1444" spans="1:7">
      <c r="A1444" s="157"/>
      <c r="B1444" s="158"/>
      <c r="C1444" s="158"/>
      <c r="D1444" s="160"/>
      <c r="E1444" s="158"/>
      <c r="F1444" s="157"/>
      <c r="G1444" s="159"/>
    </row>
    <row r="1445" spans="1:7">
      <c r="A1445" s="157"/>
      <c r="B1445" s="158"/>
      <c r="C1445" s="158"/>
      <c r="D1445" s="160"/>
      <c r="E1445" s="158"/>
      <c r="F1445" s="157"/>
      <c r="G1445" s="159"/>
    </row>
    <row r="1446" spans="1:7">
      <c r="A1446" s="157"/>
      <c r="B1446" s="158"/>
      <c r="C1446" s="158"/>
      <c r="D1446" s="160"/>
      <c r="E1446" s="158"/>
      <c r="F1446" s="157"/>
      <c r="G1446" s="159"/>
    </row>
    <row r="1447" spans="1:7">
      <c r="A1447" s="157"/>
      <c r="B1447" s="158"/>
      <c r="C1447" s="158"/>
      <c r="D1447" s="160"/>
      <c r="E1447" s="158"/>
      <c r="F1447" s="157"/>
      <c r="G1447" s="159"/>
    </row>
    <row r="1448" spans="1:7">
      <c r="A1448" s="157"/>
      <c r="B1448" s="158"/>
      <c r="C1448" s="158"/>
      <c r="D1448" s="160"/>
      <c r="E1448" s="158"/>
      <c r="F1448" s="157"/>
      <c r="G1448" s="159"/>
    </row>
    <row r="1449" spans="1:7">
      <c r="A1449" s="157"/>
      <c r="B1449" s="158"/>
      <c r="C1449" s="158"/>
      <c r="D1449" s="160"/>
      <c r="E1449" s="158"/>
      <c r="F1449" s="157"/>
      <c r="G1449" s="159"/>
    </row>
    <row r="1450" spans="1:7">
      <c r="A1450" s="157"/>
      <c r="B1450" s="158"/>
      <c r="C1450" s="158"/>
      <c r="D1450" s="160"/>
      <c r="E1450" s="158"/>
      <c r="F1450" s="157"/>
      <c r="G1450" s="159"/>
    </row>
    <row r="1451" spans="1:7">
      <c r="A1451" s="157"/>
      <c r="B1451" s="158"/>
      <c r="C1451" s="158"/>
      <c r="D1451" s="160"/>
      <c r="E1451" s="158"/>
      <c r="F1451" s="157"/>
      <c r="G1451" s="159"/>
    </row>
    <row r="1452" spans="1:7">
      <c r="A1452" s="157"/>
      <c r="B1452" s="158"/>
      <c r="C1452" s="158"/>
      <c r="D1452" s="160"/>
      <c r="E1452" s="158"/>
      <c r="F1452" s="157"/>
      <c r="G1452" s="159"/>
    </row>
    <row r="1453" spans="1:7">
      <c r="A1453" s="157"/>
      <c r="B1453" s="158"/>
      <c r="C1453" s="158"/>
      <c r="D1453" s="160"/>
      <c r="E1453" s="158"/>
      <c r="F1453" s="157"/>
      <c r="G1453" s="159"/>
    </row>
    <row r="1454" spans="1:7">
      <c r="A1454" s="157"/>
      <c r="B1454" s="158"/>
      <c r="C1454" s="158"/>
      <c r="D1454" s="160"/>
      <c r="E1454" s="158"/>
      <c r="F1454" s="157"/>
      <c r="G1454" s="159"/>
    </row>
    <row r="1455" spans="1:7">
      <c r="A1455" s="157"/>
      <c r="B1455" s="158"/>
      <c r="C1455" s="158"/>
      <c r="D1455" s="160"/>
      <c r="E1455" s="158"/>
      <c r="F1455" s="157"/>
      <c r="G1455" s="159"/>
    </row>
    <row r="1456" spans="1:7">
      <c r="A1456" s="157"/>
      <c r="B1456" s="158"/>
      <c r="C1456" s="158"/>
      <c r="D1456" s="160"/>
      <c r="E1456" s="158"/>
      <c r="F1456" s="157"/>
      <c r="G1456" s="159"/>
    </row>
    <row r="1457" spans="1:7">
      <c r="A1457" s="157"/>
      <c r="B1457" s="158"/>
      <c r="C1457" s="158"/>
      <c r="D1457" s="160"/>
      <c r="E1457" s="158"/>
      <c r="F1457" s="157"/>
      <c r="G1457" s="159"/>
    </row>
    <row r="1458" spans="1:7">
      <c r="A1458" s="157"/>
      <c r="B1458" s="158"/>
      <c r="C1458" s="158"/>
      <c r="D1458" s="160"/>
      <c r="E1458" s="158"/>
      <c r="F1458" s="157"/>
      <c r="G1458" s="159"/>
    </row>
    <row r="1459" spans="1:7">
      <c r="A1459" s="157"/>
      <c r="B1459" s="158"/>
      <c r="C1459" s="158"/>
      <c r="D1459" s="160"/>
      <c r="E1459" s="158"/>
      <c r="F1459" s="157"/>
      <c r="G1459" s="159"/>
    </row>
    <row r="1460" spans="1:7">
      <c r="A1460" s="157"/>
      <c r="B1460" s="158"/>
      <c r="C1460" s="158"/>
      <c r="D1460" s="160"/>
      <c r="E1460" s="158"/>
      <c r="F1460" s="157"/>
      <c r="G1460" s="159"/>
    </row>
    <row r="1461" spans="1:7">
      <c r="A1461" s="157"/>
      <c r="B1461" s="158"/>
      <c r="C1461" s="158"/>
      <c r="D1461" s="160"/>
      <c r="E1461" s="158"/>
      <c r="F1461" s="157"/>
      <c r="G1461" s="159"/>
    </row>
    <row r="1462" spans="1:7">
      <c r="A1462" s="157"/>
      <c r="B1462" s="158"/>
      <c r="C1462" s="158"/>
      <c r="D1462" s="160"/>
      <c r="E1462" s="158"/>
      <c r="F1462" s="157"/>
      <c r="G1462" s="159"/>
    </row>
    <row r="1463" spans="1:7">
      <c r="A1463" s="157"/>
      <c r="B1463" s="158"/>
      <c r="C1463" s="158"/>
      <c r="D1463" s="160"/>
      <c r="E1463" s="158"/>
      <c r="F1463" s="157"/>
      <c r="G1463" s="159"/>
    </row>
    <row r="1464" spans="1:7">
      <c r="A1464" s="157"/>
      <c r="B1464" s="158"/>
      <c r="C1464" s="158"/>
      <c r="D1464" s="160"/>
      <c r="E1464" s="158"/>
      <c r="F1464" s="157"/>
      <c r="G1464" s="159"/>
    </row>
    <row r="1465" spans="1:7">
      <c r="A1465" s="157"/>
      <c r="B1465" s="158"/>
      <c r="C1465" s="158"/>
      <c r="D1465" s="160"/>
      <c r="E1465" s="158"/>
      <c r="F1465" s="157"/>
      <c r="G1465" s="159"/>
    </row>
    <row r="1466" spans="1:7">
      <c r="A1466" s="157"/>
      <c r="B1466" s="158"/>
      <c r="C1466" s="158"/>
      <c r="D1466" s="160"/>
      <c r="E1466" s="158"/>
      <c r="F1466" s="157"/>
      <c r="G1466" s="159"/>
    </row>
    <row r="1467" spans="1:7">
      <c r="A1467" s="157"/>
      <c r="B1467" s="158"/>
      <c r="C1467" s="158"/>
      <c r="D1467" s="160"/>
      <c r="E1467" s="158"/>
      <c r="F1467" s="157"/>
      <c r="G1467" s="159"/>
    </row>
    <row r="1468" spans="1:7">
      <c r="A1468" s="157"/>
      <c r="B1468" s="158"/>
      <c r="C1468" s="158"/>
      <c r="D1468" s="160"/>
      <c r="E1468" s="158"/>
      <c r="F1468" s="157"/>
      <c r="G1468" s="159"/>
    </row>
    <row r="1469" spans="1:7">
      <c r="A1469" s="157"/>
      <c r="B1469" s="158"/>
      <c r="C1469" s="158"/>
      <c r="D1469" s="160"/>
      <c r="E1469" s="158"/>
      <c r="F1469" s="157"/>
      <c r="G1469" s="159"/>
    </row>
    <row r="1470" spans="1:7">
      <c r="A1470" s="157"/>
      <c r="B1470" s="158"/>
      <c r="C1470" s="158"/>
      <c r="D1470" s="160"/>
      <c r="E1470" s="158"/>
      <c r="F1470" s="157"/>
      <c r="G1470" s="159"/>
    </row>
    <row r="1471" spans="1:7">
      <c r="A1471" s="157"/>
      <c r="B1471" s="158"/>
      <c r="C1471" s="158"/>
      <c r="D1471" s="160"/>
      <c r="E1471" s="158"/>
      <c r="F1471" s="157"/>
      <c r="G1471" s="159"/>
    </row>
    <row r="1472" spans="1:7">
      <c r="A1472" s="157"/>
      <c r="B1472" s="158"/>
      <c r="C1472" s="158"/>
      <c r="D1472" s="160"/>
      <c r="E1472" s="158"/>
      <c r="F1472" s="157"/>
      <c r="G1472" s="159"/>
    </row>
    <row r="1473" spans="1:7">
      <c r="A1473" s="157"/>
      <c r="B1473" s="158"/>
      <c r="C1473" s="158"/>
      <c r="D1473" s="160"/>
      <c r="E1473" s="158"/>
      <c r="F1473" s="157"/>
      <c r="G1473" s="159"/>
    </row>
    <row r="1474" spans="1:7">
      <c r="A1474" s="157"/>
      <c r="B1474" s="158"/>
      <c r="C1474" s="158"/>
      <c r="D1474" s="160"/>
      <c r="E1474" s="158"/>
      <c r="F1474" s="157"/>
      <c r="G1474" s="159"/>
    </row>
    <row r="1475" spans="1:7">
      <c r="A1475" s="157"/>
      <c r="B1475" s="158"/>
      <c r="C1475" s="158"/>
      <c r="D1475" s="160"/>
      <c r="E1475" s="158"/>
      <c r="F1475" s="157"/>
      <c r="G1475" s="159"/>
    </row>
    <row r="1476" spans="1:7">
      <c r="A1476" s="157"/>
      <c r="B1476" s="158"/>
      <c r="C1476" s="158"/>
      <c r="D1476" s="160"/>
      <c r="E1476" s="158"/>
      <c r="F1476" s="157"/>
      <c r="G1476" s="159"/>
    </row>
    <row r="1477" spans="1:7">
      <c r="A1477" s="157"/>
      <c r="B1477" s="158"/>
      <c r="C1477" s="158"/>
      <c r="D1477" s="160"/>
      <c r="E1477" s="158"/>
      <c r="F1477" s="157"/>
      <c r="G1477" s="159"/>
    </row>
    <row r="1478" spans="1:7">
      <c r="A1478" s="157"/>
      <c r="B1478" s="158"/>
      <c r="C1478" s="158"/>
      <c r="D1478" s="160"/>
      <c r="E1478" s="158"/>
      <c r="F1478" s="157"/>
      <c r="G1478" s="159"/>
    </row>
    <row r="1479" spans="1:7">
      <c r="A1479" s="157"/>
      <c r="B1479" s="158"/>
      <c r="C1479" s="158"/>
      <c r="D1479" s="160"/>
      <c r="E1479" s="158"/>
      <c r="F1479" s="157"/>
      <c r="G1479" s="159"/>
    </row>
    <row r="1480" spans="1:7">
      <c r="A1480" s="157"/>
      <c r="B1480" s="158"/>
      <c r="C1480" s="158"/>
      <c r="D1480" s="160"/>
      <c r="E1480" s="158"/>
      <c r="F1480" s="157"/>
      <c r="G1480" s="159"/>
    </row>
    <row r="1481" spans="1:7">
      <c r="A1481" s="157"/>
      <c r="B1481" s="158"/>
      <c r="C1481" s="158"/>
      <c r="D1481" s="160"/>
      <c r="E1481" s="158"/>
      <c r="F1481" s="157"/>
      <c r="G1481" s="159"/>
    </row>
    <row r="1482" spans="1:7">
      <c r="A1482" s="157"/>
      <c r="B1482" s="158"/>
      <c r="C1482" s="158"/>
      <c r="D1482" s="160"/>
      <c r="E1482" s="158"/>
      <c r="F1482" s="157"/>
      <c r="G1482" s="159"/>
    </row>
    <row r="1483" spans="1:7">
      <c r="A1483" s="157"/>
      <c r="B1483" s="158"/>
      <c r="C1483" s="158"/>
      <c r="D1483" s="160"/>
      <c r="E1483" s="158"/>
      <c r="F1483" s="157"/>
      <c r="G1483" s="159"/>
    </row>
    <row r="1484" spans="1:7">
      <c r="A1484" s="157"/>
      <c r="B1484" s="158"/>
      <c r="C1484" s="158"/>
      <c r="D1484" s="160"/>
      <c r="E1484" s="158"/>
      <c r="F1484" s="157"/>
      <c r="G1484" s="159"/>
    </row>
    <row r="1485" spans="1:7">
      <c r="A1485" s="157"/>
      <c r="B1485" s="158"/>
      <c r="C1485" s="158"/>
      <c r="D1485" s="160"/>
      <c r="E1485" s="158"/>
      <c r="F1485" s="157"/>
      <c r="G1485" s="159"/>
    </row>
    <row r="1486" spans="1:7">
      <c r="A1486" s="157"/>
      <c r="B1486" s="158"/>
      <c r="C1486" s="158"/>
      <c r="D1486" s="160"/>
      <c r="E1486" s="158"/>
      <c r="F1486" s="157"/>
      <c r="G1486" s="159"/>
    </row>
    <row r="1487" spans="1:7">
      <c r="A1487" s="157"/>
      <c r="B1487" s="158"/>
      <c r="C1487" s="158"/>
      <c r="D1487" s="160"/>
      <c r="E1487" s="158"/>
      <c r="F1487" s="157"/>
      <c r="G1487" s="159"/>
    </row>
    <row r="1488" spans="1:7">
      <c r="A1488" s="157"/>
      <c r="B1488" s="158"/>
      <c r="C1488" s="158"/>
      <c r="D1488" s="160"/>
      <c r="E1488" s="158"/>
      <c r="F1488" s="157"/>
      <c r="G1488" s="159"/>
    </row>
    <row r="1489" spans="1:7">
      <c r="A1489" s="157"/>
      <c r="B1489" s="158"/>
      <c r="C1489" s="158"/>
      <c r="D1489" s="160"/>
      <c r="E1489" s="158"/>
      <c r="F1489" s="157"/>
      <c r="G1489" s="159"/>
    </row>
    <row r="1490" spans="1:7">
      <c r="A1490" s="157"/>
      <c r="B1490" s="158"/>
      <c r="C1490" s="158"/>
      <c r="D1490" s="160"/>
      <c r="E1490" s="158"/>
      <c r="F1490" s="157"/>
      <c r="G1490" s="159"/>
    </row>
    <row r="1491" spans="1:7">
      <c r="A1491" s="157"/>
      <c r="B1491" s="158"/>
      <c r="C1491" s="158"/>
      <c r="D1491" s="160"/>
      <c r="E1491" s="158"/>
      <c r="F1491" s="157"/>
      <c r="G1491" s="159"/>
    </row>
    <row r="1492" spans="1:7">
      <c r="A1492" s="157"/>
      <c r="B1492" s="158"/>
      <c r="C1492" s="158"/>
      <c r="D1492" s="160"/>
      <c r="E1492" s="158"/>
      <c r="F1492" s="157"/>
      <c r="G1492" s="159"/>
    </row>
    <row r="1493" spans="1:7">
      <c r="A1493" s="157"/>
      <c r="B1493" s="158"/>
      <c r="C1493" s="158"/>
      <c r="D1493" s="160"/>
      <c r="E1493" s="158"/>
      <c r="F1493" s="157"/>
      <c r="G1493" s="159"/>
    </row>
    <row r="1494" spans="1:7">
      <c r="A1494" s="157"/>
      <c r="B1494" s="158"/>
      <c r="C1494" s="158"/>
      <c r="D1494" s="160"/>
      <c r="E1494" s="158"/>
      <c r="F1494" s="157"/>
      <c r="G1494" s="159"/>
    </row>
    <row r="1495" spans="1:7">
      <c r="A1495" s="157"/>
      <c r="B1495" s="158"/>
      <c r="C1495" s="158"/>
      <c r="D1495" s="160"/>
      <c r="E1495" s="158"/>
      <c r="F1495" s="157"/>
      <c r="G1495" s="159"/>
    </row>
    <row r="1496" spans="1:7">
      <c r="A1496" s="157"/>
      <c r="B1496" s="158"/>
      <c r="C1496" s="158"/>
      <c r="D1496" s="160"/>
      <c r="E1496" s="158"/>
      <c r="F1496" s="157"/>
      <c r="G1496" s="159"/>
    </row>
    <row r="1497" spans="1:7">
      <c r="A1497" s="157"/>
      <c r="B1497" s="158"/>
      <c r="C1497" s="158"/>
      <c r="D1497" s="160"/>
      <c r="E1497" s="158"/>
      <c r="F1497" s="157"/>
      <c r="G1497" s="159"/>
    </row>
    <row r="1498" spans="1:7">
      <c r="A1498" s="157"/>
      <c r="B1498" s="158"/>
      <c r="C1498" s="158"/>
      <c r="D1498" s="160"/>
      <c r="E1498" s="158"/>
      <c r="F1498" s="157"/>
      <c r="G1498" s="159"/>
    </row>
    <row r="1499" spans="1:7">
      <c r="A1499" s="157"/>
      <c r="B1499" s="158"/>
      <c r="C1499" s="158"/>
      <c r="D1499" s="160"/>
      <c r="E1499" s="158"/>
      <c r="F1499" s="157"/>
      <c r="G1499" s="159"/>
    </row>
    <row r="1500" spans="1:7">
      <c r="A1500" s="157"/>
      <c r="B1500" s="158"/>
      <c r="C1500" s="158"/>
      <c r="D1500" s="160"/>
      <c r="E1500" s="158"/>
      <c r="F1500" s="157"/>
      <c r="G1500" s="159"/>
    </row>
    <row r="1501" spans="1:7">
      <c r="A1501" s="157"/>
      <c r="B1501" s="158"/>
      <c r="C1501" s="158"/>
      <c r="D1501" s="160"/>
      <c r="E1501" s="158"/>
      <c r="F1501" s="157"/>
      <c r="G1501" s="159"/>
    </row>
    <row r="1502" spans="1:7">
      <c r="A1502" s="157"/>
      <c r="B1502" s="158"/>
      <c r="C1502" s="158"/>
      <c r="D1502" s="160"/>
      <c r="E1502" s="158"/>
      <c r="F1502" s="157"/>
      <c r="G1502" s="159"/>
    </row>
    <row r="1503" spans="1:7">
      <c r="A1503" s="157"/>
      <c r="B1503" s="158"/>
      <c r="C1503" s="158"/>
      <c r="D1503" s="160"/>
      <c r="E1503" s="158"/>
      <c r="F1503" s="157"/>
      <c r="G1503" s="159"/>
    </row>
    <row r="1504" spans="1:7">
      <c r="A1504" s="157"/>
      <c r="B1504" s="158"/>
      <c r="C1504" s="158"/>
      <c r="D1504" s="160"/>
      <c r="E1504" s="158"/>
      <c r="F1504" s="157"/>
      <c r="G1504" s="159"/>
    </row>
    <row r="1505" spans="1:7">
      <c r="A1505" s="157"/>
      <c r="B1505" s="158"/>
      <c r="C1505" s="158"/>
      <c r="D1505" s="160"/>
      <c r="E1505" s="158"/>
      <c r="F1505" s="157"/>
      <c r="G1505" s="159"/>
    </row>
    <row r="1506" spans="1:7">
      <c r="A1506" s="157"/>
      <c r="B1506" s="158"/>
      <c r="C1506" s="158"/>
      <c r="D1506" s="160"/>
      <c r="E1506" s="158"/>
      <c r="F1506" s="157"/>
      <c r="G1506" s="159"/>
    </row>
    <row r="1507" spans="1:7">
      <c r="A1507" s="157"/>
      <c r="B1507" s="158"/>
      <c r="C1507" s="158"/>
      <c r="D1507" s="160"/>
      <c r="E1507" s="158"/>
      <c r="F1507" s="157"/>
      <c r="G1507" s="159"/>
    </row>
    <row r="1508" spans="1:7">
      <c r="A1508" s="157"/>
      <c r="B1508" s="158"/>
      <c r="C1508" s="158"/>
      <c r="D1508" s="160"/>
      <c r="E1508" s="158"/>
      <c r="F1508" s="157"/>
      <c r="G1508" s="159"/>
    </row>
    <row r="1509" spans="1:7">
      <c r="A1509" s="157"/>
      <c r="B1509" s="158"/>
      <c r="C1509" s="158"/>
      <c r="D1509" s="160"/>
      <c r="E1509" s="158"/>
      <c r="F1509" s="157"/>
      <c r="G1509" s="159"/>
    </row>
    <row r="1510" spans="1:7">
      <c r="A1510" s="157"/>
      <c r="B1510" s="158"/>
      <c r="C1510" s="158"/>
      <c r="D1510" s="160"/>
      <c r="E1510" s="158"/>
      <c r="F1510" s="157"/>
      <c r="G1510" s="159"/>
    </row>
    <row r="1511" spans="1:7">
      <c r="A1511" s="157"/>
      <c r="B1511" s="158"/>
      <c r="C1511" s="158"/>
      <c r="D1511" s="160"/>
      <c r="E1511" s="158"/>
      <c r="F1511" s="157"/>
      <c r="G1511" s="159"/>
    </row>
    <row r="1512" spans="1:7">
      <c r="A1512" s="157"/>
      <c r="B1512" s="158"/>
      <c r="C1512" s="158"/>
      <c r="D1512" s="160"/>
      <c r="E1512" s="158"/>
      <c r="F1512" s="157"/>
      <c r="G1512" s="159"/>
    </row>
    <row r="1513" spans="1:7">
      <c r="A1513" s="157"/>
      <c r="B1513" s="158"/>
      <c r="C1513" s="158"/>
      <c r="D1513" s="160"/>
      <c r="E1513" s="158"/>
      <c r="F1513" s="157"/>
      <c r="G1513" s="159"/>
    </row>
    <row r="1514" spans="1:7">
      <c r="A1514" s="157"/>
      <c r="B1514" s="158"/>
      <c r="C1514" s="158"/>
      <c r="D1514" s="160"/>
      <c r="E1514" s="158"/>
      <c r="F1514" s="157"/>
      <c r="G1514" s="159"/>
    </row>
    <row r="1515" spans="1:7">
      <c r="A1515" s="157"/>
      <c r="B1515" s="158"/>
      <c r="C1515" s="158"/>
      <c r="D1515" s="160"/>
      <c r="E1515" s="158"/>
      <c r="F1515" s="157"/>
      <c r="G1515" s="159"/>
    </row>
    <row r="1516" spans="1:7">
      <c r="A1516" s="157"/>
      <c r="B1516" s="158"/>
      <c r="C1516" s="158"/>
      <c r="D1516" s="160"/>
      <c r="E1516" s="158"/>
      <c r="F1516" s="157"/>
      <c r="G1516" s="159"/>
    </row>
    <row r="1517" spans="1:7">
      <c r="A1517" s="157"/>
      <c r="B1517" s="158"/>
      <c r="C1517" s="158"/>
      <c r="D1517" s="160"/>
      <c r="E1517" s="158"/>
      <c r="F1517" s="157"/>
      <c r="G1517" s="159"/>
    </row>
    <row r="1518" spans="1:7">
      <c r="A1518" s="157"/>
      <c r="B1518" s="158"/>
      <c r="C1518" s="158"/>
      <c r="D1518" s="160"/>
      <c r="E1518" s="158"/>
      <c r="F1518" s="157"/>
      <c r="G1518" s="159"/>
    </row>
    <row r="1519" spans="1:7">
      <c r="A1519" s="157"/>
      <c r="B1519" s="158"/>
      <c r="C1519" s="158"/>
      <c r="D1519" s="160"/>
      <c r="E1519" s="158"/>
      <c r="F1519" s="157"/>
      <c r="G1519" s="159"/>
    </row>
    <row r="1520" spans="1:7">
      <c r="A1520" s="157"/>
      <c r="B1520" s="158"/>
      <c r="C1520" s="158"/>
      <c r="D1520" s="160"/>
      <c r="E1520" s="158"/>
      <c r="F1520" s="157"/>
      <c r="G1520" s="159"/>
    </row>
    <row r="1521" spans="1:7">
      <c r="A1521" s="157"/>
      <c r="B1521" s="158"/>
      <c r="C1521" s="158"/>
      <c r="D1521" s="160"/>
      <c r="E1521" s="158"/>
      <c r="F1521" s="157"/>
      <c r="G1521" s="159"/>
    </row>
    <row r="1522" spans="1:7">
      <c r="A1522" s="157"/>
      <c r="B1522" s="158"/>
      <c r="C1522" s="158"/>
      <c r="D1522" s="160"/>
      <c r="E1522" s="158"/>
      <c r="F1522" s="157"/>
      <c r="G1522" s="159"/>
    </row>
    <row r="1523" spans="1:7">
      <c r="A1523" s="157"/>
      <c r="B1523" s="158"/>
      <c r="C1523" s="158"/>
      <c r="D1523" s="160"/>
      <c r="E1523" s="158"/>
      <c r="F1523" s="157"/>
      <c r="G1523" s="159"/>
    </row>
    <row r="1524" spans="1:7">
      <c r="A1524" s="157"/>
      <c r="B1524" s="158"/>
      <c r="C1524" s="158"/>
      <c r="D1524" s="160"/>
      <c r="E1524" s="158"/>
      <c r="F1524" s="157"/>
      <c r="G1524" s="159"/>
    </row>
    <row r="1525" spans="1:7">
      <c r="A1525" s="157"/>
      <c r="B1525" s="158"/>
      <c r="C1525" s="158"/>
      <c r="D1525" s="160"/>
      <c r="E1525" s="158"/>
      <c r="F1525" s="157"/>
      <c r="G1525" s="159"/>
    </row>
    <row r="1526" spans="1:7">
      <c r="A1526" s="157"/>
      <c r="B1526" s="158"/>
      <c r="C1526" s="158"/>
      <c r="D1526" s="160"/>
      <c r="E1526" s="158"/>
      <c r="F1526" s="157"/>
      <c r="G1526" s="159"/>
    </row>
    <row r="1527" spans="1:7">
      <c r="A1527" s="157"/>
      <c r="B1527" s="158"/>
      <c r="C1527" s="158"/>
      <c r="D1527" s="160"/>
      <c r="E1527" s="158"/>
      <c r="F1527" s="157"/>
      <c r="G1527" s="159"/>
    </row>
    <row r="1528" spans="1:7">
      <c r="A1528" s="157"/>
      <c r="B1528" s="158"/>
      <c r="C1528" s="158"/>
      <c r="D1528" s="160"/>
      <c r="E1528" s="158"/>
      <c r="F1528" s="157"/>
      <c r="G1528" s="159"/>
    </row>
    <row r="1529" spans="1:7">
      <c r="A1529" s="157"/>
      <c r="B1529" s="158"/>
      <c r="C1529" s="158"/>
      <c r="D1529" s="160"/>
      <c r="E1529" s="158"/>
      <c r="F1529" s="157"/>
      <c r="G1529" s="159"/>
    </row>
    <row r="1530" spans="1:7">
      <c r="A1530" s="157"/>
      <c r="B1530" s="158"/>
      <c r="C1530" s="158"/>
      <c r="D1530" s="160"/>
      <c r="E1530" s="158"/>
      <c r="F1530" s="157"/>
      <c r="G1530" s="159"/>
    </row>
    <row r="1531" spans="1:7">
      <c r="A1531" s="157"/>
      <c r="B1531" s="158"/>
      <c r="C1531" s="158"/>
      <c r="D1531" s="160"/>
      <c r="E1531" s="158"/>
      <c r="F1531" s="157"/>
      <c r="G1531" s="159"/>
    </row>
    <row r="1532" spans="1:7">
      <c r="A1532" s="157"/>
      <c r="B1532" s="158"/>
      <c r="C1532" s="158"/>
      <c r="D1532" s="160"/>
      <c r="E1532" s="158"/>
      <c r="F1532" s="157"/>
      <c r="G1532" s="159"/>
    </row>
    <row r="1533" spans="1:7">
      <c r="A1533" s="157"/>
      <c r="B1533" s="158"/>
      <c r="C1533" s="158"/>
      <c r="D1533" s="160"/>
      <c r="E1533" s="158"/>
      <c r="F1533" s="157"/>
      <c r="G1533" s="159"/>
    </row>
    <row r="1534" spans="1:7">
      <c r="A1534" s="157"/>
      <c r="B1534" s="158"/>
      <c r="C1534" s="158"/>
      <c r="D1534" s="160"/>
      <c r="E1534" s="158"/>
      <c r="F1534" s="157"/>
      <c r="G1534" s="159"/>
    </row>
    <row r="1535" spans="1:7">
      <c r="A1535" s="157"/>
      <c r="B1535" s="158"/>
      <c r="C1535" s="158"/>
      <c r="D1535" s="160"/>
      <c r="E1535" s="158"/>
      <c r="F1535" s="157"/>
      <c r="G1535" s="159"/>
    </row>
    <row r="1536" spans="1:7">
      <c r="A1536" s="157"/>
      <c r="B1536" s="158"/>
      <c r="C1536" s="158"/>
      <c r="D1536" s="160"/>
      <c r="E1536" s="158"/>
      <c r="F1536" s="157"/>
      <c r="G1536" s="159"/>
    </row>
    <row r="1537" spans="1:7">
      <c r="A1537" s="157"/>
      <c r="B1537" s="158"/>
      <c r="C1537" s="158"/>
      <c r="D1537" s="160"/>
      <c r="E1537" s="158"/>
      <c r="F1537" s="157"/>
      <c r="G1537" s="159"/>
    </row>
    <row r="1538" spans="1:7">
      <c r="A1538" s="157"/>
      <c r="B1538" s="158"/>
      <c r="C1538" s="158"/>
      <c r="D1538" s="160"/>
      <c r="E1538" s="158"/>
      <c r="F1538" s="157"/>
      <c r="G1538" s="159"/>
    </row>
    <row r="1539" spans="1:7">
      <c r="A1539" s="157"/>
      <c r="B1539" s="158"/>
      <c r="C1539" s="158"/>
      <c r="D1539" s="160"/>
      <c r="E1539" s="158"/>
      <c r="F1539" s="157"/>
      <c r="G1539" s="159"/>
    </row>
    <row r="1540" spans="1:7">
      <c r="A1540" s="157"/>
      <c r="B1540" s="158"/>
      <c r="C1540" s="158"/>
      <c r="D1540" s="160"/>
      <c r="E1540" s="158"/>
      <c r="F1540" s="157"/>
      <c r="G1540" s="159"/>
    </row>
    <row r="1541" spans="1:7">
      <c r="A1541" s="157"/>
      <c r="B1541" s="158"/>
      <c r="C1541" s="158"/>
      <c r="D1541" s="160"/>
      <c r="E1541" s="158"/>
      <c r="F1541" s="157"/>
      <c r="G1541" s="159"/>
    </row>
    <row r="1542" spans="1:7">
      <c r="A1542" s="157"/>
      <c r="B1542" s="158"/>
      <c r="C1542" s="158"/>
      <c r="D1542" s="160"/>
      <c r="E1542" s="158"/>
      <c r="F1542" s="157"/>
      <c r="G1542" s="159"/>
    </row>
    <row r="1543" spans="1:7">
      <c r="A1543" s="157"/>
      <c r="B1543" s="158"/>
      <c r="C1543" s="158"/>
      <c r="D1543" s="160"/>
      <c r="E1543" s="158"/>
      <c r="F1543" s="157"/>
      <c r="G1543" s="159"/>
    </row>
    <row r="1544" spans="1:7">
      <c r="A1544" s="157"/>
      <c r="B1544" s="158"/>
      <c r="C1544" s="158"/>
      <c r="D1544" s="160"/>
      <c r="E1544" s="158"/>
      <c r="F1544" s="157"/>
      <c r="G1544" s="159"/>
    </row>
    <row r="1545" spans="1:7">
      <c r="A1545" s="157"/>
      <c r="B1545" s="158"/>
      <c r="C1545" s="158"/>
      <c r="D1545" s="160"/>
      <c r="E1545" s="158"/>
      <c r="F1545" s="157"/>
      <c r="G1545" s="159"/>
    </row>
    <row r="1546" spans="1:7">
      <c r="A1546" s="157"/>
      <c r="B1546" s="158"/>
      <c r="C1546" s="158"/>
      <c r="D1546" s="160"/>
      <c r="E1546" s="158"/>
      <c r="F1546" s="157"/>
      <c r="G1546" s="159"/>
    </row>
    <row r="1547" spans="1:7">
      <c r="A1547" s="157"/>
      <c r="B1547" s="158"/>
      <c r="C1547" s="158"/>
      <c r="D1547" s="160"/>
      <c r="E1547" s="158"/>
      <c r="F1547" s="157"/>
      <c r="G1547" s="159"/>
    </row>
    <row r="1548" spans="1:7">
      <c r="A1548" s="157"/>
      <c r="B1548" s="158"/>
      <c r="C1548" s="158"/>
      <c r="D1548" s="160"/>
      <c r="E1548" s="158"/>
      <c r="F1548" s="157"/>
      <c r="G1548" s="159"/>
    </row>
    <row r="1549" spans="1:7">
      <c r="A1549" s="157"/>
      <c r="B1549" s="158"/>
      <c r="C1549" s="158"/>
      <c r="D1549" s="160"/>
      <c r="E1549" s="158"/>
      <c r="F1549" s="157"/>
      <c r="G1549" s="159"/>
    </row>
    <row r="1550" spans="1:7">
      <c r="A1550" s="157"/>
      <c r="B1550" s="158"/>
      <c r="C1550" s="158"/>
      <c r="D1550" s="160"/>
      <c r="E1550" s="158"/>
      <c r="F1550" s="157"/>
      <c r="G1550" s="159"/>
    </row>
    <row r="1551" spans="1:7">
      <c r="A1551" s="157"/>
      <c r="B1551" s="158"/>
      <c r="C1551" s="158"/>
      <c r="D1551" s="160"/>
      <c r="E1551" s="158"/>
      <c r="F1551" s="157"/>
      <c r="G1551" s="159"/>
    </row>
    <row r="1552" spans="1:7">
      <c r="A1552" s="157"/>
      <c r="B1552" s="158"/>
      <c r="C1552" s="158"/>
      <c r="D1552" s="160"/>
      <c r="E1552" s="158"/>
      <c r="F1552" s="157"/>
      <c r="G1552" s="159"/>
    </row>
    <row r="1553" spans="1:7">
      <c r="A1553" s="157"/>
      <c r="B1553" s="158"/>
      <c r="C1553" s="158"/>
      <c r="D1553" s="160"/>
      <c r="E1553" s="158"/>
      <c r="F1553" s="157"/>
      <c r="G1553" s="159"/>
    </row>
    <row r="1554" spans="1:7">
      <c r="A1554" s="157"/>
      <c r="B1554" s="158"/>
      <c r="C1554" s="158"/>
      <c r="D1554" s="160"/>
      <c r="E1554" s="158"/>
      <c r="F1554" s="157"/>
      <c r="G1554" s="159"/>
    </row>
    <row r="1555" spans="1:7">
      <c r="A1555" s="157"/>
      <c r="B1555" s="158"/>
      <c r="C1555" s="158"/>
      <c r="D1555" s="160"/>
      <c r="E1555" s="158"/>
      <c r="F1555" s="157"/>
      <c r="G1555" s="159"/>
    </row>
    <row r="1556" spans="1:7">
      <c r="A1556" s="157"/>
      <c r="B1556" s="158"/>
      <c r="C1556" s="158"/>
      <c r="D1556" s="160"/>
      <c r="E1556" s="158"/>
      <c r="F1556" s="157"/>
      <c r="G1556" s="159"/>
    </row>
    <row r="1557" spans="1:7">
      <c r="A1557" s="157"/>
      <c r="B1557" s="158"/>
      <c r="C1557" s="158"/>
      <c r="D1557" s="160"/>
      <c r="E1557" s="158"/>
      <c r="F1557" s="157"/>
      <c r="G1557" s="159"/>
    </row>
    <row r="1558" spans="1:7">
      <c r="A1558" s="157"/>
      <c r="B1558" s="158"/>
      <c r="C1558" s="158"/>
      <c r="D1558" s="160"/>
      <c r="E1558" s="158"/>
      <c r="F1558" s="157"/>
      <c r="G1558" s="159"/>
    </row>
    <row r="1559" spans="1:7">
      <c r="A1559" s="157"/>
      <c r="B1559" s="158"/>
      <c r="C1559" s="158"/>
      <c r="D1559" s="160"/>
      <c r="E1559" s="158"/>
      <c r="F1559" s="157"/>
      <c r="G1559" s="159"/>
    </row>
    <row r="1560" spans="1:7">
      <c r="A1560" s="157"/>
      <c r="B1560" s="158"/>
      <c r="C1560" s="158"/>
      <c r="D1560" s="160"/>
      <c r="E1560" s="158"/>
      <c r="F1560" s="157"/>
      <c r="G1560" s="159"/>
    </row>
    <row r="1561" spans="1:7">
      <c r="A1561" s="157"/>
      <c r="B1561" s="158"/>
      <c r="C1561" s="158"/>
      <c r="D1561" s="160"/>
      <c r="E1561" s="158"/>
      <c r="F1561" s="157"/>
      <c r="G1561" s="159"/>
    </row>
    <row r="1562" spans="1:7">
      <c r="A1562" s="157"/>
      <c r="B1562" s="158"/>
      <c r="C1562" s="158"/>
      <c r="D1562" s="160"/>
      <c r="E1562" s="158"/>
      <c r="F1562" s="157"/>
      <c r="G1562" s="159"/>
    </row>
    <row r="1563" spans="1:7">
      <c r="A1563" s="157"/>
      <c r="B1563" s="158"/>
      <c r="C1563" s="158"/>
      <c r="D1563" s="160"/>
      <c r="E1563" s="158"/>
      <c r="F1563" s="157"/>
      <c r="G1563" s="159"/>
    </row>
    <row r="1564" spans="1:7">
      <c r="A1564" s="157"/>
      <c r="B1564" s="158"/>
      <c r="C1564" s="158"/>
      <c r="D1564" s="160"/>
      <c r="E1564" s="158"/>
      <c r="F1564" s="157"/>
      <c r="G1564" s="159"/>
    </row>
    <row r="1565" spans="1:7">
      <c r="A1565" s="157"/>
      <c r="B1565" s="158"/>
      <c r="C1565" s="158"/>
      <c r="D1565" s="160"/>
      <c r="E1565" s="158"/>
      <c r="F1565" s="157"/>
      <c r="G1565" s="159"/>
    </row>
    <row r="1566" spans="1:7">
      <c r="A1566" s="157"/>
      <c r="B1566" s="158"/>
      <c r="C1566" s="158"/>
      <c r="D1566" s="160"/>
      <c r="E1566" s="158"/>
      <c r="F1566" s="157"/>
      <c r="G1566" s="159"/>
    </row>
    <row r="1567" spans="1:7">
      <c r="A1567" s="157"/>
      <c r="B1567" s="158"/>
      <c r="C1567" s="158"/>
      <c r="D1567" s="160"/>
      <c r="E1567" s="158"/>
      <c r="F1567" s="157"/>
      <c r="G1567" s="159"/>
    </row>
    <row r="1568" spans="1:7">
      <c r="A1568" s="157"/>
      <c r="B1568" s="158"/>
      <c r="C1568" s="158"/>
      <c r="D1568" s="160"/>
      <c r="E1568" s="158"/>
      <c r="F1568" s="157"/>
      <c r="G1568" s="159"/>
    </row>
    <row r="1569" spans="1:7">
      <c r="A1569" s="157"/>
      <c r="B1569" s="158"/>
      <c r="C1569" s="158"/>
      <c r="D1569" s="160"/>
      <c r="E1569" s="158"/>
      <c r="F1569" s="157"/>
      <c r="G1569" s="159"/>
    </row>
    <row r="1570" spans="1:7">
      <c r="A1570" s="157"/>
      <c r="B1570" s="158"/>
      <c r="C1570" s="158"/>
      <c r="D1570" s="160"/>
      <c r="E1570" s="158"/>
      <c r="F1570" s="157"/>
      <c r="G1570" s="159"/>
    </row>
    <row r="1571" spans="1:7">
      <c r="A1571" s="157"/>
      <c r="B1571" s="158"/>
      <c r="C1571" s="158"/>
      <c r="D1571" s="160"/>
      <c r="E1571" s="158"/>
      <c r="F1571" s="157"/>
      <c r="G1571" s="159"/>
    </row>
    <row r="1572" spans="1:7">
      <c r="A1572" s="157"/>
      <c r="B1572" s="158"/>
      <c r="C1572" s="158"/>
      <c r="D1572" s="160"/>
      <c r="E1572" s="158"/>
      <c r="F1572" s="157"/>
      <c r="G1572" s="159"/>
    </row>
    <row r="1573" spans="1:7">
      <c r="A1573" s="157"/>
      <c r="B1573" s="158"/>
      <c r="C1573" s="158"/>
      <c r="D1573" s="160"/>
      <c r="E1573" s="158"/>
      <c r="F1573" s="157"/>
      <c r="G1573" s="159"/>
    </row>
    <row r="1574" spans="1:7">
      <c r="A1574" s="157"/>
      <c r="B1574" s="158"/>
      <c r="C1574" s="158"/>
      <c r="D1574" s="160"/>
      <c r="E1574" s="158"/>
      <c r="F1574" s="157"/>
      <c r="G1574" s="159"/>
    </row>
    <row r="1575" spans="1:7">
      <c r="A1575" s="157"/>
      <c r="B1575" s="158"/>
      <c r="C1575" s="158"/>
      <c r="D1575" s="160"/>
      <c r="E1575" s="158"/>
      <c r="F1575" s="157"/>
      <c r="G1575" s="159"/>
    </row>
    <row r="1576" spans="1:7">
      <c r="A1576" s="157"/>
      <c r="B1576" s="158"/>
      <c r="C1576" s="158"/>
      <c r="D1576" s="160"/>
      <c r="E1576" s="158"/>
      <c r="F1576" s="157"/>
      <c r="G1576" s="159"/>
    </row>
    <row r="1577" spans="1:7">
      <c r="A1577" s="157"/>
      <c r="B1577" s="158"/>
      <c r="C1577" s="158"/>
      <c r="D1577" s="160"/>
      <c r="E1577" s="158"/>
      <c r="F1577" s="157"/>
      <c r="G1577" s="159"/>
    </row>
    <row r="1578" spans="1:7">
      <c r="A1578" s="157"/>
      <c r="B1578" s="158"/>
      <c r="C1578" s="158"/>
      <c r="D1578" s="160"/>
      <c r="E1578" s="158"/>
      <c r="F1578" s="157"/>
      <c r="G1578" s="159"/>
    </row>
    <row r="1579" spans="1:7">
      <c r="A1579" s="157"/>
      <c r="B1579" s="158"/>
      <c r="C1579" s="158"/>
      <c r="D1579" s="160"/>
      <c r="E1579" s="158"/>
      <c r="F1579" s="157"/>
      <c r="G1579" s="159"/>
    </row>
    <row r="1580" spans="1:7">
      <c r="A1580" s="157"/>
      <c r="B1580" s="158"/>
      <c r="C1580" s="158"/>
      <c r="D1580" s="160"/>
      <c r="E1580" s="158"/>
      <c r="F1580" s="157"/>
      <c r="G1580" s="159"/>
    </row>
    <row r="1581" spans="1:7">
      <c r="A1581" s="157"/>
      <c r="B1581" s="158"/>
      <c r="C1581" s="158"/>
      <c r="D1581" s="160"/>
      <c r="E1581" s="158"/>
      <c r="F1581" s="157"/>
      <c r="G1581" s="159"/>
    </row>
    <row r="1582" spans="1:7">
      <c r="A1582" s="157"/>
      <c r="B1582" s="158"/>
      <c r="C1582" s="158"/>
      <c r="D1582" s="160"/>
      <c r="E1582" s="158"/>
      <c r="F1582" s="157"/>
      <c r="G1582" s="159"/>
    </row>
    <row r="1583" spans="1:7">
      <c r="A1583" s="157"/>
      <c r="B1583" s="158"/>
      <c r="C1583" s="158"/>
      <c r="D1583" s="160"/>
      <c r="E1583" s="158"/>
      <c r="F1583" s="157"/>
      <c r="G1583" s="159"/>
    </row>
    <row r="1584" spans="1:7">
      <c r="A1584" s="157"/>
      <c r="B1584" s="158"/>
      <c r="C1584" s="158"/>
      <c r="D1584" s="160"/>
      <c r="E1584" s="158"/>
      <c r="F1584" s="157"/>
      <c r="G1584" s="159"/>
    </row>
    <row r="1585" spans="1:7">
      <c r="A1585" s="157"/>
      <c r="B1585" s="158"/>
      <c r="C1585" s="158"/>
      <c r="D1585" s="160"/>
      <c r="E1585" s="158"/>
      <c r="F1585" s="157"/>
      <c r="G1585" s="159"/>
    </row>
    <row r="1586" spans="1:7">
      <c r="A1586" s="157"/>
      <c r="B1586" s="158"/>
      <c r="C1586" s="158"/>
      <c r="D1586" s="160"/>
      <c r="E1586" s="158"/>
      <c r="F1586" s="157"/>
      <c r="G1586" s="159"/>
    </row>
    <row r="1587" spans="1:7">
      <c r="A1587" s="157"/>
      <c r="B1587" s="158"/>
      <c r="C1587" s="158"/>
      <c r="D1587" s="160"/>
      <c r="E1587" s="158"/>
      <c r="F1587" s="157"/>
      <c r="G1587" s="159"/>
    </row>
    <row r="1588" spans="1:7">
      <c r="A1588" s="157"/>
      <c r="B1588" s="158"/>
      <c r="C1588" s="158"/>
      <c r="D1588" s="160"/>
      <c r="E1588" s="158"/>
      <c r="F1588" s="157"/>
      <c r="G1588" s="159"/>
    </row>
    <row r="1589" spans="1:7">
      <c r="A1589" s="157"/>
      <c r="B1589" s="158"/>
      <c r="C1589" s="158"/>
      <c r="D1589" s="160"/>
      <c r="E1589" s="158"/>
      <c r="F1589" s="157"/>
      <c r="G1589" s="159"/>
    </row>
    <row r="1590" spans="1:7">
      <c r="A1590" s="157"/>
      <c r="B1590" s="158"/>
      <c r="C1590" s="158"/>
      <c r="D1590" s="160"/>
      <c r="E1590" s="158"/>
      <c r="F1590" s="157"/>
      <c r="G1590" s="159"/>
    </row>
    <row r="1591" spans="1:7">
      <c r="A1591" s="157"/>
      <c r="B1591" s="158"/>
      <c r="C1591" s="158"/>
      <c r="D1591" s="160"/>
      <c r="E1591" s="158"/>
      <c r="F1591" s="157"/>
      <c r="G1591" s="159"/>
    </row>
    <row r="1592" spans="1:7">
      <c r="A1592" s="157"/>
      <c r="B1592" s="158"/>
      <c r="C1592" s="158"/>
      <c r="D1592" s="160"/>
      <c r="E1592" s="158"/>
      <c r="F1592" s="157"/>
      <c r="G1592" s="159"/>
    </row>
    <row r="1593" spans="1:7">
      <c r="A1593" s="157"/>
      <c r="B1593" s="158"/>
      <c r="C1593" s="158"/>
      <c r="D1593" s="160"/>
      <c r="E1593" s="158"/>
      <c r="F1593" s="157"/>
      <c r="G1593" s="159"/>
    </row>
    <row r="1594" spans="1:7">
      <c r="A1594" s="157"/>
      <c r="B1594" s="158"/>
      <c r="C1594" s="158"/>
      <c r="D1594" s="160"/>
      <c r="E1594" s="158"/>
      <c r="F1594" s="157"/>
      <c r="G1594" s="159"/>
    </row>
    <row r="1595" spans="1:7">
      <c r="A1595" s="157"/>
      <c r="B1595" s="158"/>
      <c r="C1595" s="158"/>
      <c r="D1595" s="160"/>
      <c r="E1595" s="158"/>
      <c r="F1595" s="157"/>
      <c r="G1595" s="159"/>
    </row>
    <row r="1596" spans="1:7">
      <c r="A1596" s="157"/>
      <c r="B1596" s="158"/>
      <c r="C1596" s="158"/>
      <c r="D1596" s="160"/>
      <c r="E1596" s="158"/>
      <c r="F1596" s="157"/>
      <c r="G1596" s="159"/>
    </row>
    <row r="1597" spans="1:7">
      <c r="A1597" s="157"/>
      <c r="B1597" s="158"/>
      <c r="C1597" s="158"/>
      <c r="D1597" s="160"/>
      <c r="E1597" s="158"/>
      <c r="F1597" s="157"/>
      <c r="G1597" s="159"/>
    </row>
    <row r="1598" spans="1:7">
      <c r="A1598" s="157"/>
      <c r="B1598" s="158"/>
      <c r="C1598" s="158"/>
      <c r="D1598" s="160"/>
      <c r="E1598" s="158"/>
      <c r="F1598" s="157"/>
      <c r="G1598" s="159"/>
    </row>
    <row r="1599" spans="1:7">
      <c r="A1599" s="157"/>
      <c r="B1599" s="158"/>
      <c r="C1599" s="158"/>
      <c r="D1599" s="160"/>
      <c r="E1599" s="158"/>
      <c r="F1599" s="157"/>
      <c r="G1599" s="159"/>
    </row>
    <row r="1600" spans="1:7">
      <c r="A1600" s="157"/>
      <c r="B1600" s="158"/>
      <c r="C1600" s="158"/>
      <c r="D1600" s="160"/>
      <c r="E1600" s="158"/>
      <c r="F1600" s="157"/>
      <c r="G1600" s="159"/>
    </row>
    <row r="1601" spans="1:7">
      <c r="A1601" s="157"/>
      <c r="B1601" s="158"/>
      <c r="C1601" s="158"/>
      <c r="D1601" s="160"/>
      <c r="E1601" s="158"/>
      <c r="F1601" s="157"/>
      <c r="G1601" s="159"/>
    </row>
    <row r="1602" spans="1:7">
      <c r="A1602" s="157"/>
      <c r="B1602" s="158"/>
      <c r="C1602" s="158"/>
      <c r="D1602" s="160"/>
      <c r="E1602" s="158"/>
      <c r="F1602" s="157"/>
      <c r="G1602" s="159"/>
    </row>
    <row r="1603" spans="1:7">
      <c r="A1603" s="157"/>
      <c r="B1603" s="158"/>
      <c r="C1603" s="158"/>
      <c r="D1603" s="160"/>
      <c r="E1603" s="158"/>
      <c r="F1603" s="157"/>
      <c r="G1603" s="159"/>
    </row>
    <row r="1604" spans="1:7">
      <c r="A1604" s="157"/>
      <c r="B1604" s="158"/>
      <c r="C1604" s="158"/>
      <c r="D1604" s="160"/>
      <c r="E1604" s="158"/>
      <c r="F1604" s="157"/>
      <c r="G1604" s="159"/>
    </row>
    <row r="1605" spans="1:7">
      <c r="A1605" s="157"/>
      <c r="B1605" s="158"/>
      <c r="C1605" s="158"/>
      <c r="D1605" s="160"/>
      <c r="E1605" s="158"/>
      <c r="F1605" s="157"/>
      <c r="G1605" s="159"/>
    </row>
    <row r="1606" spans="1:7">
      <c r="A1606" s="157"/>
      <c r="B1606" s="158"/>
      <c r="C1606" s="158"/>
      <c r="D1606" s="160"/>
      <c r="E1606" s="158"/>
      <c r="F1606" s="157"/>
      <c r="G1606" s="159"/>
    </row>
    <row r="1607" spans="1:7">
      <c r="A1607" s="157"/>
      <c r="B1607" s="158"/>
      <c r="C1607" s="158"/>
      <c r="D1607" s="160"/>
      <c r="E1607" s="158"/>
      <c r="F1607" s="157"/>
      <c r="G1607" s="159"/>
    </row>
    <row r="1608" spans="1:7">
      <c r="A1608" s="157"/>
      <c r="B1608" s="158"/>
      <c r="C1608" s="158"/>
      <c r="D1608" s="160"/>
      <c r="E1608" s="158"/>
      <c r="F1608" s="157"/>
      <c r="G1608" s="159"/>
    </row>
    <row r="1609" spans="1:7">
      <c r="A1609" s="157"/>
      <c r="B1609" s="158"/>
      <c r="C1609" s="158"/>
      <c r="D1609" s="160"/>
      <c r="E1609" s="158"/>
      <c r="F1609" s="157"/>
      <c r="G1609" s="159"/>
    </row>
    <row r="1610" spans="1:7">
      <c r="A1610" s="157"/>
      <c r="B1610" s="158"/>
      <c r="C1610" s="158"/>
      <c r="D1610" s="160"/>
      <c r="E1610" s="158"/>
      <c r="F1610" s="157"/>
      <c r="G1610" s="159"/>
    </row>
    <row r="1611" spans="1:7">
      <c r="A1611" s="157"/>
      <c r="B1611" s="158"/>
      <c r="C1611" s="158"/>
      <c r="D1611" s="160"/>
      <c r="E1611" s="158"/>
      <c r="F1611" s="157"/>
      <c r="G1611" s="159"/>
    </row>
    <row r="1612" spans="1:7">
      <c r="A1612" s="157"/>
      <c r="B1612" s="158"/>
      <c r="C1612" s="158"/>
      <c r="D1612" s="160"/>
      <c r="E1612" s="158"/>
      <c r="F1612" s="157"/>
      <c r="G1612" s="159"/>
    </row>
    <row r="1613" spans="1:7">
      <c r="A1613" s="157"/>
      <c r="B1613" s="158"/>
      <c r="C1613" s="158"/>
      <c r="D1613" s="160"/>
      <c r="E1613" s="158"/>
      <c r="F1613" s="157"/>
      <c r="G1613" s="159"/>
    </row>
    <row r="1614" spans="1:7">
      <c r="A1614" s="157"/>
      <c r="B1614" s="158"/>
      <c r="C1614" s="158"/>
      <c r="D1614" s="160"/>
      <c r="E1614" s="158"/>
      <c r="F1614" s="157"/>
      <c r="G1614" s="159"/>
    </row>
    <row r="1615" spans="1:7">
      <c r="A1615" s="157"/>
      <c r="B1615" s="158"/>
      <c r="C1615" s="158"/>
      <c r="D1615" s="160"/>
      <c r="E1615" s="158"/>
      <c r="F1615" s="157"/>
      <c r="G1615" s="159"/>
    </row>
    <row r="1616" spans="1:7">
      <c r="A1616" s="157"/>
      <c r="B1616" s="158"/>
      <c r="C1616" s="158"/>
      <c r="D1616" s="160"/>
      <c r="E1616" s="158"/>
      <c r="F1616" s="157"/>
      <c r="G1616" s="159"/>
    </row>
    <row r="1617" spans="1:7">
      <c r="A1617" s="157"/>
      <c r="B1617" s="158"/>
      <c r="C1617" s="158"/>
      <c r="D1617" s="160"/>
      <c r="E1617" s="158"/>
      <c r="F1617" s="157"/>
      <c r="G1617" s="159"/>
    </row>
    <row r="1618" spans="1:7">
      <c r="A1618" s="157"/>
      <c r="B1618" s="158"/>
      <c r="C1618" s="158"/>
      <c r="D1618" s="160"/>
      <c r="E1618" s="158"/>
      <c r="F1618" s="157"/>
      <c r="G1618" s="159"/>
    </row>
    <row r="1619" spans="1:7">
      <c r="A1619" s="157"/>
      <c r="B1619" s="158"/>
      <c r="C1619" s="158"/>
      <c r="D1619" s="160"/>
      <c r="E1619" s="158"/>
      <c r="F1619" s="157"/>
      <c r="G1619" s="159"/>
    </row>
    <row r="1620" spans="1:7">
      <c r="A1620" s="157"/>
      <c r="B1620" s="158"/>
      <c r="C1620" s="158"/>
      <c r="D1620" s="160"/>
      <c r="E1620" s="158"/>
      <c r="F1620" s="157"/>
      <c r="G1620" s="159"/>
    </row>
    <row r="1621" spans="1:7">
      <c r="A1621" s="157"/>
      <c r="B1621" s="158"/>
      <c r="C1621" s="158"/>
      <c r="D1621" s="160"/>
      <c r="E1621" s="158"/>
      <c r="F1621" s="157"/>
      <c r="G1621" s="159"/>
    </row>
    <row r="1622" spans="1:7">
      <c r="A1622" s="157"/>
      <c r="B1622" s="158"/>
      <c r="C1622" s="158"/>
      <c r="D1622" s="160"/>
      <c r="E1622" s="158"/>
      <c r="F1622" s="157"/>
      <c r="G1622" s="159"/>
    </row>
    <row r="1623" spans="1:7">
      <c r="A1623" s="157"/>
      <c r="B1623" s="158"/>
      <c r="C1623" s="158"/>
      <c r="D1623" s="160"/>
      <c r="E1623" s="158"/>
      <c r="F1623" s="157"/>
      <c r="G1623" s="159"/>
    </row>
    <row r="1624" spans="1:7">
      <c r="A1624" s="157"/>
      <c r="B1624" s="158"/>
      <c r="C1624" s="158"/>
      <c r="D1624" s="160"/>
      <c r="E1624" s="158"/>
      <c r="F1624" s="157"/>
      <c r="G1624" s="159"/>
    </row>
    <row r="1625" spans="1:7">
      <c r="A1625" s="157"/>
      <c r="B1625" s="158"/>
      <c r="C1625" s="158"/>
      <c r="D1625" s="160"/>
      <c r="E1625" s="158"/>
      <c r="F1625" s="157"/>
      <c r="G1625" s="159"/>
    </row>
    <row r="1626" spans="1:7">
      <c r="A1626" s="157"/>
      <c r="B1626" s="158"/>
      <c r="C1626" s="158"/>
      <c r="D1626" s="160"/>
      <c r="E1626" s="158"/>
      <c r="F1626" s="157"/>
      <c r="G1626" s="159"/>
    </row>
    <row r="1627" spans="1:7">
      <c r="A1627" s="157"/>
      <c r="B1627" s="158"/>
      <c r="C1627" s="158"/>
      <c r="D1627" s="160"/>
      <c r="E1627" s="158"/>
      <c r="F1627" s="157"/>
      <c r="G1627" s="159"/>
    </row>
    <row r="1628" spans="1:7">
      <c r="A1628" s="157"/>
      <c r="B1628" s="158"/>
      <c r="C1628" s="158"/>
      <c r="D1628" s="160"/>
      <c r="E1628" s="158"/>
      <c r="F1628" s="157"/>
      <c r="G1628" s="159"/>
    </row>
    <row r="1629" spans="1:7">
      <c r="A1629" s="157"/>
      <c r="B1629" s="158"/>
      <c r="C1629" s="158"/>
      <c r="D1629" s="160"/>
      <c r="E1629" s="158"/>
      <c r="F1629" s="157"/>
      <c r="G1629" s="159"/>
    </row>
    <row r="1630" spans="1:7">
      <c r="A1630" s="157"/>
      <c r="B1630" s="158"/>
      <c r="C1630" s="158"/>
      <c r="D1630" s="158"/>
      <c r="E1630" s="158"/>
      <c r="F1630" s="157"/>
      <c r="G1630" s="15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B4955-2879-41E5-A89F-0E3F3EEE4AF2}">
  <dimension ref="A1:N7"/>
  <sheetViews>
    <sheetView workbookViewId="0"/>
  </sheetViews>
  <sheetFormatPr defaultRowHeight="14.5"/>
  <cols>
    <col min="14" max="14" width="98.1796875" customWidth="1"/>
  </cols>
  <sheetData>
    <row r="1" spans="1:14" ht="409.5">
      <c r="A1" s="96">
        <v>20260101</v>
      </c>
      <c r="B1" s="95" t="s">
        <v>87</v>
      </c>
      <c r="C1" s="95" t="s">
        <v>48</v>
      </c>
      <c r="D1" s="95" t="s">
        <v>81</v>
      </c>
      <c r="E1" s="95" t="s">
        <v>50</v>
      </c>
      <c r="F1" s="95" t="s">
        <v>32</v>
      </c>
      <c r="G1" s="95" t="s">
        <v>82</v>
      </c>
      <c r="H1" s="130"/>
      <c r="I1" s="103" t="s">
        <v>88</v>
      </c>
      <c r="J1" s="80"/>
      <c r="K1" s="77"/>
      <c r="L1" s="77"/>
      <c r="M1" s="77">
        <v>23.119</v>
      </c>
      <c r="N1" s="79" t="s">
        <v>1372</v>
      </c>
    </row>
    <row r="2" spans="1:14" ht="387.5">
      <c r="A2" s="96">
        <v>20260101</v>
      </c>
      <c r="B2" s="95" t="s">
        <v>119</v>
      </c>
      <c r="C2" s="95" t="s">
        <v>29</v>
      </c>
      <c r="D2" s="95" t="s">
        <v>92</v>
      </c>
      <c r="E2" s="95" t="s">
        <v>31</v>
      </c>
      <c r="F2" s="95" t="s">
        <v>41</v>
      </c>
      <c r="G2" s="95" t="s">
        <v>114</v>
      </c>
      <c r="H2" s="130"/>
      <c r="I2" s="103" t="s">
        <v>120</v>
      </c>
      <c r="J2" s="80"/>
      <c r="K2" s="77"/>
      <c r="L2" s="77"/>
      <c r="M2" s="77">
        <v>17.965</v>
      </c>
      <c r="N2" s="79" t="s">
        <v>1373</v>
      </c>
    </row>
    <row r="3" spans="1:14" ht="409.5">
      <c r="A3" s="96">
        <v>20260101</v>
      </c>
      <c r="B3" s="95" t="s">
        <v>214</v>
      </c>
      <c r="C3" s="95" t="s">
        <v>29</v>
      </c>
      <c r="D3" s="95" t="s">
        <v>30</v>
      </c>
      <c r="E3" s="95" t="s">
        <v>31</v>
      </c>
      <c r="F3" s="95" t="s">
        <v>32</v>
      </c>
      <c r="G3" s="105" t="s">
        <v>186</v>
      </c>
      <c r="H3" s="130" t="s">
        <v>191</v>
      </c>
      <c r="I3" s="103" t="s">
        <v>215</v>
      </c>
      <c r="J3" s="80"/>
      <c r="K3" s="77"/>
      <c r="L3" s="77"/>
      <c r="M3" s="77">
        <v>35.902999999999999</v>
      </c>
      <c r="N3" s="79" t="s">
        <v>1374</v>
      </c>
    </row>
    <row r="4" spans="1:14" ht="409.5">
      <c r="A4" s="96">
        <v>20260101</v>
      </c>
      <c r="B4" s="95" t="s">
        <v>125</v>
      </c>
      <c r="C4" s="95" t="s">
        <v>48</v>
      </c>
      <c r="D4" s="95" t="s">
        <v>49</v>
      </c>
      <c r="E4" s="95" t="s">
        <v>50</v>
      </c>
      <c r="F4" s="95" t="s">
        <v>41</v>
      </c>
      <c r="G4" s="95" t="s">
        <v>640</v>
      </c>
      <c r="H4" s="130"/>
      <c r="I4" s="103" t="s">
        <v>749</v>
      </c>
      <c r="J4" s="80"/>
      <c r="K4" s="77"/>
      <c r="L4" s="77"/>
      <c r="M4" s="77">
        <v>29.481999999999999</v>
      </c>
      <c r="N4" s="79" t="s">
        <v>1375</v>
      </c>
    </row>
    <row r="5" spans="1:14" ht="409.5">
      <c r="A5" s="96">
        <v>20260101</v>
      </c>
      <c r="B5" s="95" t="s">
        <v>172</v>
      </c>
      <c r="C5" s="95" t="s">
        <v>48</v>
      </c>
      <c r="D5" s="95" t="s">
        <v>81</v>
      </c>
      <c r="E5" s="95" t="s">
        <v>98</v>
      </c>
      <c r="F5" s="95" t="s">
        <v>32</v>
      </c>
      <c r="G5" s="118" t="s">
        <v>948</v>
      </c>
      <c r="H5" s="95"/>
      <c r="I5" s="103" t="s">
        <v>982</v>
      </c>
      <c r="J5" s="80"/>
      <c r="K5" s="77"/>
      <c r="L5" s="77"/>
      <c r="M5" s="77">
        <v>35.183999999999997</v>
      </c>
      <c r="N5" s="79" t="s">
        <v>1376</v>
      </c>
    </row>
    <row r="6" spans="1:14" ht="409.5">
      <c r="A6" s="96">
        <v>20260101</v>
      </c>
      <c r="B6" s="95" t="s">
        <v>62</v>
      </c>
      <c r="C6" s="95" t="s">
        <v>48</v>
      </c>
      <c r="D6" s="95" t="s">
        <v>49</v>
      </c>
      <c r="E6" s="95" t="s">
        <v>63</v>
      </c>
      <c r="F6" s="95" t="s">
        <v>32</v>
      </c>
      <c r="G6" s="105" t="s">
        <v>64</v>
      </c>
      <c r="H6" s="117" t="s">
        <v>65</v>
      </c>
      <c r="I6" s="103" t="s">
        <v>66</v>
      </c>
      <c r="J6" s="80"/>
      <c r="K6" s="77"/>
      <c r="L6" s="77"/>
      <c r="M6" s="77">
        <v>20.452000000000002</v>
      </c>
      <c r="N6" s="79" t="s">
        <v>1377</v>
      </c>
    </row>
    <row r="7" spans="1:14" ht="409.5">
      <c r="A7" s="96">
        <v>20260101</v>
      </c>
      <c r="B7" s="95" t="s">
        <v>113</v>
      </c>
      <c r="C7" s="95" t="s">
        <v>48</v>
      </c>
      <c r="D7" s="95" t="s">
        <v>49</v>
      </c>
      <c r="E7" s="95" t="s">
        <v>98</v>
      </c>
      <c r="F7" s="95" t="s">
        <v>32</v>
      </c>
      <c r="G7" s="95" t="s">
        <v>114</v>
      </c>
      <c r="H7" s="130"/>
      <c r="I7" s="104" t="s">
        <v>116</v>
      </c>
      <c r="J7" s="80"/>
      <c r="K7" s="77"/>
      <c r="L7" s="77"/>
      <c r="M7" s="77">
        <v>39.572000000000003</v>
      </c>
      <c r="N7" s="79" t="s">
        <v>1378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3208-0E81-45C5-A59E-C03687B8D0A0}">
  <dimension ref="A1"/>
  <sheetViews>
    <sheetView workbookViewId="0">
      <selection activeCell="E9" sqref="E8:E9"/>
    </sheetView>
  </sheetViews>
  <sheetFormatPr defaultRowHeight="14.5"/>
  <cols>
    <col min="1" max="1" width="9.26953125" customWidth="1"/>
  </cols>
  <sheetData>
    <row r="1" spans="1:1" ht="409.5">
      <c r="A1" s="3" t="s">
        <v>1379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566DC-6C23-4C0D-887A-A2113095DB19}">
  <dimension ref="A1:A3"/>
  <sheetViews>
    <sheetView workbookViewId="0">
      <selection activeCell="A3" sqref="A3"/>
    </sheetView>
  </sheetViews>
  <sheetFormatPr defaultRowHeight="14.5"/>
  <cols>
    <col min="1" max="1" width="87.81640625" bestFit="1" customWidth="1"/>
  </cols>
  <sheetData>
    <row r="1" spans="1:1">
      <c r="A1" t="s">
        <v>1380</v>
      </c>
    </row>
    <row r="2" spans="1:1">
      <c r="A2" t="s">
        <v>1381</v>
      </c>
    </row>
    <row r="3" spans="1:1">
      <c r="A3" t="s">
        <v>1382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92431232209F4F8BFDB601B433C69A" ma:contentTypeVersion="28" ma:contentTypeDescription="Create a new document." ma:contentTypeScope="" ma:versionID="5e2a5637f0f543ae785df7fda962b2d8">
  <xsd:schema xmlns:xsd="http://www.w3.org/2001/XMLSchema" xmlns:xs="http://www.w3.org/2001/XMLSchema" xmlns:p="http://schemas.microsoft.com/office/2006/metadata/properties" xmlns:ns2="479ba6d9-c359-4e4d-b3a6-ade2680484b5" xmlns:ns3="6f3ddeab-cfda-45e9-9dd5-fc00842ae8d4" targetNamespace="http://schemas.microsoft.com/office/2006/metadata/properties" ma:root="true" ma:fieldsID="fd469fa37a643edbcedbf131b520fe14" ns2:_="" ns3:_="">
    <xsd:import namespace="479ba6d9-c359-4e4d-b3a6-ade2680484b5"/>
    <xsd:import namespace="6f3ddeab-cfda-45e9-9dd5-fc00842ae8d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lcf76f155ced4ddcb4097134ff3c332f" minOccurs="0"/>
                <xsd:element ref="ns3:TaxCatchAll" minOccurs="0"/>
                <xsd:element ref="ns2:MediaServiceOCR" minOccurs="0"/>
                <xsd:element ref="ns2:What_x0020_is_x0020_your_x0020_role" minOccurs="0"/>
                <xsd:element ref="ns2:List_x0020_up_x0020_to_x0020_3_x0020_key_x0020_tables_x0020_or_x0020_datasets_x0020_you_x0020_use_x0020_most" minOccurs="0"/>
                <xsd:element ref="ns2:Any_x0020_open_x0020_challenges_x0020_or_x0020_questions_x0020_around_x0020_Snowlake_x003f_" minOccurs="0"/>
                <xsd:element ref="ns2:What_x0020_other_x0020_teams_x0020_would_x0020_benefit_x0020_from_x0020_using_x0020_Snowflake_x0020_at_x0020_BSC_x003f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9ba6d9-c359-4e4d-b3a6-ade2680484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17d4224-802a-4f39-af5d-1b2d989a72c6"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What_x0020_is_x0020_your_x0020_role" ma:index="21" nillable="true" ma:displayName="What is your role" ma:format="Dropdown" ma:internalName="What_x0020_is_x0020_your_x0020_role">
      <xsd:simpleType>
        <xsd:restriction base="dms:Choice">
          <xsd:enumeration value="Analyst"/>
          <xsd:enumeration value="Data scientist"/>
          <xsd:enumeration value="Engineer"/>
          <xsd:enumeration value="Business / Operations"/>
          <xsd:enumeration value="Actuary"/>
          <xsd:enumeration value="Other"/>
        </xsd:restriction>
      </xsd:simpleType>
    </xsd:element>
    <xsd:element name="List_x0020_up_x0020_to_x0020_3_x0020_key_x0020_tables_x0020_or_x0020_datasets_x0020_you_x0020_use_x0020_most" ma:index="22" nillable="true" ma:displayName="List up to 3 key tables or datasets you use most" ma:internalName="List_x0020_up_x0020_to_x0020_3_x0020_key_x0020_tables_x0020_or_x0020_datasets_x0020_you_x0020_use_x0020_most">
      <xsd:simpleType>
        <xsd:restriction base="dms:Note">
          <xsd:maxLength value="255"/>
        </xsd:restriction>
      </xsd:simpleType>
    </xsd:element>
    <xsd:element name="Any_x0020_open_x0020_challenges_x0020_or_x0020_questions_x0020_around_x0020_Snowlake_x003f_" ma:index="23" nillable="true" ma:displayName="Any open challenges or questions around Snowlake?" ma:internalName="Any_x0020_open_x0020_challenges_x0020_or_x0020_questions_x0020_around_x0020_Snowlake_x003f_">
      <xsd:simpleType>
        <xsd:restriction base="dms:Note">
          <xsd:maxLength value="255"/>
        </xsd:restriction>
      </xsd:simpleType>
    </xsd:element>
    <xsd:element name="What_x0020_other_x0020_teams_x0020_would_x0020_benefit_x0020_from_x0020_using_x0020_Snowflake_x0020_at_x0020_BSC_x003f_" ma:index="24" nillable="true" ma:displayName="What other teams would benefit from using Snowflake at BSC?" ma:internalName="What_x0020_other_x0020_teams_x0020_would_x0020_benefit_x0020_from_x0020_using_x0020_Snowflake_x0020_at_x0020_BSC_x003f_">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deab-cfda-45e9-9dd5-fc00842ae8d4"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4c4c8ef1-d530-491d-8a3e-6b4042d15601}" ma:internalName="TaxCatchAll" ma:showField="CatchAllData" ma:web="6f3ddeab-cfda-45e9-9dd5-fc00842ae8d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6f3ddeab-cfda-45e9-9dd5-fc00842ae8d4" xsi:nil="true"/>
    <lcf76f155ced4ddcb4097134ff3c332f xmlns="479ba6d9-c359-4e4d-b3a6-ade2680484b5">
      <Terms xmlns="http://schemas.microsoft.com/office/infopath/2007/PartnerControls"/>
    </lcf76f155ced4ddcb4097134ff3c332f>
    <What_x0020_is_x0020_your_x0020_role xmlns="479ba6d9-c359-4e4d-b3a6-ade2680484b5" xsi:nil="true"/>
    <Any_x0020_open_x0020_challenges_x0020_or_x0020_questions_x0020_around_x0020_Snowlake_x003f_ xmlns="479ba6d9-c359-4e4d-b3a6-ade2680484b5" xsi:nil="true"/>
    <List_x0020_up_x0020_to_x0020_3_x0020_key_x0020_tables_x0020_or_x0020_datasets_x0020_you_x0020_use_x0020_most xmlns="479ba6d9-c359-4e4d-b3a6-ade2680484b5" xsi:nil="true"/>
    <What_x0020_other_x0020_teams_x0020_would_x0020_benefit_x0020_from_x0020_using_x0020_Snowflake_x0020_at_x0020_BSC_x003f_ xmlns="479ba6d9-c359-4e4d-b3a6-ade2680484b5" xsi:nil="true"/>
  </documentManagement>
</p:properties>
</file>

<file path=customXml/itemProps1.xml><?xml version="1.0" encoding="utf-8"?>
<ds:datastoreItem xmlns:ds="http://schemas.openxmlformats.org/officeDocument/2006/customXml" ds:itemID="{52A2542E-BDB2-4115-8F94-6610C1DF21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9ba6d9-c359-4e4d-b3a6-ade2680484b5"/>
    <ds:schemaRef ds:uri="6f3ddeab-cfda-45e9-9dd5-fc00842ae8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088CC31-A3ED-496B-8C0A-A38EDCB8E511}">
  <ds:schemaRefs>
    <ds:schemaRef ds:uri="http://schemas.microsoft.com/sharepoint/v3/contenttype/forms"/>
  </ds:schemaRefs>
</ds:datastoreItem>
</file>

<file path=customXml/itemProps3.xml><?xml version="1.0" encoding="utf-8"?>
<ds:datastoreItem xmlns:ds="http://schemas.openxmlformats.org/officeDocument/2006/customXml" ds:itemID="{584D1DE0-1D91-4CC2-B247-12AECD070609}">
  <ds:schemaRefs>
    <ds:schemaRef ds:uri="http://purl.org/dc/term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6f3ddeab-cfda-45e9-9dd5-fc00842ae8d4"/>
    <ds:schemaRef ds:uri="479ba6d9-c359-4e4d-b3a6-ade2680484b5"/>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Mid Portifolio Test Qs</vt:lpstr>
      <vt:lpstr>Sheet2</vt:lpstr>
      <vt:lpstr>Evaluation Criteria_draft </vt:lpstr>
      <vt:lpstr>Large Group Portfolio_New</vt:lpstr>
      <vt:lpstr>LG_Language and Products</vt:lpstr>
      <vt:lpstr>Rx Formulary Add_Changes</vt:lpstr>
      <vt:lpstr>Sheet4</vt:lpstr>
      <vt:lpstr>Sheet1</vt:lpstr>
      <vt:lpstr>Human Grading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White, Heather</cp:lastModifiedBy>
  <cp:revision/>
  <dcterms:created xsi:type="dcterms:W3CDTF">2026-03-25T17:13:16Z</dcterms:created>
  <dcterms:modified xsi:type="dcterms:W3CDTF">2026-08-05T21:43:46Z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0x0101008992431232209F4F8BFDB601B433C69A</vt:lpwstr>
  </property>
  <property fmtid="{D5CDD505-2E9C-101B-9397-08002B2CF9AE}" pid="3" name="MediaServiceImageTags">
    <vt:lpwstr/>
  </property>
</Properties>
</file>