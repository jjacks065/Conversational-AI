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jacks20/jjacks/Conversational-AI/Minerva/Prompts/"/>
    </mc:Choice>
  </mc:AlternateContent>
  <xr:revisionPtr revIDLastSave="0" documentId="8_{CA003EAC-7027-CD4B-90B7-0D9803C16910}" xr6:coauthVersionLast="47" xr6:coauthVersionMax="47" xr10:uidLastSave="{00000000-0000-0000-0000-000000000000}"/>
  <bookViews>
    <workbookView xWindow="0" yWindow="660" windowWidth="30240" windowHeight="18980" activeTab="4" xr2:uid="{00000000-000D-0000-FFFF-FFFF00000000}"/>
  </bookViews>
  <sheets>
    <sheet name="Level Architecture" sheetId="2" r:id="rId1"/>
    <sheet name="LLM_Rules" sheetId="1" r:id="rId2"/>
    <sheet name="LLM_Rule_Details" sheetId="3" r:id="rId3"/>
    <sheet name="Large Group Product Details" sheetId="5" state="hidden" r:id="rId4"/>
    <sheet name="Version History" sheetId="4" r:id="rId5"/>
  </sheets>
  <definedNames>
    <definedName name="_xlnm._FilterDatabase" localSheetId="2" hidden="1">LLM_Rule_Details!$A$1:$I$52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alcChain>
</file>

<file path=xl/sharedStrings.xml><?xml version="1.0" encoding="utf-8"?>
<sst xmlns="http://schemas.openxmlformats.org/spreadsheetml/2006/main" count="396" uniqueCount="330">
  <si>
    <t>Level</t>
  </si>
  <si>
    <t>Description</t>
  </si>
  <si>
    <t>Purpose</t>
  </si>
  <si>
    <t>Execution Order</t>
  </si>
  <si>
    <t>Benefit Categorization</t>
  </si>
  <si>
    <t>Determine what type of benefit/service is being quoted</t>
  </si>
  <si>
    <t>1st</t>
  </si>
  <si>
    <t>Universal Rules</t>
  </si>
  <si>
    <t>Exclusions + HMO disclaimers</t>
  </si>
  <si>
    <t>2nd</t>
  </si>
  <si>
    <t>Network Logic</t>
  </si>
  <si>
    <t>Normalize in/out-of-network and apply wording</t>
  </si>
  <si>
    <t>3rd</t>
  </si>
  <si>
    <t>Cost Structure</t>
  </si>
  <si>
    <t>Deductible + cost share combined logic</t>
  </si>
  <si>
    <t>4th</t>
  </si>
  <si>
    <t>Limits &amp; Maximums</t>
  </si>
  <si>
    <t>Insert any limits, maximums, or OOPM</t>
  </si>
  <si>
    <t>5th</t>
  </si>
  <si>
    <t>Benefit-Specific Enhancements</t>
  </si>
  <si>
    <t>Apply special category rules (ER, maternity, colonoscopy, surgery)</t>
  </si>
  <si>
    <t>6th</t>
  </si>
  <si>
    <t>Rule Group</t>
  </si>
  <si>
    <t>Condition Trigger</t>
  </si>
  <si>
    <t>Data Source (JSON Field)</t>
  </si>
  <si>
    <t>Instruction Template</t>
  </si>
  <si>
    <t>Actual Script Output</t>
  </si>
  <si>
    <t>Notes</t>
  </si>
  <si>
    <t>Examples</t>
  </si>
  <si>
    <t>Exclusion</t>
  </si>
  <si>
    <t>benefit_excluded == true</t>
  </si>
  <si>
    <t>coverage_status</t>
  </si>
  <si>
    <t>This service is not a covered benefit.</t>
  </si>
  <si>
    <t>This service is not a covered benefit. You will be responsible for 100% of billed charges.</t>
  </si>
  <si>
    <t>Universal exclusion.</t>
  </si>
  <si>
    <t>not_covered, general_exclusion</t>
  </si>
  <si>
    <t>Plan Disclaimer</t>
  </si>
  <si>
    <t>plan_type == 'HMO'</t>
  </si>
  <si>
    <t>plan_type</t>
  </si>
  <si>
    <t>Add HMO PCP coordination disclaimer.</t>
  </si>
  <si>
    <t>Because this is an HMO plan, services may require coordination with your primary care physician.</t>
  </si>
  <si>
    <t>Always first after exclusions.</t>
  </si>
  <si>
    <t>HMO plans</t>
  </si>
  <si>
    <t>Network Determination</t>
  </si>
  <si>
    <t>network in ['in','participating']</t>
  </si>
  <si>
    <t>network</t>
  </si>
  <si>
    <t>Apply in-network template.</t>
  </si>
  <si>
    <t>For in-network providers, your cost is…</t>
  </si>
  <si>
    <t>LLM normalizes network terms.</t>
  </si>
  <si>
    <t>in network</t>
  </si>
  <si>
    <t>Out-of-Network</t>
  </si>
  <si>
    <t>network == 'out'</t>
  </si>
  <si>
    <t>Apply out-of-network template.</t>
  </si>
  <si>
    <t>For out-of-network providers, you may be balance billed.</t>
  </si>
  <si>
    <t>Includes OON warnings.</t>
  </si>
  <si>
    <t>non-participating</t>
  </si>
  <si>
    <t>Deductible &amp; Cost Share</t>
  </si>
  <si>
    <t>deductible applies</t>
  </si>
  <si>
    <t>deductible_amount, cost_share</t>
  </si>
  <si>
    <t>Summarize deductible + cost share.</t>
  </si>
  <si>
    <t>This service is subject to a deductible of {X}. After deductible, your cost is {Y}.</t>
  </si>
  <si>
    <t>Merged cost logic.</t>
  </si>
  <si>
    <t>0, $, %</t>
  </si>
  <si>
    <t>OOP Maximum</t>
  </si>
  <si>
    <t>opm == true</t>
  </si>
  <si>
    <t>oopm</t>
  </si>
  <si>
    <t>Include OOPM info.</t>
  </si>
  <si>
    <t>This service applies to your out-of-pocket maximum of {X}/{Y}.</t>
  </si>
  <si>
    <t>Only if OOPM applies.</t>
  </si>
  <si>
    <t>OPM yes</t>
  </si>
  <si>
    <t>Limits</t>
  </si>
  <si>
    <t>limit != none</t>
  </si>
  <si>
    <t>limit</t>
  </si>
  <si>
    <t>Insert limit text.</t>
  </si>
  <si>
    <t>This benefit has the following limit: {limit_text}</t>
  </si>
  <si>
    <t>Insert JSON text.</t>
  </si>
  <si>
    <t>visit limit</t>
  </si>
  <si>
    <t>Maximums</t>
  </si>
  <si>
    <t>maximum != none</t>
  </si>
  <si>
    <t>maximum</t>
  </si>
  <si>
    <t>Insert maximum text.</t>
  </si>
  <si>
    <t>This plan has a maximum payable of {value}.</t>
  </si>
  <si>
    <t>Supports per-admission max.</t>
  </si>
  <si>
    <t>500/day</t>
  </si>
  <si>
    <t>Emergency</t>
  </si>
  <si>
    <t>category == 'emergency'</t>
  </si>
  <si>
    <t>category</t>
  </si>
  <si>
    <t>Always use ER override.</t>
  </si>
  <si>
    <t>Emergency services are covered at the in-network rate.</t>
  </si>
  <si>
    <t>Overrides network logic.</t>
  </si>
  <si>
    <t>ER, ambulance</t>
  </si>
  <si>
    <t>Colonoscopy</t>
  </si>
  <si>
    <t>category == 'colonoscopy'</t>
  </si>
  <si>
    <t>Show both preventive + diagnostic.</t>
  </si>
  <si>
    <t>Here are both preventive and diagnostic colonoscopy benefits…</t>
  </si>
  <si>
    <t>Always show both.</t>
  </si>
  <si>
    <t>colonoscopy</t>
  </si>
  <si>
    <t>Surgery</t>
  </si>
  <si>
    <t>category == 'surgery'</t>
  </si>
  <si>
    <t>Include facility + professional components.</t>
  </si>
  <si>
    <t>For surgeries: ASC + outpatient hospital + professional.</t>
  </si>
  <si>
    <t>3-part rule.</t>
  </si>
  <si>
    <t>outpatient surgery</t>
  </si>
  <si>
    <t>Maternity</t>
  </si>
  <si>
    <t>category == 'maternity'</t>
  </si>
  <si>
    <t>Include maternity facility + professional.</t>
  </si>
  <si>
    <t>Maternity includes both facility and professional services…</t>
  </si>
  <si>
    <t>Combined.</t>
  </si>
  <si>
    <t>pregnancy</t>
  </si>
  <si>
    <t>Rule Number</t>
  </si>
  <si>
    <t>This is an exclusion of the health plan and member would be responsible for billed charges.</t>
  </si>
  <si>
    <t>The [Insert name of Benefit] is an exclusion of this health plan. The member would be responsible for 100% of the billed amount.</t>
  </si>
  <si>
    <t>Not a Benefit</t>
  </si>
  <si>
    <t>category== "Not Covered"</t>
  </si>
  <si>
    <t>This service is not a benefit and member would be responsible for billed charges.</t>
  </si>
  <si>
    <t>The [Insert name of Benefit] is not a benefit of this health plan. The member would be responsible for 100% of the billed amount.</t>
  </si>
  <si>
    <t>plan_type =='HMO'</t>
  </si>
  <si>
    <t>Add HMO PCP/ Medical Group coordination disclaimer.</t>
  </si>
  <si>
    <r>
      <rPr>
        <b/>
        <sz val="11"/>
        <color rgb="FF000000"/>
        <rFont val="Calibri"/>
        <family val="2"/>
        <scheme val="minor"/>
      </rPr>
      <t xml:space="preserve">HMO PCP/ Medical Group coordination disclaimer:
</t>
    </r>
    <r>
      <rPr>
        <sz val="11"/>
        <color rgb="FF000000"/>
        <rFont val="Calibri"/>
        <family val="2"/>
        <scheme val="minor"/>
      </rPr>
      <t>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t>
    </r>
  </si>
  <si>
    <t>Aways first, after Exlusions</t>
  </si>
  <si>
    <t>Network</t>
  </si>
  <si>
    <t xml:space="preserve">providerCostShareType =='participating', 'HMO Provider', 'Participating Provider'
</t>
  </si>
  <si>
    <t>When present, always include participating provider benefit information and make it clear the benefits apply to in-network providers.</t>
  </si>
  <si>
    <t>For in-network providers, [follow with benefit details]</t>
  </si>
  <si>
    <t xml:space="preserve">providerCostShareType =='non-participating' 
</t>
  </si>
  <si>
    <t>When present, always include non-participating provider benefit information and make it clear the benefits apply to out-of-network providers.
Also include an OON billing warning.</t>
  </si>
  <si>
    <t>For out-of-network providers, [follow with benefit details].
An out-of-network provider has the right to bill for the balance. What this means is that the member may be responsible for the difference between the allowed amount and billed amount.</t>
  </si>
  <si>
    <t>providerCostShareType =='AIAN Provider'</t>
  </si>
  <si>
    <t>When present, always include AIAN provider benefit information and make it clear the benefits apply to AIAN providers.</t>
  </si>
  <si>
    <t>For AIAN providers, [follow with benefit details]</t>
  </si>
  <si>
    <t>Example Product - MK002198</t>
  </si>
  <si>
    <t>providerCostShareType == 'Virtual Provider'</t>
  </si>
  <si>
    <t>When present, always include Virtual provider benefit information and make it clear the benefits apply to Virtual providers.</t>
  </si>
  <si>
    <t>Blue Shield has contracted with providers that specialize in virtual care to expand access to telehealth services under the Virtual Blue program. Virtual Blue program services offer members an alternative to in-person office visits at no out-of-pocket cost a $0 Copayment.
You can access primary care, mental health care, and Specialist care with Virtual Blue Providers by calling 844-560-6649 or going online at blueshieldca.com/virtualblue.
For Virtual providers, [follow with benefit details]</t>
  </si>
  <si>
    <t>Example Product - M0037628</t>
  </si>
  <si>
    <t>Medical Deductible is !0 (not zero)</t>
  </si>
  <si>
    <t>Provide both the individual and family deductible amounts.</t>
  </si>
  <si>
    <t xml:space="preserve">The plan has a [$individual deductible] deductible per person, not to exceed [$family deductible] per family. </t>
  </si>
  <si>
    <t xml:space="preserve">Medical Deductible is !0 </t>
  </si>
  <si>
    <t>Include language that the health plan does not have a deductible. Follow with the Cost Share Information.</t>
  </si>
  <si>
    <t>The plan does not have a deductible.</t>
  </si>
  <si>
    <t>If Deductible is !0 (not zero) and "subjectToDeductible" = true</t>
  </si>
  <si>
    <t>Include language that the service/benefit is subject to the plan's deductible. Follow with the Cost Share information.</t>
  </si>
  <si>
    <t>[Insert Service name, Benefit category and/ or subcategory] is subject to this deductible. Once the deductible is met,</t>
  </si>
  <si>
    <t>If Deductible is !0 (not zero) and "subjectToDeductible" = false</t>
  </si>
  <si>
    <t>Include lanuage that the service/ benefit is not subject to the plan's deductible.</t>
  </si>
  <si>
    <r>
      <rPr>
        <strike/>
        <sz val="11"/>
        <color rgb="FFFF0000"/>
        <rFont val="Calibri"/>
        <family val="2"/>
        <scheme val="minor"/>
      </rPr>
      <t>However,</t>
    </r>
    <r>
      <rPr>
        <strike/>
        <sz val="11"/>
        <color rgb="FF000000"/>
        <rFont val="Calibri"/>
        <family val="2"/>
        <scheme val="minor"/>
      </rPr>
      <t xml:space="preserve"> </t>
    </r>
    <r>
      <rPr>
        <sz val="11"/>
        <color rgb="FF000000"/>
        <rFont val="Calibri"/>
        <family val="2"/>
        <scheme val="minor"/>
      </rPr>
      <t>[insert Service name, Benefit category and/ or subcategory] is not subject to the deductible.</t>
    </r>
  </si>
  <si>
    <t>"structureType": "No Charge"</t>
  </si>
  <si>
    <t>Include lanugage that there is no cost share.</t>
  </si>
  <si>
    <t>The plan will reimburse the provider 100% of the allowed amount for [insert Service name, Benefit category and/ or subcategory].</t>
  </si>
  <si>
    <t>"structureType": "Copay"</t>
  </si>
  <si>
    <t>Include the $ copay amount.</t>
  </si>
  <si>
    <t>The copay for [insert Benefit Subcategory and/ or Benefit] services is [insert $x copay].</t>
  </si>
  <si>
    <t>"structureType": "Coinsurance"</t>
  </si>
  <si>
    <t xml:space="preserve">Include the % coninsuarce amount that member would be responsible for and difference to indicate what the health plan would cover. </t>
  </si>
  <si>
    <t>The coinsurance is [insert coinsurance x%] of the allowed amount, and the plan will reimburse the remaining [insert remaining coinsurance 100 - x%] of the allowed amount for [insert Service name, Benefit category and/ or subcategory] services.</t>
  </si>
  <si>
    <t>First Dollar Coverage</t>
  </si>
  <si>
    <t>"firstDollarCoverage": true</t>
  </si>
  <si>
    <t>Include first dollar text</t>
  </si>
  <si>
    <t>First [x] visits per calendar year are covered prior to meeting the calendar year medical deductible combined with physician office visits, specialist office visits, other practitioner, postnatal visits, urgent care visits, outpatient mental health visits and outpatient substance abuse visits.  Subsequent visits are subject to the calendar year medical deductible.</t>
  </si>
  <si>
    <t>Only if there is First Dollar Coverage.</t>
  </si>
  <si>
    <t>OOP Max</t>
  </si>
  <si>
    <t>"oopmApplies": "true"</t>
  </si>
  <si>
    <t xml:space="preserve">Include Out of Pocket Maximum (OOPM) for Individual and Family amounts. </t>
  </si>
  <si>
    <t>The service applies to the plan's out-of-pocket maximum amount of [insert $X individual out-of-pocket maximum], not to exceed [insert $X family out-of-pocket maximum] per family. When the plan's out-of-pocket maximum amount is satisfied, the health plan will reimburse 100% of the allowed amount.</t>
  </si>
  <si>
    <t>"limit" != none; "limitText" i!= none</t>
  </si>
  <si>
    <t xml:space="preserve">Include any limit text. </t>
  </si>
  <si>
    <t xml:space="preserve">This plan has a limit of [limitText]. </t>
  </si>
  <si>
    <t>Example Product - ML002196</t>
  </si>
  <si>
    <t>maximum != none and includes "per admission"</t>
  </si>
  <si>
    <t>Include maximum text and explain.</t>
  </si>
  <si>
    <t>This plan has a maximum copayment of $x per day up to x days per admission. This means after x days, the memeber would have no cost share for any additional days of their admission.</t>
  </si>
  <si>
    <t xml:space="preserve">Example - M0037414, Skilled nursing care </t>
  </si>
  <si>
    <t>maximum != none and includes "plus all charges"</t>
  </si>
  <si>
    <t>This plan has a maximum payable amount of up to $X per day. This means the member would also be responsible for all charges above $X per day.</t>
  </si>
  <si>
    <t>Example - M0037426, Hospital In Patient, Non-Participaing - "Up to $2000 per day plus all charges above $2000 per day."</t>
  </si>
  <si>
    <t>maximum != none and includes "per prescription"</t>
  </si>
  <si>
    <t>This plan has a maximum payable amount of up to $X per prescription. This means the member would also be responsible for all charges above $X per prescription.</t>
  </si>
  <si>
    <t>Example - M0037414, Prescription Drug Benefit, Tier 4 Retail</t>
  </si>
  <si>
    <t>category == 'Emergency', 'Ambulance'</t>
  </si>
  <si>
    <t>Include emergency disclaimer that regardless of network status, these services are covered at the in-network benefit level. 
And include providerCostShareType =='participating' benefits only.</t>
  </si>
  <si>
    <t>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t>
  </si>
  <si>
    <t>Discount Programs</t>
  </si>
  <si>
    <t>category == 'chiropractic', 'acupuncture', 'therapeutic massage'</t>
  </si>
  <si>
    <t>Include information on available discount programs.</t>
  </si>
  <si>
    <t>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t>
  </si>
  <si>
    <t>Not in JSON text.</t>
  </si>
  <si>
    <t>category == 'Fitness', 'exercise', or 'gym membership'</t>
  </si>
  <si>
    <t>Blue Shield of California offers gym membership discount programs and digital fitness programs.
Refer to https://www.blueshieldca.com/en/home/be-well/live-healthy to learn more.</t>
  </si>
  <si>
    <t>Hospital (Inpatient)</t>
  </si>
  <si>
    <t>category=='Hosptial Services'
and services are provided in a inpatient setting</t>
  </si>
  <si>
    <t>Include a professional services disclaimer, that member can also expect related physician fees.
And in addition to providing Inpatient Hospital Room Services, inlcude Physician or surgeon services in an inpatient facility benefit details.</t>
  </si>
  <si>
    <t>Professional services disclaimer:
In addition to the hospital bill, the member can expect related professional fees for services like surgery, anesthesia, and diagnostic testing (radiological, pathology, or laboratory).</t>
  </si>
  <si>
    <t>Hospital (Outpatient)</t>
  </si>
  <si>
    <t>category=='Hosptial Services'
and services are provided in outpatient setting</t>
  </si>
  <si>
    <t>Include a professional services disclaimer, that member can also expect related physician fees.
And in addition to provided Outpatient Hospital benefits, also include Physician or surgeon services in an outpatient facility benefit details.</t>
  </si>
  <si>
    <t>Urgent Care</t>
  </si>
  <si>
    <t>category =='Urgent care' and plan_type =='HMO'</t>
  </si>
  <si>
    <t>Include HMO Urgent Care disclaimer that member must use urgent care center associated with their member group when they are within their medical groups service area.</t>
  </si>
  <si>
    <t xml:space="preserve">HMO Urgent Care disclaimer: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t>
  </si>
  <si>
    <t>Dental</t>
  </si>
  <si>
    <t>category == 'Pediatric Dental Benefits'</t>
  </si>
  <si>
    <t>Include Dental Administrator name and phone number.</t>
  </si>
  <si>
    <t>This member’s Dental benefits are administered by [insert administrator name]. Let me give you their toll-free number. The phone number is: [insert vendor phone number]</t>
  </si>
  <si>
    <t>Vision</t>
  </si>
  <si>
    <t>category == 'Pediatric Vision Benefits'</t>
  </si>
  <si>
    <t>Include Vision Administrator name and phone number.</t>
  </si>
  <si>
    <t>This member’s Vision benefits are administered by [insert administrator name]. Let me give you their toll-free number. The phone number is: [insert vendor phone number]</t>
  </si>
  <si>
    <t>Prescription Drugs/ RX</t>
  </si>
  <si>
    <t xml:space="preserve">category == 'Prescription Drug Benefits'
</t>
  </si>
  <si>
    <t>Include Retail (30-day supply), Retail (90-day supply) and Mail Order (90-day supply) benefits. 
Also include Tier 1, Tier 2, Tier 3 and Tier 4 pharmacy benefit details.
Also include any pharmacy-specific deductible and out-of-pocket maximum information.
AND include differences by "providerCostShareType". If "Participating Provider" and "Non-Participating Provider" provide both and clearly label. If "HMO Provider Level A" and "HMO Provider Level B" provide both and clearly label. If "Participating Provider Level A" and "Participating Provider Level B" provide both and clearly label. If "HMO Provider" provide and clearly label.</t>
  </si>
  <si>
    <t>Retail (30-day supply)
 - Tier 1: [insert tier 1 RX Retail 30 day details]
 - Tier 2: [insert tier 2 RX Retail 30 day details]
 - Tier 3: [insert tier 3 RX Retail 30 day details]
 - Tier 4: [insert tier 4 RX Retail 30 day details and include any Maximum information]
Retail (90-day supply)
 - Tier 1:  [insert tier 1 RX  Retail 90 day details]
 - Tier 2:  [insert tier 2 RX  Retail 90 day details]
 - Tier 3:  [insert tier 3 RX  Retail 90 day details]
 - Tier 4:  [insert tier 4 RX  Retail 90 day details and include any Maximum information]
Mail Order (90-day supply)
 - Tier 1:  [insert tier 1 RX Mail Order details]
 - Tier 2:  [insert tier 2 RX Mail Order details]
 - Tier 3:   [insert tier 3 RX Mail Order details]
 - Tier 4:  [insert tier 4 RX Mail Order details and include any Maximum information]</t>
  </si>
  <si>
    <t>category == 'Prescription Drug Benefits'</t>
  </si>
  <si>
    <r>
      <rPr>
        <sz val="11"/>
        <color rgb="FF00B050"/>
        <rFont val="Calibri"/>
        <family val="2"/>
        <scheme val="minor"/>
      </rPr>
      <t xml:space="preserve">First, include the full tier pricing from the Prescription Drug Benefits category (all tiers for Retail 30-day, Retail 90-day, and Mail Order). </t>
    </r>
    <r>
      <rPr>
        <sz val="11"/>
        <color rgb="FF000000"/>
        <rFont val="Calibri"/>
        <family val="2"/>
        <scheme val="minor"/>
      </rPr>
      <t>Then include the over-the-counter (OTC) disclaimer. Also note the exceptions: (1) OTC drugs with a USPSTF rating of A or B when prescribed by a physician, and (2) OTC contraceptive drugs and devices. If the question is specifically about smoking cessation, add that USPSTF-approved pharmacotherapy for cessation prescribed for a non-pregnant adult is covered as an outpatient prescription drug. Also note the exceptions: (1) OTC drugs with a USPSTF rating of A or B when prescribed by a physician, and (2) OTC contraceptive drugs and devices. If the question is specifically about smoking cessation, add that USPSTF-approved pharmacotherapy for cessation prescribed for a non-pregnant adult is covered as an outpatient prescription drug.</t>
    </r>
  </si>
  <si>
    <t>Over-the-counter (OTC) disclaimer: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</si>
  <si>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t>Include after providing Prescription Drug/ RX Benefits and Tiers</t>
  </si>
  <si>
    <r>
      <rPr>
        <sz val="11"/>
        <color rgb="FF000000"/>
        <rFont val="Calibri"/>
        <family val="2"/>
        <scheme val="minor"/>
      </rPr>
      <t xml:space="preserve">User asks about a specific drug by name (e.g., "Is Atorvastatin covered?", "What tier is Ozempic?", "How much will Humira cost me?")
</t>
    </r>
    <r>
      <rPr>
        <sz val="11"/>
        <color rgb="FFFF0000"/>
        <rFont val="Calibri"/>
        <family val="2"/>
        <scheme val="minor"/>
      </rPr>
      <t xml:space="preserve">
</t>
    </r>
  </si>
  <si>
    <t>Include direction on where to find additional details on RX pricing and tier levels. When the member asks about a specific drug by name, do not attempt to determine coverage tier or cost. Instead, direct them to the "Price Check My Rx" tool on their member portal. The plan JSON has tier cost-share structures but NOT a drug formulary.
When the member asks about a specific drug by name, still include the full tier pricing from the Prescription Drug Benefits category (all tiers for Retail 30-day, Retail 90-day, and Mail Order). Do not attempt to determine which specific tier the drug falls under — the plan data has tier cost-share structures but NOT a drug formulary. 
After presenting all tier pricing, direct the member to the "Price Check My Rx" tool on their member portal for additional details on formulary status, tier placement, and cost for the specific drug.</t>
  </si>
  <si>
    <t>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t>
  </si>
  <si>
    <t>BlueCard</t>
  </si>
  <si>
    <t>category == 'Services out side of California', 'Care Outside of California'
and plan_type =='HMO' 
 "outOfStateNetwork": "BlueCard"
"BlueCard Program",
          "isIncluded": true</t>
  </si>
  <si>
    <t>Include BlueCard Program Information and that HMO coverage outside of ca is limited to urgent and emergency services.</t>
  </si>
  <si>
    <t>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t>
  </si>
  <si>
    <t>category == 'Services out side of California', 'Care Outside of California'
and plan_type =='PPO' or 'PSP'
 "outOfStateNetwork": "BlueCard"
"BlueCard Program",
          "isIncluded": true</t>
  </si>
  <si>
    <t>Include BlueCard Program Information.</t>
  </si>
  <si>
    <t>Blue Shield has a variety of relationships with other Blue Cross and/or Blue Shield Licensees. Generally, these relationships are called Inter-Plan Arrangements and they work based on rules and procedures issued by the Blue Cross Blue Shield Association. Whenever a member receives Covered Services outside of California, the claims for those services may be processed through one of these Inter-Plan Arrangements described below.
When a member accesses Covered Services outside of California, but within the United States, the Commonwealth of Puerto Rico, or the U.S. Virgin Islands (BlueCard® Service Area), a member can receive the care from one of two kinds of providers. Participating providers contract with the local Blue Cross and/or Blue Shield Licensee in that other geographic area (Host Blue). Non-participating providers don’t contract with the Host Blue.</t>
  </si>
  <si>
    <t>Screening and Diagnostic</t>
  </si>
  <si>
    <t xml:space="preserve">If service can be health exam screening or diagnostic, provide both screening and diagnostic benefits. </t>
  </si>
  <si>
    <r>
      <rPr>
        <sz val="11"/>
        <color rgb="FF000000"/>
        <rFont val="Calibri"/>
        <family val="2"/>
        <scheme val="minor"/>
      </rPr>
      <t xml:space="preserve">Include explanationof screening vs. diagnostic procedures.
Include the following benefits:
</t>
    </r>
    <r>
      <rPr>
        <b/>
        <sz val="11"/>
        <color rgb="FF000000"/>
        <rFont val="Calibri"/>
        <family val="2"/>
        <scheme val="minor"/>
      </rPr>
      <t xml:space="preserve">A. Annual Health Exam - Screening
</t>
    </r>
    <r>
      <rPr>
        <sz val="11"/>
        <color rgb="FF000000"/>
        <rFont val="Calibri"/>
        <family val="2"/>
        <scheme val="minor"/>
      </rPr>
      <t xml:space="preserve">
</t>
    </r>
    <r>
      <rPr>
        <b/>
        <sz val="11"/>
        <color rgb="FF000000"/>
        <rFont val="Calibri"/>
        <family val="2"/>
        <scheme val="minor"/>
      </rPr>
      <t xml:space="preserve">B. Diagnostic Procedure
</t>
    </r>
    <r>
      <rPr>
        <strike/>
        <sz val="11"/>
        <color rgb="FF000000"/>
        <rFont val="Calibri"/>
        <family val="2"/>
        <scheme val="minor"/>
      </rPr>
      <t xml:space="preserve">1. Physician or surgeon services outpatient facility  
2. Hospital Services - Outpatient Surgeries
3. Hosptial Services - Ambulatory Surgery Centers 
</t>
    </r>
  </si>
  <si>
    <t>[Insert Service name, Benefit category and/ or subcategory] can be done as a preventive screening to detect potential issues before symptoms arise. These are referred as a screening and are covered under the Annual Health Exam benefits. They can also be done when there are specific symptoms or risk factors that warrant further investigation. These are known as a diagnostic procedures.</t>
  </si>
  <si>
    <t>Examples: Colonscopy, Mammogram</t>
  </si>
  <si>
    <t>Surgeries (Outpatient)</t>
  </si>
  <si>
    <t>If type of service = surgery
If place of service = outpatient hospital or surgery center</t>
  </si>
  <si>
    <r>
      <rPr>
        <sz val="11"/>
        <color rgb="FF000000"/>
        <rFont val="Calibri"/>
        <family val="2"/>
        <scheme val="minor"/>
      </rPr>
      <t xml:space="preserve">Include The following benefits, THEN add Surgery Disclaimer at end of script and categorize as Additional Information:
</t>
    </r>
    <r>
      <rPr>
        <b/>
        <sz val="11"/>
        <color rgb="FF000000"/>
        <rFont val="Calibri"/>
        <family val="2"/>
        <scheme val="minor"/>
      </rPr>
      <t xml:space="preserve">A. Professional Services - Outpatient
</t>
    </r>
    <r>
      <rPr>
        <sz val="11"/>
        <color rgb="FF000000"/>
        <rFont val="Calibri"/>
        <family val="2"/>
        <scheme val="minor"/>
      </rPr>
      <t xml:space="preserve">1. Physician and other Professional Services - Physician or surgeon services in an outpatient facility 
</t>
    </r>
    <r>
      <rPr>
        <b/>
        <sz val="11"/>
        <color rgb="FF000000"/>
        <rFont val="Calibri"/>
        <family val="2"/>
        <scheme val="minor"/>
      </rPr>
      <t xml:space="preserve">B. Facility Services - Outpatient
</t>
    </r>
    <r>
      <rPr>
        <sz val="11"/>
        <color rgb="FF000000"/>
        <rFont val="Calibri"/>
        <family val="2"/>
        <scheme val="minor"/>
      </rPr>
      <t xml:space="preserve">1. Hospital Services Outpatient
2. Ambulatory Surgery Centers </t>
    </r>
  </si>
  <si>
    <t>Surgery Disclaimer: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t>
  </si>
  <si>
    <t xml:space="preserve">3-part rule.
</t>
  </si>
  <si>
    <t>Examples of outpatient surgeries:
-Colonoscopy, diagnostic
-Endoscopy, upper GI, diagnostic
-Cataract removal
-Vaginal or laparoscopic hysterectomy
-Tonsillectomy
-Hernia repair
-Gallbladder removal
-Carpal Tunnel release
-Skin lesion removal
-Joint arthroscopy (e.g., knee, shoulder)
-Endometriosis surgery</t>
  </si>
  <si>
    <t>Surgeries (Inpatient)</t>
  </si>
  <si>
    <t xml:space="preserve">If type of service = surgery
If place of service = inpatient hospital </t>
  </si>
  <si>
    <r>
      <rPr>
        <sz val="11"/>
        <color rgb="FF000000"/>
        <rFont val="Calibri"/>
        <family val="2"/>
        <scheme val="minor"/>
      </rPr>
      <t xml:space="preserve">Include The following benefits, THEN add Surgery Disclaimer at end of script:
</t>
    </r>
    <r>
      <rPr>
        <b/>
        <sz val="11"/>
        <color rgb="FF000000"/>
        <rFont val="Calibri"/>
        <family val="2"/>
        <scheme val="minor"/>
      </rPr>
      <t xml:space="preserve">A. Professional Services - Inpatient
</t>
    </r>
    <r>
      <rPr>
        <sz val="11"/>
        <color rgb="FF000000"/>
        <rFont val="Calibri"/>
        <family val="2"/>
        <scheme val="minor"/>
      </rPr>
      <t xml:space="preserve">1. Physician and other Professional Services - Physician or surgeon services in an inpatient facility 
</t>
    </r>
    <r>
      <rPr>
        <b/>
        <sz val="11"/>
        <color rgb="FF000000"/>
        <rFont val="Calibri"/>
        <family val="2"/>
        <scheme val="minor"/>
      </rPr>
      <t xml:space="preserve">B. Facility Services - Outpatient
</t>
    </r>
    <r>
      <rPr>
        <sz val="11"/>
        <color rgb="FF000000"/>
        <rFont val="Calibri"/>
        <family val="2"/>
        <scheme val="minor"/>
      </rPr>
      <t xml:space="preserve">1. Hospital Services Inpatient
</t>
    </r>
  </si>
  <si>
    <t>Surgery Disclaimer: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t>
  </si>
  <si>
    <t>Examples of Inpatient surgeries: 
-Joint replacement (e.g., knee, hip)
-Appendectomy
-Colectomy
-Abdominal hysterectomy
-Cardiac catheter procedures
-Breast mastectomy and reconstruction</t>
  </si>
  <si>
    <t>Pregancy</t>
  </si>
  <si>
    <t>Category = 'Pregnancy and Maternity Care'</t>
  </si>
  <si>
    <t xml:space="preserve">Include pregnancy disclaimer of what's included in benefits and break out of  the following benefits:
A. Pre &amp; Postnatal Visits:
B. Diagnostic imaging - Ultrasounds:
1. Outpatient Radiology Center  
2. Office Location 
C. Delivery:
1. Hospital
2. Phyisican -
3. Mid-wife non-RN
4. Mid-wife RN 
5. Anesthesia 
D. Preventive Health - Prenatal Screen Program
E. Newborn Services -   Nursery charges </t>
  </si>
  <si>
    <r>
      <rPr>
        <sz val="11"/>
        <color rgb="FF000000"/>
        <rFont val="Calibri"/>
        <family val="2"/>
        <scheme val="minor"/>
      </rPr>
      <t xml:space="preserve">Pregnancy and maternity care benefits include:
Prenatal care;
Postnatal care;
Involuntary complications of pregnancy;
Inpatient Hospital services including labor, delivery, and postpartum care
There can be additional fees for ultrasounds, services provided by a mid-wife and for the California Prenatal Screening Program (which is offered to check for genetic conditions and birth defects). Also, once the baby is born there could be newborn nursery charges.
</t>
    </r>
    <r>
      <rPr>
        <b/>
        <sz val="11"/>
        <color rgb="FF000000"/>
        <rFont val="Calibri"/>
        <family val="2"/>
        <scheme val="minor"/>
      </rPr>
      <t xml:space="preserve">A. Pre &amp; Postnatal Visits:
</t>
    </r>
    <r>
      <rPr>
        <sz val="11"/>
        <color rgb="FF000000"/>
        <rFont val="Calibri"/>
        <family val="2"/>
        <scheme val="minor"/>
      </rPr>
      <t xml:space="preserve">
</t>
    </r>
    <r>
      <rPr>
        <b/>
        <sz val="11"/>
        <color rgb="FF000000"/>
        <rFont val="Calibri"/>
        <family val="2"/>
        <scheme val="minor"/>
      </rPr>
      <t xml:space="preserve">B. Diagnostic imaging - Ultrasounds:
</t>
    </r>
    <r>
      <rPr>
        <sz val="11"/>
        <color rgb="FF000000"/>
        <rFont val="Calibri"/>
        <family val="2"/>
        <scheme val="minor"/>
      </rPr>
      <t xml:space="preserve">1. Outpatient Radiology Center  
2. Office Location 
</t>
    </r>
    <r>
      <rPr>
        <b/>
        <sz val="11"/>
        <color rgb="FF000000"/>
        <rFont val="Calibri"/>
        <family val="2"/>
        <scheme val="minor"/>
      </rPr>
      <t xml:space="preserve">C. Delivery:
</t>
    </r>
    <r>
      <rPr>
        <sz val="11"/>
        <color rgb="FF000000"/>
        <rFont val="Calibri"/>
        <family val="2"/>
        <scheme val="minor"/>
      </rPr>
      <t xml:space="preserve">1. Hospital
2. Phyisican -
3. Mid-wife non-RN
4. Mid-wife RN 
5. Anesthesia 
</t>
    </r>
    <r>
      <rPr>
        <b/>
        <sz val="11"/>
        <color rgb="FF000000"/>
        <rFont val="Calibri"/>
        <family val="2"/>
        <scheme val="minor"/>
      </rPr>
      <t xml:space="preserve">D. Preventive Health - Prenatal Screen Program
</t>
    </r>
    <r>
      <rPr>
        <sz val="11"/>
        <color rgb="FF000000"/>
        <rFont val="Calibri"/>
        <family val="2"/>
        <scheme val="minor"/>
      </rPr>
      <t xml:space="preserve">
</t>
    </r>
    <r>
      <rPr>
        <b/>
        <sz val="11"/>
        <color rgb="FF000000"/>
        <rFont val="Calibri"/>
        <family val="2"/>
        <scheme val="minor"/>
      </rPr>
      <t xml:space="preserve">E. Newborn Services -   Nursery charges </t>
    </r>
  </si>
  <si>
    <t>Primary Care Physician and Specialists</t>
  </si>
  <si>
    <t>Category = 'Physician and other Professional Services'
Question is asking about any of the following provider types*:
-General practitioners (GPs)
-Family practitioners
-Internists
-OB/GYNs
-Pediatricians
*These types of providers can be primary care physicians (PCPs), but they can also be specialists.</t>
  </si>
  <si>
    <t xml:space="preserve">Include Benefits for both generalist  and specialist  visits. </t>
  </si>
  <si>
    <t>Vendor / Administrator</t>
  </si>
  <si>
    <t>Benefit has a vendor field that is not empty/null in providerCostShares[]</t>
  </si>
  <si>
    <t>row_value.eocCategories[].benefitSubCategories[].benefits[].providerCostShares[].vendor, .vendorPhoneNumber, .vendorEmail, .vendorWebSite</t>
  </si>
  <si>
    <t>When the benefit's vendor field is populated, first provide the full benefit response including cost shares, deductible applicability, and OOPM as you would for any benefit (per Levels 1-5). Then state that the member's benefits for this service are administered by the vendor and provide their contact information (vendorPhoneNumber, vendorWebSite if available).
Note: For plans with effective dates in 2025, Magellan may appear as the vendor for mental health and substance abuse services. For plans with 2026 effective dates and later, these services are administered directly by Blue Shield of California — do not reference Magellan for 2026+ plans.</t>
  </si>
  <si>
    <t>This member's [benefit type] benefits are administered by [vendor]. For questions about [benefit type], [vendor] participating providers, or [benefit type] benefits, contact [vendor] at [vendorPhoneNumber]. [If vendorWebSite is populated: You can also visit [vendorWebSite] for more information.]</t>
  </si>
  <si>
    <t xml:space="preserve">This single rule replaces 10 vendor-specific rules from V1.0 (Chiropractic ASH, Acupuncture ASH, Dental vendor, Mental Health/Magellan, Vision vendor, Pediatric Vision ×3, Pediatric Dental ×3). It is data-driven — the agent reads vendor name and phone from the plan JSON rather than relying on hardcoded per-vendor scripts.
HW: 
Rule needs to provide benefit response in addiiton to the administrator/ vendor name and phone number (Business rule - Representatives answer these questions for our members)
Magellan should only be in 2025 data - as of 2026 these services are direct BSC Administration.
</t>
  </si>
  <si>
    <t>ASH — Acupuncture/Chiropractic: phones (800) 678-9133, (800) 678-9134. Magellan — Mental Health/Substance Use Disorder: phone (877) 263-9952. CVS — Prescription Drugs: phone (866) 346-7200. Abarca — Prescription Drugs: no phone in data. Teladoc — Behavioral Health: no phone in data. Found in 573 of 607 plans (94%).</t>
  </si>
  <si>
    <t>Prescription Drugs / RX</t>
  </si>
  <si>
    <t>Question asks about a specific drug by name (e.g., "Is Atorvastatin covered?", "What tier is Ozempic?")</t>
  </si>
  <si>
    <t>N/A — this is a guardrail rule; no specific JSON field triggers it</t>
  </si>
  <si>
    <t>When the member asks about a specific drug by name, do not attempt to determine coverage tier or cost. Instead, direct them to the "Price Check My Rx" tool on their member portal.</t>
  </si>
  <si>
    <t>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t>
  </si>
  <si>
    <t>Identical to V1.0 Row 67. This is a guardrail — prevents hallucination of drug tier assignments. The plan JSON has tier cost share structures but NOT a drug formulary mapping specific drugs to tiers.
Why Needed: 	Without this rule, the agent may guess which tier a specific drug falls under and provide incorrect cost share amounts. Drug formularies are not included in the plan JSON data — only the tier structure and per-tier cost shares are present.
HW - See line 32, this is duplicative.</t>
  </si>
  <si>
    <t>Q: "Is Atorvastatin covered?" Q: "What tier is my Ozempic prescription?" Q: "How much will Humira cost me?" — All should trigger this deflection rather than guessing a tier.</t>
  </si>
  <si>
    <t>HMO plan AND (medicalNetwork contains "Trio" OR "Access+") AND question involves a service that may require a referral</t>
  </si>
  <si>
    <t>row_value.planStructureType = "HMO", row_value.medicalNetwork (values: "Trio ACO", "IFP Trio HMO" = Trio plans — 125 plans; "Access+", "Local Access+" = Access+ plans — 116 plans)</t>
  </si>
  <si>
    <t>Check the plan's medicalNetwork value. If it contains "Trio", include ONLY the Trio section of the scriptOutput. If it contains "Access+", include ONLY the Access+ section of the scriptOutput. Do NOT include both — only the section that matches the member's plan network.
For Trio plans: State that the patient does not need a referral for Emergency Services, Urgent Services, Trio+ Specialist visits, OB/GYN services within medical group, and PCP office visits. For Access+ plans: State that the patient does not need a referral for Emergency Services, Urgent Services, Access+ Specialist visits, OB/GYN services within medical group, and PCP office visits. For Access+ plans, also note that Access+ specialist visits include: examination, conventional X-rays, laboratory services, and diagnostic/treatment procedures.</t>
  </si>
  <si>
    <t>Trio: The patient does not need a referral for: Emergency Services; Urgent Services; Trio+ Specialist visits; OB/GYN services by an obstetrician, gynecologist, or family practice Physician within the patient's Medical Group; and Office visits with the patient's primary care physician (PCP). 
Access+: The patient does not need a referral for: Emergency Services; Urgent Services; Access+ Specialist visits; OB/GYN services by an obstetrician, gynecologist, or family practice Physician within the patient's Medical Group; and Office visits with the patient's primary care physician (PCP). The Access+ specialist visit includes: (1) An examination or consultation without referral from personal physician; (2) Conventional X-rays; (3) Laboratory Services; (4) Diagnostic or treatment procedures which a plan specialist would regularly provide under a referral.</t>
  </si>
  <si>
    <r>
      <rPr>
        <sz val="11"/>
        <color rgb="FF000000"/>
        <rFont val="Calibri"/>
        <family val="2"/>
        <scheme val="minor"/>
      </rPr>
      <t>V1.0 had 3 rules for this: Row 75 (Trio), Row 76 (Access+), Row 77 (Access+ self-referral details). Applies to 241 HMO plans total, of which 125 are Trio and 116 are Access+. These are the two most common HMO network types. 
Why Needed: 	The generic V1.1 Level 2 HMO rule says "A referral from the PCP is usually required." Without this rule, the agent gives that generic answer even for Trio/Access+ plans where many services are referral-free. This produces an incorrect answer — telling a Trio member they need a referral when they don't. Affects 50% of all HMO plans.
HW: Do you need update script to Access+: Same list with "Access+ Specialist visits" instead</t>
    </r>
    <r>
      <rPr>
        <b/>
        <sz val="11"/>
        <color rgb="FF000000"/>
        <rFont val="Calibri"/>
        <family val="2"/>
        <scheme val="minor"/>
      </rPr>
      <t xml:space="preserve"> of Trio+ Specialists visits?</t>
    </r>
  </si>
  <si>
    <t>Q: "Do I need a referral to see a specialist?" Q: "Can I go directly to an OB/GYN?" Q: "Do I need my PCP to refer me for urgent care?"</t>
  </si>
  <si>
    <t>Prior Authorization</t>
  </si>
  <si>
    <t>Question asks whether prior authorization is required for a service</t>
  </si>
  <si>
    <t>N/A — prior auth requirements are NOT in the plan JSON data</t>
  </si>
  <si>
    <t>When the member asks about prior authorization for any service, do not guess. State that the plan documents do not contain prior authorization information and direct the representative to the Medical Policy Department.</t>
  </si>
  <si>
    <t>The plan documents provided do not indicate whether prior authorization is required. You will need to research the most current Prior Auth Lists on the Medical Policy Department SharePoint to verify if the service requires prior authorization.</t>
  </si>
  <si>
    <t xml:space="preserve">Identical to V1.0 Row 89. This is a guardrail — prevents the agent from guessing about prior auth requirements. The plan JSON data does not contain prior authorization lists; those are maintained separately on the Medical Policy Department SharePoint.
Why Needed: Without this rule, the agent may either (a) guess that prior auth is required and scare the member, (b) say it's not required when it actually is, or (c) say "I don't know" without directing to the correct resource. All three are worse than the scripted deflection.
HW 02092026 - See column F for update. Need to review with Stellarus before updating Version History. </t>
  </si>
  <si>
    <t>Q: "Does knee replacement surgery need prior authorization?" Q: "Is pre-approval required for an MRI?" Q: "Do I need prior auth for physical therapy?"</t>
  </si>
  <si>
    <t>Question involves a drug or supply that may be available over-the-counter</t>
  </si>
  <si>
    <t>When a question involves a drug or supply that could be OTC, state the plan's OTC exclusion but always note the exceptions: (1) OTC drugs with a USPSTF rating of A or B when prescribed by a physician, (2) OTC contraceptive drugs and devices. If the question is specifically about smoking cessation, add that USPSTF-approved pharmacotherapy for cessation prescribed for a non-pregnant adult is covered as an outpatient prescription drug.</t>
  </si>
  <si>
    <t>Drugs that are available without a prescription (over-the-counter), including drugs for which there is an over-the-counter drug that has the same active ingredient and dosage as the prescription drug, are an exclusion of this health plan. This exclusion does not apply to OTC drugs with a United States Preventive Services Task Force (USPSTF) rating of A or B when prescribed by a physician or to OTC contraceptive drugs and devices. Plus smoking-specific addition when applicable.</t>
  </si>
  <si>
    <t>Broader — covers TC15 (contraceptives), TC16 (COVID vaccines/preventive), TC81 (compounded meds), plus any pharmacy TC where OTC status is relevant
HW: See line 31, this is duplicative.</t>
  </si>
  <si>
    <t>Procedure Classification</t>
  </si>
  <si>
    <t>Question about a medical procedure where the cost share depends on the place of service, procedure type, or clinical purpose (screening vs diagnostic)</t>
  </si>
  <si>
    <t>When a question asks about a medical procedure, determine the correct Benefit IDs to look up based on: (A) Place of service — If the procedure is typically inpatient (joint replacement, appendectomy, colectomy, abdominal hysterectomy, C-section, cardiac catheter, mastectomy/reconstruction), look up inpatient professional (Benefit ID 121) and facility (Benefit ID 75). If typically outpatient (colonoscopy, endoscopy, cataract removal, laparoscopic hysterectomy, tonsillectomy, hernia repair, gallbladder removal, carpal tunnel, skin lesion removal, arthroscopy, endometriosis), look up outpatient professional (Benefit ID 520) and facility (Benefit IDs 78, 74). If unknown, include both. (B) Clinical purpose — If the procedure can serve different clinical purposes (e.g., colonoscopy: screening vs diagnostic), present cost shares for each purpose. Screening/preventive procedures map to the Annual Health Exam benefit (Benefit ID 156). Diagnostic/symptomatic procedures map to the relevant surgical/outpatient benefit. (C) Component services — For any procedure, include cost shares for all component services: professional fees, facility fees, anesthesia, and diagnostic testing (radiology, pathology, lab).</t>
  </si>
  <si>
    <r>
      <rPr>
        <strike/>
        <sz val="11"/>
        <color rgb="FF000000"/>
        <rFont val="Calibri"/>
        <family val="2"/>
        <scheme val="minor"/>
      </rPr>
      <t xml:space="preserve">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r>
    <r>
      <rPr>
        <sz val="11"/>
        <color rgb="FF000000"/>
        <rFont val="Calibri"/>
        <family val="2"/>
        <scheme val="minor"/>
      </rPr>
      <t>Then list the relevant Benefit IDs with cost shares based on classification. For screening vs diagnostic procedures: [Procedure] can be done as a preventive screening... covered under the Annual Health Exam benefits. [It] can also be done when there are specific symptoms... covered under the [relevant] benefits.</t>
    </r>
  </si>
  <si>
    <t>V1.0 Rows 85-86 (surgery inpatient/outpatient lists), Row 84 (colonoscopy screening vs diagnostic), Row 55 (surgical package language) — merged into one rule
17 unique TCs: TC6, TC7, TC14, TC18, TC37, TC47, TC49, TC52, TC53, TC113, TC115, TC118, TC125, TC126, TC129, TC138, plus any procedure question where place of service matters</t>
  </si>
  <si>
    <t>"plan design":"Two Tier Emb Ded" or "planCostShares" includes "coveredPartyType": "Family Embedded Individual"
 and
Medical Deductible is !0 (not zero)</t>
  </si>
  <si>
    <t>Include Individual, Family Embedded Individual and Family deductible information</t>
  </si>
  <si>
    <t xml:space="preserve">
The plan has a [$X - Individal deductible] deductible for individual coverage, not to exceed [$X - Family Embedded Individual deductible] per individual or [$X - Family deductible] per family for family coverage.</t>
  </si>
  <si>
    <t>Example Product for "coveredPartyType": "Family Embedded Individual" - M0041772</t>
  </si>
  <si>
    <t>"Product Type":"POS" 
"Medical Network:"POS Added Advantage"</t>
  </si>
  <si>
    <t>When present, always include Level 1 HMO Provider, Level 2 PPO Provider, Level 3 Non-Participating Provider benefits</t>
  </si>
  <si>
    <t>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[follow with benefit details]
For Level 2 PPO in-network providers, you may access services without a referral. [follow with benefit details]
For Level 3 out-of-network or non-participaing providers, the provider has the right to bill for the balance. What this means is that the member may be responsible for the difference between the allowed amount and billed amount. [follow with benefit details]</t>
  </si>
  <si>
    <t>First Dollar Coverage
Active Choice Plan</t>
  </si>
  <si>
    <t>A)"costShareText"== "See First Dollar Services Amount"
B)"costShareText" includes "First Dollar Service, then X% coinsurance"
C) "costShareText" includes "First Dollar Service, then no charge"</t>
  </si>
  <si>
    <t xml:space="preserve">When present, provide first dollar credit information.
Apply scripting logic based on "costShareText"
</t>
  </si>
  <si>
    <t xml:space="preserve">This is an Active Choice Plan that allows you to use your First Dollar Services credit towards these services before any Deductible applies. Your credit is [insert $X first dollar services individual amount] for individual coverage, and [insert $X first dollar services family amount] if you have family coverage. 
The plan has a [ $X insert individual deductible] per individual, not to exceed [$x insert family dedutible] per family. 
The out-of-pocket maximum amount is [$x insert indvidual oopm] per individual, not to exceed [$x insert family oopm amount] per family.
A) After the your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B) After you have met your First Dollar Service credit, you pay [insert coinsurance %] of the Allowable Amount for any additional First Dollar Services until your Calendar Year out-of-pocket maximum has been reached. Once your Calendar Year Out-of-Pocket Maximum amount has been reached, Blue Shield pays 100% of the Allowable Amount for subsequent services.
C) After you have met your First Dollar Service credit, the plan will reimburse at 100% of the allowed amount.
</t>
  </si>
  <si>
    <t>M0041613</t>
  </si>
  <si>
    <t xml:space="preserve">Category = 'Physician and other Professional Services'
Specialists include Physicians with a specialty as follows:
• Allergy;
• Anesthesiology;
• Dermatology;
• Cardiology and other internal medicine specialists;
• Neonatology;
• Neurology;
• Oncology;
• Ophthalmology;
• Orthopedics;
• Pathology;
• Psychiatry;
• Radiology;
• Any surgical specialty;
• Otolaryngology;
• Urology
</t>
  </si>
  <si>
    <t xml:space="preserve">Include Benefits specialist  visits. </t>
  </si>
  <si>
    <t>Healthy lifestyle programs</t>
  </si>
  <si>
    <t>"Smoking", "Smoking cessation aids"</t>
  </si>
  <si>
    <t>Provide information on healthy lifestyle programs</t>
  </si>
  <si>
    <t>Your Blue Shield coverage gives you access to a variety of health education and wellness services, including healthy lifestyle programs to help you get more active, quit smoking, lower stress, and much more. Visit blueshieldca.com to explore these resources.</t>
  </si>
  <si>
    <t>"planStructureType": "EPO Savings"</t>
  </si>
  <si>
    <t>Include EPO disclaimer
Make it clear that out of network providers are not covered under this plan, with the exception of urgent or emgency related services</t>
  </si>
  <si>
    <r>
      <rPr>
        <b/>
        <sz val="11"/>
        <color rgb="FF000000"/>
        <rFont val="Calibri"/>
        <family val="2"/>
        <scheme val="minor"/>
      </rPr>
      <t xml:space="preserve">Exclusive Provider Organization (EPO) Disclaimer:
</t>
    </r>
    <r>
      <rPr>
        <sz val="11"/>
        <color rgb="FF000000"/>
        <rFont val="Calibri"/>
        <family val="2"/>
        <scheme val="minor"/>
      </rPr>
      <t>This is an Exclusive Provider Organization (EPO) plan. You must receive all Covered Benefits from a Participating Provider,  the exception is with Emergency or Urgent Services.</t>
    </r>
  </si>
  <si>
    <t>"structureType": "Copay and Coinsurance"</t>
  </si>
  <si>
    <t xml:space="preserve">The member's cost share for [insert Benefit Subcategory and/ or Benefit]  is [insert "costShareText"]. </t>
  </si>
  <si>
    <t>$400 per surgery + 20% Coinsurance</t>
  </si>
  <si>
    <t>M0041615 - Benefit Category:
Hospital Services
Benefit Subcategory:
Outpatient
Benefit:
Surgeries</t>
  </si>
  <si>
    <t>large group Mbrs by Prod ID_Portfolio Highlighted Blue.xlsx</t>
  </si>
  <si>
    <t>Version #</t>
  </si>
  <si>
    <t>Updated Date</t>
  </si>
  <si>
    <t>Updated By</t>
  </si>
  <si>
    <t>Changes (Clearly Specify Which Rules are Updated / Deleted / Inserted)</t>
  </si>
  <si>
    <t>Heather White</t>
  </si>
  <si>
    <t>Drafted the Initial Version</t>
  </si>
  <si>
    <t>Bharath Narasingu</t>
  </si>
  <si>
    <t>Added New Rules 4- through 45</t>
  </si>
  <si>
    <t>1. Updated Row 32 - Condition Trigger, Instruction and Script
2. Updated Row 40 - Instruction and Script based on HW feedback
3. Updated Row 31 - Instruction and Script
4. Marked Rows 41 and 44 for deletion
5. Row 42 - Updated Instruction</t>
  </si>
  <si>
    <t>1. Updated Row 32 - Instructional Text to include Tier pricing Structure in the response
2. Updated Row 42 - Script text to explicitly callout Access+
3. Updated Row 31 - Instructional Text to include Tier pricing Structure in the response</t>
  </si>
  <si>
    <t>Changed tab name from LLM_Draft_HW to LLM_Rule_Details</t>
  </si>
  <si>
    <t>1. Updated Row 9 - Moved "follow with the Cost Share information" from Script rule to Instruction
2. Updated Row 10 - Moved "follow with the Cost Share information" from Script rule to Instruction</t>
  </si>
  <si>
    <t>Above Updates were included in First release to Production</t>
  </si>
  <si>
    <r>
      <rPr>
        <sz val="11"/>
        <color rgb="FF000000"/>
        <rFont val="Calibri"/>
        <family val="2"/>
        <scheme val="minor"/>
      </rPr>
      <t xml:space="preserve">1. Added New Rule for Family Embedded Individual Deductible Plan - Row 46 (Needed when plan Family Embedded Deductible plan designs are added to scope)
</t>
    </r>
    <r>
      <rPr>
        <strike/>
        <sz val="11"/>
        <color rgb="FF000000"/>
        <rFont val="Calibri"/>
        <family val="2"/>
        <scheme val="minor"/>
      </rPr>
      <t xml:space="preserve">2. Updated Row 32 for MVP Formularies will be added - Rule changes to have Minera first check formulary document to determine RX Tier (Needed with Formulary Information is added)
</t>
    </r>
    <r>
      <rPr>
        <sz val="11"/>
        <color rgb="FF000000"/>
        <rFont val="Calibri"/>
        <family val="2"/>
        <scheme val="minor"/>
      </rPr>
      <t>3. Added POS Rule Row 47 (Needed when POS products are added)</t>
    </r>
  </si>
  <si>
    <t>1. Updated Row 12 - Removed "However" (Improvement noted during Audit of Phase 2 Ground Truth)
2. Updated Row 8 Virtual Blue - Inserted TFN and website (Improvement noted during Audit of Phase 2 Ground Truth)
3. Added to Row 30 regarding RX Tier 4 - inserted "and include any Maximum information" (Audit of Phase 2 Ground Truth is finding Maximum Tier 4 data is not being included)
4. Added New Rule 48-: When "costShareText": "See First Dollar Services Amount" (example product M0043038) or includes "First Dollar Service" (example product M0043634)- Need to provide Active Choice first dollar credit data</t>
  </si>
  <si>
    <t>1. Updated Rule 8 - Virtual Blue - added Blue Shield has contracted with providers that specialize in virtual care to expand access to telehealth services under the Virtual Blue program. Virtual Blue program services offer members an alternative to in-person office visits at no out-of-pocket cost a $0 Copayment. You can access primary care, mental health care, and Specialist care with Virtual Blue Providers by calling 844-560-6649 or going online at blueshieldca.com/virtualblue.
2. Added Rule 49 - Defined specialists (note: see line 29 for rule on primary care physicians)
3. Added Rule 50 - Improvement to guide smoking cessation aids, quit smoking questions to BSC Healthy Lifestyle Programs</t>
  </si>
  <si>
    <t>1. Updated Rule 36 and Rule 37-Order of information change - Surgery Disclaimer, updated instruction to include at end of script and categorize as Additional Information:
2. Added Rule # column, to ensure clarity of rules/ vs. excel rows.
3. Deleted from Rule 45 - Surgery disclaim language, as does not apply in all situations and is already covered by Rule 36/37
4. Added to Rule 46 - or"planCostShares" includes "coveredPartyType": "Family Embedded Individual" 
5. Added to Rule 5 - 'Participating Provider'</t>
  </si>
  <si>
    <t xml:space="preserve">1. Updated Rule 32- Reverted back to previous version - given Formularies will not be added in next release
2. Updated Rule 35- Services that could be preventative or diagnostic - removed 1,2,3 from instruction given diagnostic services aren't always surgery procedures
3. Updated Rule 25- added to instructions and services are provided in a inpatient setting
4. Updated Rule 26- and services are provided in a outpatient setting
5. Added Rule 51 - This is an Exclusive Provider Organization (EPO) plan. You must receive all Covered Benefits from a Participating Provider,  the exception is with Emergency or Urgent Services.
6. Updated Rule 15 - added "services" to script
7. Updated Rule  30 - added to instruction need to include varying networks and to section by network or  "providerCostShareType". Plans will have "Participating Provider", "Participating Provider"and "Non-Participating Provider", "HMO Provider Level A"and "HMO Provider Level B", "Participating Provider Level A" and "Participating Provider Level B" or "HMO Provider"
8. Removed Rule 16
9. Added Rule 52 - "structureType": "Copay and Coinsurance"
10. Updated 9/10 - Captailized "The" for readability improvement.
</t>
  </si>
  <si>
    <t xml:space="preserve">Rule Update for When Drug Formularies are Added:
If "Drug Formulary":"Standard Formulary" - Use Standard Formulary as data source.
If "Drug Formulary":"Plus Drug Formulary" - Use Plus Drug Formulary as data source.
If "Drug Formulary":"Value Drug Formulary" - Use Value Drug Formulary as data source.
If "Drug Formulary":"Performance Drug Formulary" - Use Performance Drug Formulary as data source.
First check the plan's associated drug formalary to determine the Tier level of the drug. And return information for that tier for Retail 30-day, Retail 90-day, and Mail Order.
If drug has variations (e.g. mg) that impact tier level, provide those details to user. (For example in the Performance Formulary, oxycodone hcl soln 5mg/5ml mg/ml is Tier 2 and oxycodone hcl tab 15 mg is Tier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</si>
</sst>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6">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0"/>
      <color rgb="FF000000"/>
      <name val="Arial Unicode MS"/>
      <family val="2"/>
    </font>
    <font>
      <sz val="11"/>
      <color rgb="FF000000"/>
      <name val="Calibri"/>
      <family val="2"/>
      <scheme val="minor"/>
    </font>
    <font>
      <b/>
      <sz val="11"/>
      <color rgb="FF000000"/>
      <name val="Calibri"/>
      <family val="2"/>
      <scheme val="minor"/>
    </font>
    <font>
      <strike/>
      <sz val="11"/>
      <color rgb="FFFF0000"/>
      <name val="Calibri"/>
      <family val="2"/>
      <scheme val="minor"/>
    </font>
    <font>
      <sz val="11"/>
      <color rgb="FF00B050"/>
      <name val="Calibri"/>
      <family val="2"/>
      <scheme val="minor"/>
    </font>
    <font>
      <u/>
      <sz val="11"/>
      <color theme="10"/>
      <name val="Calibri"/>
      <family val="2"/>
      <scheme val="minor"/>
    </font>
    <font>
      <sz val="11"/>
      <color rgb="FFFF0000"/>
      <name val="Calibri"/>
      <family val="2"/>
      <scheme val="minor"/>
    </font>
    <font>
      <strike/>
      <sz val="11"/>
      <color rgb="FF000000"/>
      <name val="Calibri"/>
      <family val="2"/>
      <scheme val="minor"/>
    </font>
    <font>
      <sz val="11"/>
      <color rgb="FF000000"/>
      <name val="Calibri"/>
      <family val="2"/>
    </font>
    <font>
      <strike/>
      <sz val="11"/>
      <color theme="1"/>
      <name val="Calibri"/>
      <family val="2"/>
      <scheme val="minor"/>
    </font>
    <font>
      <sz val="10"/>
      <color rgb="FF020817"/>
      <name val="-Apple-System"/>
      <charset val="1"/>
    </font>
    <font>
      <sz val="10"/>
      <color rgb="FF000000"/>
      <name val="Courier New"/>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30">
    <xf numFmtId="0" fontId="0" fillId="0" borderId="0" xfId="0"/>
    <xf numFmtId="0" fontId="2" fillId="0" borderId="0" xfId="0" applyFont="1" applyAlignment="1">
      <alignment horizontal="center" vertical="center"/>
    </xf>
    <xf numFmtId="0" fontId="0" fillId="0" borderId="0" xfId="0" applyAlignment="1">
      <alignment wrapText="1"/>
    </xf>
    <xf numFmtId="0" fontId="9" fillId="0" borderId="0" xfId="1" applyAlignment="1">
      <alignment wrapText="1"/>
    </xf>
    <xf numFmtId="0" fontId="2" fillId="0" borderId="0" xfId="0" applyFont="1" applyAlignment="1">
      <alignment horizontal="center" wrapText="1"/>
    </xf>
    <xf numFmtId="0" fontId="2" fillId="0" borderId="0" xfId="0" applyFont="1" applyAlignment="1">
      <alignment horizontal="center" vertical="top" wrapText="1"/>
    </xf>
    <xf numFmtId="0" fontId="3" fillId="0" borderId="0" xfId="0" applyFont="1" applyAlignment="1">
      <alignment wrapText="1"/>
    </xf>
    <xf numFmtId="0" fontId="0" fillId="0" borderId="0" xfId="0" applyAlignment="1">
      <alignment vertical="top" wrapText="1"/>
    </xf>
    <xf numFmtId="0" fontId="4" fillId="0" borderId="0" xfId="0" applyFont="1" applyAlignment="1">
      <alignment vertical="center"/>
    </xf>
    <xf numFmtId="0" fontId="3" fillId="0" borderId="0" xfId="0" applyFont="1"/>
    <xf numFmtId="0" fontId="5" fillId="0" borderId="0" xfId="0" applyFont="1" applyAlignment="1">
      <alignment wrapText="1"/>
    </xf>
    <xf numFmtId="0" fontId="7" fillId="0" borderId="0" xfId="0" applyFont="1" applyAlignment="1">
      <alignment wrapText="1"/>
    </xf>
    <xf numFmtId="0" fontId="7" fillId="0" borderId="0" xfId="0" applyFont="1" applyAlignment="1">
      <alignment vertical="top" wrapText="1"/>
    </xf>
    <xf numFmtId="164" fontId="0" fillId="0" borderId="0" xfId="0" applyNumberFormat="1"/>
    <xf numFmtId="0" fontId="5" fillId="0" borderId="0" xfId="0" applyFont="1" applyAlignment="1">
      <alignment vertical="top" wrapText="1"/>
    </xf>
    <xf numFmtId="0" fontId="0" fillId="0" borderId="0" xfId="0" applyAlignment="1">
      <alignment horizontal="center" wrapText="1"/>
    </xf>
    <xf numFmtId="0" fontId="0" fillId="0" borderId="0" xfId="0" applyAlignment="1">
      <alignment horizontal="center"/>
    </xf>
    <xf numFmtId="0" fontId="7" fillId="0" borderId="0" xfId="0" applyFont="1" applyAlignment="1">
      <alignment horizontal="center" wrapText="1"/>
    </xf>
    <xf numFmtId="0" fontId="12" fillId="0" borderId="0" xfId="0" applyFont="1"/>
    <xf numFmtId="0" fontId="2" fillId="0" borderId="0" xfId="0" applyFont="1"/>
    <xf numFmtId="164" fontId="2" fillId="0" borderId="0" xfId="0" applyNumberFormat="1" applyFont="1"/>
    <xf numFmtId="0" fontId="13" fillId="0" borderId="0" xfId="0" applyFont="1" applyAlignment="1">
      <alignment wrapText="1"/>
    </xf>
    <xf numFmtId="0" fontId="13" fillId="0" borderId="0" xfId="0" applyFont="1"/>
    <xf numFmtId="0" fontId="13" fillId="0" borderId="0" xfId="0" applyFont="1" applyAlignment="1">
      <alignment horizontal="center"/>
    </xf>
    <xf numFmtId="0" fontId="13" fillId="0" borderId="0" xfId="0" applyFont="1" applyAlignment="1">
      <alignment vertical="top" wrapText="1"/>
    </xf>
    <xf numFmtId="0" fontId="14" fillId="0" borderId="0" xfId="0" applyFont="1"/>
    <xf numFmtId="0" fontId="15" fillId="0" borderId="0" xfId="0" applyFont="1" applyAlignment="1">
      <alignment wrapText="1"/>
    </xf>
    <xf numFmtId="0" fontId="1" fillId="0" borderId="0" xfId="0" applyFont="1" applyAlignment="1">
      <alignment vertical="top" wrapText="1"/>
    </xf>
    <xf numFmtId="0" fontId="1" fillId="0" borderId="0" xfId="0" applyFont="1" applyAlignment="1">
      <alignment wrapText="1"/>
    </xf>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1419225</xdr:colOff>
      <xdr:row>4</xdr:row>
      <xdr:rowOff>57150</xdr:rowOff>
    </xdr:from>
    <xdr:to>
      <xdr:col>5</xdr:col>
      <xdr:colOff>2371725</xdr:colOff>
      <xdr:row>9</xdr:row>
      <xdr:rowOff>104775</xdr:rowOff>
    </xdr:to>
    <xdr:sp macro="" textlink="">
      <xdr:nvSpPr>
        <xdr:cNvPr id="13" name="Rectangle 1">
          <a:extLst>
            <a:ext uri="{FF2B5EF4-FFF2-40B4-BE49-F238E27FC236}">
              <a16:creationId xmlns:a16="http://schemas.microsoft.com/office/drawing/2014/main" id="{E85D9250-8D91-00E5-C53D-B9984472BB33}"/>
            </a:ext>
          </a:extLst>
        </xdr:cNvPr>
        <xdr:cNvSpPr/>
      </xdr:nvSpPr>
      <xdr:spPr>
        <a:xfrm>
          <a:off x="3305175" y="781050"/>
          <a:ext cx="6524625" cy="952500"/>
        </a:xfrm>
        <a:prstGeom prst="rect">
          <a:avLst/>
        </a:prstGeom>
        <a:solidFill>
          <a:schemeClr val="accent6"/>
        </a:solid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en-US" sz="24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Sample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blueshieldca.sharepoint.com/:x:/r/sites/TOCES/_layouts/15/Doc.aspx?sourcedoc=%7B6DE847FE-B560-420D-8869-23897361EC42%7D&amp;file=large%20group%20Mbrs%20by%20Prod%20ID_Portfolio%20Highlighted%20Blue.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4305-F3C8-9D4D-9097-9115CA5631E8}">
  <dimension ref="A1:D7"/>
  <sheetViews>
    <sheetView workbookViewId="0">
      <selection activeCell="B5" sqref="B5"/>
    </sheetView>
  </sheetViews>
  <sheetFormatPr baseColWidth="10" defaultColWidth="10.83203125" defaultRowHeight="15"/>
  <cols>
    <col min="1" max="1" width="5" bestFit="1" customWidth="1"/>
    <col min="2" max="2" width="24.5" bestFit="1" customWidth="1"/>
    <col min="3" max="3" width="51.5" bestFit="1" customWidth="1"/>
    <col min="4" max="4" width="13.5" bestFit="1" customWidth="1"/>
  </cols>
  <sheetData>
    <row r="1" spans="1:4">
      <c r="A1" t="s">
        <v>0</v>
      </c>
      <c r="B1" t="s">
        <v>1</v>
      </c>
      <c r="C1" t="s">
        <v>2</v>
      </c>
      <c r="D1" t="s">
        <v>3</v>
      </c>
    </row>
    <row r="2" spans="1:4">
      <c r="A2">
        <v>1</v>
      </c>
      <c r="B2" t="s">
        <v>4</v>
      </c>
      <c r="C2" t="s">
        <v>5</v>
      </c>
      <c r="D2" t="s">
        <v>6</v>
      </c>
    </row>
    <row r="3" spans="1:4">
      <c r="A3">
        <v>2</v>
      </c>
      <c r="B3" t="s">
        <v>7</v>
      </c>
      <c r="C3" t="s">
        <v>8</v>
      </c>
      <c r="D3" t="s">
        <v>9</v>
      </c>
    </row>
    <row r="4" spans="1:4">
      <c r="A4">
        <v>3</v>
      </c>
      <c r="B4" t="s">
        <v>10</v>
      </c>
      <c r="C4" t="s">
        <v>11</v>
      </c>
      <c r="D4" t="s">
        <v>12</v>
      </c>
    </row>
    <row r="5" spans="1:4">
      <c r="A5">
        <v>4</v>
      </c>
      <c r="B5" t="s">
        <v>13</v>
      </c>
      <c r="C5" t="s">
        <v>14</v>
      </c>
      <c r="D5" t="s">
        <v>15</v>
      </c>
    </row>
    <row r="6" spans="1:4">
      <c r="A6">
        <v>5</v>
      </c>
      <c r="B6" t="s">
        <v>16</v>
      </c>
      <c r="C6" t="s">
        <v>17</v>
      </c>
      <c r="D6" t="s">
        <v>18</v>
      </c>
    </row>
    <row r="7" spans="1:4">
      <c r="A7">
        <v>6</v>
      </c>
      <c r="B7" t="s">
        <v>19</v>
      </c>
      <c r="C7" t="s">
        <v>20</v>
      </c>
      <c r="D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G12" sqref="G12"/>
    </sheetView>
  </sheetViews>
  <sheetFormatPr baseColWidth="10" defaultColWidth="8.83203125" defaultRowHeight="15"/>
  <cols>
    <col min="2" max="2" width="19.5" bestFit="1" customWidth="1"/>
    <col min="3" max="3" width="24.1640625" bestFit="1" customWidth="1"/>
    <col min="4" max="4" width="25.5" bestFit="1" customWidth="1"/>
    <col min="5" max="5" width="34" bestFit="1" customWidth="1"/>
    <col min="6" max="6" width="75.5" bestFit="1" customWidth="1"/>
    <col min="7" max="7" width="25" bestFit="1" customWidth="1"/>
    <col min="8" max="8" width="25.5" bestFit="1" customWidth="1"/>
  </cols>
  <sheetData>
    <row r="1" spans="1:8">
      <c r="A1" s="1" t="s">
        <v>0</v>
      </c>
      <c r="B1" s="1" t="s">
        <v>22</v>
      </c>
      <c r="C1" s="1" t="s">
        <v>23</v>
      </c>
      <c r="D1" s="1" t="s">
        <v>24</v>
      </c>
      <c r="E1" s="1" t="s">
        <v>25</v>
      </c>
      <c r="F1" s="1" t="s">
        <v>26</v>
      </c>
      <c r="G1" s="1" t="s">
        <v>27</v>
      </c>
      <c r="H1" s="1" t="s">
        <v>28</v>
      </c>
    </row>
    <row r="2" spans="1:8">
      <c r="A2">
        <v>1</v>
      </c>
      <c r="B2" t="s">
        <v>29</v>
      </c>
      <c r="C2" t="s">
        <v>30</v>
      </c>
      <c r="D2" t="s">
        <v>31</v>
      </c>
      <c r="E2" t="s">
        <v>32</v>
      </c>
      <c r="F2" t="s">
        <v>33</v>
      </c>
      <c r="G2" t="s">
        <v>34</v>
      </c>
      <c r="H2" t="s">
        <v>35</v>
      </c>
    </row>
    <row r="3" spans="1:8">
      <c r="A3">
        <v>2</v>
      </c>
      <c r="B3" t="s">
        <v>36</v>
      </c>
      <c r="C3" t="s">
        <v>37</v>
      </c>
      <c r="D3" t="s">
        <v>38</v>
      </c>
      <c r="E3" t="s">
        <v>39</v>
      </c>
      <c r="F3" t="s">
        <v>40</v>
      </c>
      <c r="G3" t="s">
        <v>41</v>
      </c>
      <c r="H3" t="s">
        <v>42</v>
      </c>
    </row>
    <row r="4" spans="1:8">
      <c r="A4">
        <v>3</v>
      </c>
      <c r="B4" t="s">
        <v>43</v>
      </c>
      <c r="C4" t="s">
        <v>44</v>
      </c>
      <c r="D4" t="s">
        <v>45</v>
      </c>
      <c r="E4" t="s">
        <v>46</v>
      </c>
      <c r="F4" t="s">
        <v>47</v>
      </c>
      <c r="G4" t="s">
        <v>48</v>
      </c>
      <c r="H4" t="s">
        <v>49</v>
      </c>
    </row>
    <row r="5" spans="1:8">
      <c r="A5">
        <v>3</v>
      </c>
      <c r="B5" t="s">
        <v>50</v>
      </c>
      <c r="C5" t="s">
        <v>51</v>
      </c>
      <c r="D5" t="s">
        <v>45</v>
      </c>
      <c r="E5" t="s">
        <v>52</v>
      </c>
      <c r="F5" t="s">
        <v>53</v>
      </c>
      <c r="G5" t="s">
        <v>54</v>
      </c>
      <c r="H5" t="s">
        <v>55</v>
      </c>
    </row>
    <row r="6" spans="1:8">
      <c r="A6">
        <v>4</v>
      </c>
      <c r="B6" t="s">
        <v>56</v>
      </c>
      <c r="C6" t="s">
        <v>57</v>
      </c>
      <c r="D6" t="s">
        <v>58</v>
      </c>
      <c r="E6" t="s">
        <v>59</v>
      </c>
      <c r="F6" t="s">
        <v>60</v>
      </c>
      <c r="G6" t="s">
        <v>61</v>
      </c>
      <c r="H6" t="s">
        <v>62</v>
      </c>
    </row>
    <row r="7" spans="1:8">
      <c r="A7">
        <v>5</v>
      </c>
      <c r="B7" t="s">
        <v>63</v>
      </c>
      <c r="C7" t="s">
        <v>64</v>
      </c>
      <c r="D7" t="s">
        <v>65</v>
      </c>
      <c r="E7" t="s">
        <v>66</v>
      </c>
      <c r="F7" t="s">
        <v>67</v>
      </c>
      <c r="G7" t="s">
        <v>68</v>
      </c>
      <c r="H7" t="s">
        <v>69</v>
      </c>
    </row>
    <row r="8" spans="1:8">
      <c r="A8">
        <v>5</v>
      </c>
      <c r="B8" t="s">
        <v>70</v>
      </c>
      <c r="C8" t="s">
        <v>71</v>
      </c>
      <c r="D8" t="s">
        <v>72</v>
      </c>
      <c r="E8" t="s">
        <v>73</v>
      </c>
      <c r="F8" t="s">
        <v>74</v>
      </c>
      <c r="G8" t="s">
        <v>75</v>
      </c>
      <c r="H8" t="s">
        <v>76</v>
      </c>
    </row>
    <row r="9" spans="1:8">
      <c r="A9">
        <v>5</v>
      </c>
      <c r="B9" t="s">
        <v>77</v>
      </c>
      <c r="C9" t="s">
        <v>78</v>
      </c>
      <c r="D9" t="s">
        <v>79</v>
      </c>
      <c r="E9" t="s">
        <v>80</v>
      </c>
      <c r="F9" t="s">
        <v>81</v>
      </c>
      <c r="G9" t="s">
        <v>82</v>
      </c>
      <c r="H9" t="s">
        <v>83</v>
      </c>
    </row>
    <row r="10" spans="1:8">
      <c r="A10">
        <v>6</v>
      </c>
      <c r="B10" t="s">
        <v>84</v>
      </c>
      <c r="C10" t="s">
        <v>85</v>
      </c>
      <c r="D10" t="s">
        <v>86</v>
      </c>
      <c r="E10" t="s">
        <v>87</v>
      </c>
      <c r="F10" t="s">
        <v>88</v>
      </c>
      <c r="G10" t="s">
        <v>89</v>
      </c>
      <c r="H10" t="s">
        <v>90</v>
      </c>
    </row>
    <row r="11" spans="1:8">
      <c r="A11">
        <v>6</v>
      </c>
      <c r="B11" t="s">
        <v>91</v>
      </c>
      <c r="C11" t="s">
        <v>92</v>
      </c>
      <c r="D11" t="s">
        <v>86</v>
      </c>
      <c r="E11" t="s">
        <v>93</v>
      </c>
      <c r="F11" t="s">
        <v>94</v>
      </c>
      <c r="G11" t="s">
        <v>95</v>
      </c>
      <c r="H11" t="s">
        <v>96</v>
      </c>
    </row>
    <row r="12" spans="1:8">
      <c r="A12">
        <v>6</v>
      </c>
      <c r="B12" t="s">
        <v>97</v>
      </c>
      <c r="C12" t="s">
        <v>98</v>
      </c>
      <c r="D12" t="s">
        <v>86</v>
      </c>
      <c r="E12" t="s">
        <v>99</v>
      </c>
      <c r="F12" t="s">
        <v>100</v>
      </c>
      <c r="G12" t="s">
        <v>101</v>
      </c>
      <c r="H12" t="s">
        <v>102</v>
      </c>
    </row>
    <row r="13" spans="1:8">
      <c r="A13">
        <v>6</v>
      </c>
      <c r="B13" t="s">
        <v>103</v>
      </c>
      <c r="C13" t="s">
        <v>104</v>
      </c>
      <c r="D13" t="s">
        <v>86</v>
      </c>
      <c r="E13" t="s">
        <v>105</v>
      </c>
      <c r="F13" t="s">
        <v>106</v>
      </c>
      <c r="G13" t="s">
        <v>107</v>
      </c>
      <c r="H13" t="s">
        <v>108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B945-6A8C-43A0-9563-48F017A8CA97}">
  <dimension ref="A1:I52"/>
  <sheetViews>
    <sheetView workbookViewId="0">
      <pane ySplit="1" topLeftCell="A44" activePane="bottomLeft" state="frozen"/>
      <selection pane="bottomLeft" activeCell="E47" sqref="E47"/>
    </sheetView>
  </sheetViews>
  <sheetFormatPr baseColWidth="10" defaultColWidth="8.6640625" defaultRowHeight="15"/>
  <cols>
    <col min="1" max="1" width="5.83203125" style="2" customWidth="1"/>
    <col min="2" max="2" width="23.6640625" style="2" bestFit="1" customWidth="1"/>
    <col min="3" max="3" width="11.33203125" style="15" customWidth="1"/>
    <col min="4" max="4" width="38.33203125" style="2" customWidth="1"/>
    <col min="5" max="5" width="19.5" style="2" customWidth="1"/>
    <col min="6" max="6" width="22" style="7" customWidth="1"/>
    <col min="7" max="7" width="81.1640625" style="2" customWidth="1"/>
    <col min="8" max="8" width="37.5" style="2" customWidth="1"/>
    <col min="9" max="9" width="34.5" style="2" customWidth="1"/>
    <col min="10" max="10" width="28.83203125" style="2" customWidth="1"/>
    <col min="11" max="16384" width="8.6640625" style="2"/>
  </cols>
  <sheetData>
    <row r="1" spans="1:9" ht="32">
      <c r="A1" s="4" t="s">
        <v>0</v>
      </c>
      <c r="B1" s="4" t="s">
        <v>22</v>
      </c>
      <c r="C1" s="4" t="s">
        <v>109</v>
      </c>
      <c r="D1" s="4" t="s">
        <v>23</v>
      </c>
      <c r="E1" s="4" t="s">
        <v>24</v>
      </c>
      <c r="F1" s="5" t="s">
        <v>25</v>
      </c>
      <c r="G1" s="4" t="s">
        <v>26</v>
      </c>
      <c r="H1" s="4" t="s">
        <v>27</v>
      </c>
      <c r="I1" s="4" t="s">
        <v>28</v>
      </c>
    </row>
    <row r="2" spans="1:9" ht="30" customHeight="1">
      <c r="A2" s="2">
        <v>1</v>
      </c>
      <c r="B2" s="2" t="s">
        <v>29</v>
      </c>
      <c r="C2" s="15">
        <f t="shared" ref="C2:C33" si="0">ROW() - ROW($C$2) + 2</f>
        <v>2</v>
      </c>
      <c r="D2" s="6" t="s">
        <v>30</v>
      </c>
      <c r="F2" s="7" t="s">
        <v>110</v>
      </c>
      <c r="G2" s="2" t="s">
        <v>111</v>
      </c>
      <c r="H2" t="s">
        <v>34</v>
      </c>
    </row>
    <row r="3" spans="1:9" ht="56.25" customHeight="1">
      <c r="A3" s="2">
        <v>1</v>
      </c>
      <c r="B3" s="2" t="s">
        <v>112</v>
      </c>
      <c r="C3" s="15">
        <f t="shared" si="0"/>
        <v>3</v>
      </c>
      <c r="D3" s="2" t="s">
        <v>113</v>
      </c>
      <c r="F3" s="7" t="s">
        <v>114</v>
      </c>
      <c r="G3" s="2" t="s">
        <v>115</v>
      </c>
    </row>
    <row r="4" spans="1:9" ht="80">
      <c r="A4" s="2">
        <v>2</v>
      </c>
      <c r="B4" s="2" t="s">
        <v>36</v>
      </c>
      <c r="C4" s="15">
        <f t="shared" si="0"/>
        <v>4</v>
      </c>
      <c r="D4" s="2" t="s">
        <v>116</v>
      </c>
      <c r="F4" s="7" t="s">
        <v>117</v>
      </c>
      <c r="G4" s="10" t="s">
        <v>118</v>
      </c>
      <c r="H4" s="2" t="s">
        <v>119</v>
      </c>
      <c r="I4" s="2" t="s">
        <v>42</v>
      </c>
    </row>
    <row r="5" spans="1:9" ht="66.75" customHeight="1">
      <c r="A5" s="2">
        <v>3</v>
      </c>
      <c r="B5" s="2" t="s">
        <v>120</v>
      </c>
      <c r="C5" s="15">
        <f t="shared" si="0"/>
        <v>5</v>
      </c>
      <c r="D5" s="2" t="s">
        <v>121</v>
      </c>
      <c r="F5" s="7" t="s">
        <v>122</v>
      </c>
      <c r="G5" s="2" t="s">
        <v>123</v>
      </c>
    </row>
    <row r="6" spans="1:9" ht="144">
      <c r="A6" s="2">
        <v>3</v>
      </c>
      <c r="B6" s="2" t="s">
        <v>120</v>
      </c>
      <c r="C6" s="15">
        <f t="shared" si="0"/>
        <v>6</v>
      </c>
      <c r="D6" s="2" t="s">
        <v>124</v>
      </c>
      <c r="F6" s="7" t="s">
        <v>125</v>
      </c>
      <c r="G6" s="2" t="s">
        <v>126</v>
      </c>
      <c r="H6" s="2" t="s">
        <v>54</v>
      </c>
    </row>
    <row r="7" spans="1:9" ht="80">
      <c r="A7" s="2">
        <v>3</v>
      </c>
      <c r="B7" s="2" t="s">
        <v>120</v>
      </c>
      <c r="C7" s="15">
        <f t="shared" si="0"/>
        <v>7</v>
      </c>
      <c r="D7" s="2" t="s">
        <v>127</v>
      </c>
      <c r="F7" s="7" t="s">
        <v>128</v>
      </c>
      <c r="G7" s="6" t="s">
        <v>129</v>
      </c>
      <c r="I7" s="2" t="s">
        <v>130</v>
      </c>
    </row>
    <row r="8" spans="1:9" ht="128">
      <c r="A8" s="2">
        <v>3</v>
      </c>
      <c r="B8" s="2" t="s">
        <v>120</v>
      </c>
      <c r="C8" s="15">
        <f t="shared" si="0"/>
        <v>8</v>
      </c>
      <c r="D8" s="2" t="s">
        <v>131</v>
      </c>
      <c r="F8" s="7" t="s">
        <v>132</v>
      </c>
      <c r="G8" s="2" t="s">
        <v>133</v>
      </c>
      <c r="I8" s="2" t="s">
        <v>134</v>
      </c>
    </row>
    <row r="9" spans="1:9" ht="48">
      <c r="A9" s="2">
        <v>4</v>
      </c>
      <c r="B9" t="s">
        <v>56</v>
      </c>
      <c r="C9" s="16">
        <f t="shared" si="0"/>
        <v>9</v>
      </c>
      <c r="D9" s="2" t="s">
        <v>135</v>
      </c>
      <c r="F9" s="7" t="s">
        <v>136</v>
      </c>
      <c r="G9" s="2" t="s">
        <v>137</v>
      </c>
    </row>
    <row r="10" spans="1:9" ht="80">
      <c r="A10" s="2">
        <v>4</v>
      </c>
      <c r="B10" t="s">
        <v>56</v>
      </c>
      <c r="C10" s="16">
        <f t="shared" si="0"/>
        <v>10</v>
      </c>
      <c r="D10" s="2" t="s">
        <v>138</v>
      </c>
      <c r="F10" s="7" t="s">
        <v>139</v>
      </c>
      <c r="G10" s="2" t="s">
        <v>140</v>
      </c>
    </row>
    <row r="11" spans="1:9" ht="80">
      <c r="A11" s="2">
        <v>4</v>
      </c>
      <c r="B11" t="s">
        <v>56</v>
      </c>
      <c r="C11" s="16">
        <f t="shared" si="0"/>
        <v>11</v>
      </c>
      <c r="D11" s="2" t="s">
        <v>141</v>
      </c>
      <c r="F11" s="7" t="s">
        <v>142</v>
      </c>
      <c r="G11" s="2" t="s">
        <v>143</v>
      </c>
    </row>
    <row r="12" spans="1:9" ht="64">
      <c r="A12" s="2">
        <v>4</v>
      </c>
      <c r="B12" t="s">
        <v>56</v>
      </c>
      <c r="C12" s="16">
        <f t="shared" si="0"/>
        <v>12</v>
      </c>
      <c r="D12" s="2" t="s">
        <v>144</v>
      </c>
      <c r="F12" s="7" t="s">
        <v>145</v>
      </c>
      <c r="G12" s="10" t="s">
        <v>146</v>
      </c>
    </row>
    <row r="13" spans="1:9" ht="32">
      <c r="A13" s="2">
        <v>4</v>
      </c>
      <c r="B13" t="s">
        <v>56</v>
      </c>
      <c r="C13" s="16">
        <f t="shared" si="0"/>
        <v>13</v>
      </c>
      <c r="D13" s="2" t="s">
        <v>147</v>
      </c>
      <c r="F13" s="7" t="s">
        <v>148</v>
      </c>
      <c r="G13" s="2" t="s">
        <v>149</v>
      </c>
    </row>
    <row r="14" spans="1:9" ht="32">
      <c r="A14" s="2">
        <v>4</v>
      </c>
      <c r="B14" t="s">
        <v>56</v>
      </c>
      <c r="C14" s="16">
        <f t="shared" si="0"/>
        <v>14</v>
      </c>
      <c r="D14" s="2" t="s">
        <v>150</v>
      </c>
      <c r="F14" s="7" t="s">
        <v>151</v>
      </c>
      <c r="G14" s="2" t="s">
        <v>152</v>
      </c>
    </row>
    <row r="15" spans="1:9" ht="96">
      <c r="A15" s="2">
        <v>4</v>
      </c>
      <c r="B15" t="s">
        <v>56</v>
      </c>
      <c r="C15" s="16">
        <f t="shared" si="0"/>
        <v>15</v>
      </c>
      <c r="D15" s="2" t="s">
        <v>153</v>
      </c>
      <c r="F15" s="7" t="s">
        <v>154</v>
      </c>
      <c r="G15" s="2" t="s">
        <v>155</v>
      </c>
    </row>
    <row r="16" spans="1:9" s="21" customFormat="1" ht="64">
      <c r="A16" s="21">
        <v>4</v>
      </c>
      <c r="B16" s="22" t="s">
        <v>156</v>
      </c>
      <c r="C16" s="23">
        <f t="shared" si="0"/>
        <v>16</v>
      </c>
      <c r="D16" s="21" t="s">
        <v>157</v>
      </c>
      <c r="F16" s="24" t="s">
        <v>158</v>
      </c>
      <c r="G16" s="21" t="s">
        <v>159</v>
      </c>
      <c r="H16" s="21" t="s">
        <v>160</v>
      </c>
    </row>
    <row r="17" spans="1:9" ht="64">
      <c r="A17" s="2">
        <v>5</v>
      </c>
      <c r="B17" s="2" t="s">
        <v>161</v>
      </c>
      <c r="C17" s="15">
        <f t="shared" si="0"/>
        <v>17</v>
      </c>
      <c r="D17" s="2" t="s">
        <v>162</v>
      </c>
      <c r="F17" s="7" t="s">
        <v>163</v>
      </c>
      <c r="G17" s="2" t="s">
        <v>164</v>
      </c>
      <c r="H17" t="s">
        <v>68</v>
      </c>
    </row>
    <row r="18" spans="1:9" ht="16">
      <c r="A18" s="2">
        <v>5</v>
      </c>
      <c r="B18" s="2" t="s">
        <v>70</v>
      </c>
      <c r="C18" s="15">
        <f t="shared" si="0"/>
        <v>18</v>
      </c>
      <c r="D18" s="8" t="s">
        <v>165</v>
      </c>
      <c r="F18" s="7" t="s">
        <v>166</v>
      </c>
      <c r="G18" s="2" t="s">
        <v>167</v>
      </c>
      <c r="H18" t="s">
        <v>75</v>
      </c>
      <c r="I18" s="9" t="s">
        <v>168</v>
      </c>
    </row>
    <row r="19" spans="1:9" ht="32">
      <c r="A19" s="2">
        <v>5</v>
      </c>
      <c r="B19" t="s">
        <v>77</v>
      </c>
      <c r="C19" s="16">
        <f t="shared" si="0"/>
        <v>19</v>
      </c>
      <c r="D19" s="2" t="s">
        <v>169</v>
      </c>
      <c r="F19" s="7" t="s">
        <v>170</v>
      </c>
      <c r="G19" s="2" t="s">
        <v>171</v>
      </c>
      <c r="H19" t="s">
        <v>75</v>
      </c>
      <c r="I19" s="2" t="s">
        <v>172</v>
      </c>
    </row>
    <row r="20" spans="1:9" ht="48">
      <c r="A20" s="2">
        <v>5</v>
      </c>
      <c r="B20" t="s">
        <v>77</v>
      </c>
      <c r="C20" s="16">
        <f t="shared" si="0"/>
        <v>20</v>
      </c>
      <c r="D20" s="2" t="s">
        <v>173</v>
      </c>
      <c r="F20" s="7" t="s">
        <v>170</v>
      </c>
      <c r="G20" s="2" t="s">
        <v>174</v>
      </c>
      <c r="H20" t="s">
        <v>75</v>
      </c>
      <c r="I20" s="2" t="s">
        <v>175</v>
      </c>
    </row>
    <row r="21" spans="1:9" ht="32">
      <c r="A21" s="2">
        <v>5</v>
      </c>
      <c r="B21" s="2" t="s">
        <v>77</v>
      </c>
      <c r="C21" s="15">
        <f t="shared" si="0"/>
        <v>21</v>
      </c>
      <c r="D21" s="2" t="s">
        <v>176</v>
      </c>
      <c r="F21" s="7" t="s">
        <v>170</v>
      </c>
      <c r="G21" s="2" t="s">
        <v>177</v>
      </c>
      <c r="H21" t="s">
        <v>75</v>
      </c>
      <c r="I21" s="2" t="s">
        <v>178</v>
      </c>
    </row>
    <row r="22" spans="1:9" ht="160">
      <c r="A22" s="2">
        <v>6</v>
      </c>
      <c r="B22" s="2" t="s">
        <v>84</v>
      </c>
      <c r="C22" s="15">
        <f t="shared" si="0"/>
        <v>22</v>
      </c>
      <c r="D22" s="2" t="s">
        <v>179</v>
      </c>
      <c r="F22" s="7" t="s">
        <v>180</v>
      </c>
      <c r="G22" s="2" t="s">
        <v>181</v>
      </c>
      <c r="H22" t="s">
        <v>89</v>
      </c>
    </row>
    <row r="23" spans="1:9" ht="80">
      <c r="A23" s="2">
        <v>6</v>
      </c>
      <c r="B23" s="2" t="s">
        <v>182</v>
      </c>
      <c r="C23" s="15">
        <f t="shared" si="0"/>
        <v>23</v>
      </c>
      <c r="D23" s="2" t="s">
        <v>183</v>
      </c>
      <c r="F23" s="7" t="s">
        <v>184</v>
      </c>
      <c r="G23" s="2" t="s">
        <v>185</v>
      </c>
      <c r="H23" s="2" t="s">
        <v>186</v>
      </c>
    </row>
    <row r="24" spans="1:9" ht="48">
      <c r="A24" s="2">
        <v>6</v>
      </c>
      <c r="B24" s="2" t="s">
        <v>182</v>
      </c>
      <c r="C24" s="15">
        <f t="shared" si="0"/>
        <v>24</v>
      </c>
      <c r="D24" s="2" t="s">
        <v>187</v>
      </c>
      <c r="F24" s="7" t="s">
        <v>184</v>
      </c>
      <c r="G24" s="2" t="s">
        <v>188</v>
      </c>
      <c r="H24" s="2" t="s">
        <v>186</v>
      </c>
    </row>
    <row r="25" spans="1:9" ht="192">
      <c r="A25" s="2">
        <v>6</v>
      </c>
      <c r="B25" s="2" t="s">
        <v>189</v>
      </c>
      <c r="C25" s="15">
        <f t="shared" si="0"/>
        <v>25</v>
      </c>
      <c r="D25" s="2" t="s">
        <v>190</v>
      </c>
      <c r="F25" s="7" t="s">
        <v>191</v>
      </c>
      <c r="G25" s="2" t="s">
        <v>192</v>
      </c>
    </row>
    <row r="26" spans="1:9" ht="192">
      <c r="A26" s="2">
        <v>6</v>
      </c>
      <c r="B26" s="2" t="s">
        <v>193</v>
      </c>
      <c r="C26" s="15">
        <f t="shared" si="0"/>
        <v>26</v>
      </c>
      <c r="D26" s="2" t="s">
        <v>194</v>
      </c>
      <c r="F26" s="7" t="s">
        <v>195</v>
      </c>
      <c r="G26" s="2" t="s">
        <v>192</v>
      </c>
    </row>
    <row r="27" spans="1:9" ht="128">
      <c r="A27" s="2">
        <v>6</v>
      </c>
      <c r="B27" s="2" t="s">
        <v>196</v>
      </c>
      <c r="C27" s="15">
        <f t="shared" si="0"/>
        <v>27</v>
      </c>
      <c r="D27" s="2" t="s">
        <v>197</v>
      </c>
      <c r="F27" s="7" t="s">
        <v>198</v>
      </c>
      <c r="G27" s="2" t="s">
        <v>199</v>
      </c>
    </row>
    <row r="28" spans="1:9" ht="48">
      <c r="A28" s="2">
        <v>6</v>
      </c>
      <c r="B28" s="2" t="s">
        <v>200</v>
      </c>
      <c r="C28" s="15">
        <f t="shared" si="0"/>
        <v>28</v>
      </c>
      <c r="D28" s="2" t="s">
        <v>201</v>
      </c>
      <c r="F28" s="7" t="s">
        <v>202</v>
      </c>
      <c r="G28" s="2" t="s">
        <v>203</v>
      </c>
    </row>
    <row r="29" spans="1:9" ht="48">
      <c r="A29" s="2">
        <v>6</v>
      </c>
      <c r="B29" s="2" t="s">
        <v>204</v>
      </c>
      <c r="C29" s="15">
        <f t="shared" si="0"/>
        <v>29</v>
      </c>
      <c r="D29" s="2" t="s">
        <v>205</v>
      </c>
      <c r="F29" s="7" t="s">
        <v>206</v>
      </c>
      <c r="G29" s="2" t="s">
        <v>207</v>
      </c>
    </row>
    <row r="30" spans="1:9" ht="409.6">
      <c r="A30" s="2">
        <v>6</v>
      </c>
      <c r="B30" s="2" t="s">
        <v>208</v>
      </c>
      <c r="C30" s="15">
        <f t="shared" si="0"/>
        <v>30</v>
      </c>
      <c r="D30" s="2" t="s">
        <v>209</v>
      </c>
      <c r="F30" s="7" t="s">
        <v>210</v>
      </c>
      <c r="G30" s="2" t="s">
        <v>211</v>
      </c>
    </row>
    <row r="31" spans="1:9" ht="409.6">
      <c r="A31" s="2">
        <v>6</v>
      </c>
      <c r="B31" s="2" t="s">
        <v>208</v>
      </c>
      <c r="C31" s="15">
        <f t="shared" si="0"/>
        <v>31</v>
      </c>
      <c r="D31" s="2" t="s">
        <v>212</v>
      </c>
      <c r="F31" s="27" t="s">
        <v>213</v>
      </c>
      <c r="G31" s="2" t="s">
        <v>214</v>
      </c>
      <c r="H31" s="2" t="s">
        <v>215</v>
      </c>
    </row>
    <row r="32" spans="1:9" ht="409.6">
      <c r="A32" s="2">
        <v>6</v>
      </c>
      <c r="B32" s="2" t="s">
        <v>208</v>
      </c>
      <c r="C32" s="15">
        <f t="shared" si="0"/>
        <v>32</v>
      </c>
      <c r="D32" s="28" t="s">
        <v>216</v>
      </c>
      <c r="F32" s="27" t="s">
        <v>217</v>
      </c>
      <c r="G32" s="2" t="s">
        <v>218</v>
      </c>
    </row>
    <row r="33" spans="1:9" ht="96">
      <c r="A33" s="2">
        <v>6</v>
      </c>
      <c r="B33" s="2" t="s">
        <v>219</v>
      </c>
      <c r="C33" s="15">
        <f t="shared" si="0"/>
        <v>33</v>
      </c>
      <c r="D33" s="2" t="s">
        <v>220</v>
      </c>
      <c r="F33" s="7" t="s">
        <v>221</v>
      </c>
      <c r="G33" s="2" t="s">
        <v>222</v>
      </c>
    </row>
    <row r="34" spans="1:9" ht="176">
      <c r="A34" s="2">
        <v>6</v>
      </c>
      <c r="B34" s="2" t="s">
        <v>219</v>
      </c>
      <c r="C34" s="15">
        <f t="shared" ref="C34:C50" si="1">ROW() - ROW($C$2) + 2</f>
        <v>34</v>
      </c>
      <c r="D34" s="2" t="s">
        <v>223</v>
      </c>
      <c r="F34" s="7" t="s">
        <v>224</v>
      </c>
      <c r="G34" s="2" t="s">
        <v>225</v>
      </c>
    </row>
    <row r="35" spans="1:9" ht="288">
      <c r="A35" s="2">
        <v>6</v>
      </c>
      <c r="B35" s="2" t="s">
        <v>226</v>
      </c>
      <c r="C35" s="15">
        <f t="shared" si="1"/>
        <v>35</v>
      </c>
      <c r="D35" s="2" t="s">
        <v>227</v>
      </c>
      <c r="F35" s="14" t="s">
        <v>228</v>
      </c>
      <c r="G35" s="2" t="s">
        <v>229</v>
      </c>
      <c r="H35" t="s">
        <v>95</v>
      </c>
      <c r="I35" s="2" t="s">
        <v>230</v>
      </c>
    </row>
    <row r="36" spans="1:9" ht="320">
      <c r="A36" s="2">
        <v>6</v>
      </c>
      <c r="B36" s="2" t="s">
        <v>231</v>
      </c>
      <c r="C36" s="15">
        <f t="shared" si="1"/>
        <v>36</v>
      </c>
      <c r="D36" s="2" t="s">
        <v>232</v>
      </c>
      <c r="F36" s="14" t="s">
        <v>233</v>
      </c>
      <c r="G36" s="2" t="s">
        <v>234</v>
      </c>
      <c r="H36" s="2" t="s">
        <v>235</v>
      </c>
      <c r="I36" s="2" t="s">
        <v>236</v>
      </c>
    </row>
    <row r="37" spans="1:9" ht="272">
      <c r="A37" s="2">
        <v>6</v>
      </c>
      <c r="B37" s="2" t="s">
        <v>237</v>
      </c>
      <c r="C37" s="15">
        <f t="shared" si="1"/>
        <v>37</v>
      </c>
      <c r="D37" s="2" t="s">
        <v>238</v>
      </c>
      <c r="F37" s="14" t="s">
        <v>239</v>
      </c>
      <c r="G37" s="2" t="s">
        <v>240</v>
      </c>
      <c r="I37" s="2" t="s">
        <v>241</v>
      </c>
    </row>
    <row r="38" spans="1:9" ht="409.6">
      <c r="A38" s="2">
        <v>6</v>
      </c>
      <c r="B38" s="2" t="s">
        <v>242</v>
      </c>
      <c r="C38" s="15">
        <f t="shared" si="1"/>
        <v>38</v>
      </c>
      <c r="D38" s="2" t="s">
        <v>243</v>
      </c>
      <c r="F38" s="7" t="s">
        <v>244</v>
      </c>
      <c r="G38" s="10" t="s">
        <v>245</v>
      </c>
    </row>
    <row r="39" spans="1:9" ht="224">
      <c r="A39" s="2">
        <v>6</v>
      </c>
      <c r="B39" s="2" t="s">
        <v>246</v>
      </c>
      <c r="C39" s="15">
        <f t="shared" si="1"/>
        <v>39</v>
      </c>
      <c r="D39" s="2" t="s">
        <v>247</v>
      </c>
      <c r="F39" s="7" t="s">
        <v>248</v>
      </c>
    </row>
    <row r="40" spans="1:9" ht="409.6">
      <c r="A40" s="2">
        <v>6</v>
      </c>
      <c r="B40" s="2" t="s">
        <v>249</v>
      </c>
      <c r="C40" s="15">
        <f t="shared" si="1"/>
        <v>40</v>
      </c>
      <c r="D40" s="2" t="s">
        <v>250</v>
      </c>
      <c r="E40" s="2" t="s">
        <v>251</v>
      </c>
      <c r="F40" s="7" t="s">
        <v>252</v>
      </c>
      <c r="G40" s="2" t="s">
        <v>253</v>
      </c>
      <c r="H40" s="2" t="s">
        <v>254</v>
      </c>
      <c r="I40" s="2" t="s">
        <v>255</v>
      </c>
    </row>
    <row r="41" spans="1:9" ht="208">
      <c r="A41" s="11">
        <v>6</v>
      </c>
      <c r="B41" s="11" t="s">
        <v>256</v>
      </c>
      <c r="C41" s="17">
        <f t="shared" si="1"/>
        <v>41</v>
      </c>
      <c r="D41" s="11" t="s">
        <v>257</v>
      </c>
      <c r="E41" s="11" t="s">
        <v>258</v>
      </c>
      <c r="F41" s="12" t="s">
        <v>259</v>
      </c>
      <c r="G41" s="11" t="s">
        <v>260</v>
      </c>
      <c r="H41" s="11" t="s">
        <v>261</v>
      </c>
      <c r="I41" s="11" t="s">
        <v>262</v>
      </c>
    </row>
    <row r="42" spans="1:9" ht="409.6">
      <c r="A42" s="2">
        <v>6</v>
      </c>
      <c r="B42" s="2" t="s">
        <v>246</v>
      </c>
      <c r="C42" s="15">
        <f t="shared" si="1"/>
        <v>42</v>
      </c>
      <c r="D42" s="2" t="s">
        <v>263</v>
      </c>
      <c r="E42" s="2" t="s">
        <v>264</v>
      </c>
      <c r="F42" s="7" t="s">
        <v>265</v>
      </c>
      <c r="G42" s="10" t="s">
        <v>266</v>
      </c>
      <c r="H42" s="10" t="s">
        <v>267</v>
      </c>
      <c r="I42" s="2" t="s">
        <v>268</v>
      </c>
    </row>
    <row r="43" spans="1:9" ht="256">
      <c r="A43" s="2">
        <v>6</v>
      </c>
      <c r="B43" s="2" t="s">
        <v>269</v>
      </c>
      <c r="C43" s="15">
        <f t="shared" si="1"/>
        <v>43</v>
      </c>
      <c r="D43" s="2" t="s">
        <v>270</v>
      </c>
      <c r="E43" s="2" t="s">
        <v>271</v>
      </c>
      <c r="F43" s="7" t="s">
        <v>272</v>
      </c>
      <c r="G43" s="2" t="s">
        <v>273</v>
      </c>
      <c r="H43" s="2" t="s">
        <v>274</v>
      </c>
      <c r="I43" s="2" t="s">
        <v>275</v>
      </c>
    </row>
    <row r="44" spans="1:9" ht="288">
      <c r="A44" s="11">
        <v>6</v>
      </c>
      <c r="B44" s="11" t="s">
        <v>256</v>
      </c>
      <c r="C44" s="17">
        <f t="shared" si="1"/>
        <v>44</v>
      </c>
      <c r="D44" s="11" t="s">
        <v>276</v>
      </c>
      <c r="E44" s="11"/>
      <c r="F44" s="12" t="s">
        <v>277</v>
      </c>
      <c r="G44" s="11" t="s">
        <v>278</v>
      </c>
      <c r="H44" s="11" t="s">
        <v>279</v>
      </c>
      <c r="I44" s="11"/>
    </row>
    <row r="45" spans="1:9" ht="409.6">
      <c r="A45" s="2">
        <v>6</v>
      </c>
      <c r="B45" s="2" t="s">
        <v>280</v>
      </c>
      <c r="C45" s="15">
        <f t="shared" si="1"/>
        <v>45</v>
      </c>
      <c r="D45" s="2" t="s">
        <v>281</v>
      </c>
      <c r="F45" s="7" t="s">
        <v>282</v>
      </c>
      <c r="G45" s="10" t="s">
        <v>283</v>
      </c>
      <c r="H45" s="2" t="s">
        <v>284</v>
      </c>
    </row>
    <row r="46" spans="1:9" ht="80">
      <c r="A46" s="2">
        <v>4</v>
      </c>
      <c r="B46" t="s">
        <v>56</v>
      </c>
      <c r="C46" s="16">
        <f t="shared" si="1"/>
        <v>46</v>
      </c>
      <c r="D46" s="2" t="s">
        <v>285</v>
      </c>
      <c r="F46" s="7" t="s">
        <v>286</v>
      </c>
      <c r="G46" s="2" t="s">
        <v>287</v>
      </c>
      <c r="H46" s="2" t="s">
        <v>288</v>
      </c>
    </row>
    <row r="47" spans="1:9" ht="192">
      <c r="A47" s="2">
        <v>3</v>
      </c>
      <c r="B47" s="2" t="s">
        <v>120</v>
      </c>
      <c r="C47" s="15">
        <f t="shared" si="1"/>
        <v>47</v>
      </c>
      <c r="D47" s="2" t="s">
        <v>289</v>
      </c>
      <c r="F47" s="7" t="s">
        <v>290</v>
      </c>
      <c r="G47" s="2" t="s">
        <v>291</v>
      </c>
    </row>
    <row r="48" spans="1:9" ht="395">
      <c r="A48" s="2">
        <v>4</v>
      </c>
      <c r="B48" s="2" t="s">
        <v>292</v>
      </c>
      <c r="C48" s="15">
        <f t="shared" si="1"/>
        <v>48</v>
      </c>
      <c r="D48" s="2" t="s">
        <v>293</v>
      </c>
      <c r="F48" s="7" t="s">
        <v>294</v>
      </c>
      <c r="G48" s="10" t="s">
        <v>295</v>
      </c>
      <c r="I48" s="2" t="s">
        <v>296</v>
      </c>
    </row>
    <row r="49" spans="1:9" ht="350">
      <c r="A49" s="2">
        <v>6</v>
      </c>
      <c r="B49" s="2" t="s">
        <v>246</v>
      </c>
      <c r="C49" s="15">
        <f t="shared" si="1"/>
        <v>49</v>
      </c>
      <c r="D49" s="2" t="s">
        <v>297</v>
      </c>
      <c r="F49" s="7" t="s">
        <v>298</v>
      </c>
    </row>
    <row r="50" spans="1:9" ht="48">
      <c r="A50" s="2">
        <v>6</v>
      </c>
      <c r="B50" s="18" t="s">
        <v>299</v>
      </c>
      <c r="C50" s="15">
        <f t="shared" si="1"/>
        <v>50</v>
      </c>
      <c r="D50" s="2" t="s">
        <v>300</v>
      </c>
      <c r="F50" s="7" t="s">
        <v>301</v>
      </c>
      <c r="G50" s="2" t="s">
        <v>302</v>
      </c>
    </row>
    <row r="51" spans="1:9" ht="128">
      <c r="A51" s="2">
        <v>3</v>
      </c>
      <c r="B51" s="2" t="s">
        <v>120</v>
      </c>
      <c r="C51" s="15">
        <v>51</v>
      </c>
      <c r="D51" s="2" t="s">
        <v>303</v>
      </c>
      <c r="F51" s="7" t="s">
        <v>304</v>
      </c>
      <c r="G51" s="10" t="s">
        <v>305</v>
      </c>
    </row>
    <row r="52" spans="1:9" ht="96">
      <c r="A52" s="2">
        <v>4</v>
      </c>
      <c r="B52" s="2" t="s">
        <v>56</v>
      </c>
      <c r="C52" s="15">
        <v>52</v>
      </c>
      <c r="D52" s="26" t="s">
        <v>306</v>
      </c>
      <c r="G52" s="2" t="s">
        <v>307</v>
      </c>
      <c r="H52" s="25" t="s">
        <v>308</v>
      </c>
      <c r="I52" s="2" t="s">
        <v>309</v>
      </c>
    </row>
  </sheetData>
  <autoFilter ref="A1:I52" xr:uid="{6EF6B945-6A8C-43A0-9563-48F017A8CA9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1502C-4FA2-457F-8539-4F672ACBCBEA}">
  <dimension ref="A3"/>
  <sheetViews>
    <sheetView workbookViewId="0">
      <selection activeCell="I16" sqref="I16"/>
    </sheetView>
  </sheetViews>
  <sheetFormatPr baseColWidth="10" defaultColWidth="8.83203125" defaultRowHeight="15"/>
  <cols>
    <col min="1" max="1" width="36.5" bestFit="1" customWidth="1"/>
  </cols>
  <sheetData>
    <row r="3" spans="1:1" ht="32">
      <c r="A3" s="3" t="s">
        <v>310</v>
      </c>
    </row>
  </sheetData>
  <hyperlinks>
    <hyperlink ref="A3" r:id="rId1" xr:uid="{F437CFE4-1B4C-40B6-BB8E-16392029394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5D80-CC01-4916-A2F3-F1CA14C86A4B}">
  <dimension ref="A1:E13"/>
  <sheetViews>
    <sheetView tabSelected="1" workbookViewId="0">
      <pane ySplit="1" topLeftCell="A2" activePane="bottomLeft" state="frozen"/>
      <selection pane="bottomLeft" activeCell="D19" sqref="D19"/>
    </sheetView>
  </sheetViews>
  <sheetFormatPr baseColWidth="10" defaultColWidth="8.83203125" defaultRowHeight="15"/>
  <cols>
    <col min="2" max="2" width="13" style="13" bestFit="1" customWidth="1"/>
    <col min="3" max="3" width="17" bestFit="1" customWidth="1"/>
    <col min="4" max="4" width="78.83203125" customWidth="1"/>
    <col min="5" max="5" width="66.1640625" customWidth="1"/>
  </cols>
  <sheetData>
    <row r="1" spans="1:5">
      <c r="A1" s="19" t="s">
        <v>311</v>
      </c>
      <c r="B1" s="20" t="s">
        <v>312</v>
      </c>
      <c r="C1" s="19" t="s">
        <v>313</v>
      </c>
      <c r="D1" s="19" t="s">
        <v>314</v>
      </c>
    </row>
    <row r="2" spans="1:5">
      <c r="A2">
        <v>1</v>
      </c>
      <c r="B2" s="13">
        <v>46055</v>
      </c>
      <c r="C2" t="s">
        <v>315</v>
      </c>
      <c r="D2" t="s">
        <v>316</v>
      </c>
    </row>
    <row r="3" spans="1:5">
      <c r="A3">
        <v>2</v>
      </c>
      <c r="B3" s="13">
        <v>46056</v>
      </c>
      <c r="C3" t="s">
        <v>317</v>
      </c>
      <c r="D3" t="s">
        <v>318</v>
      </c>
    </row>
    <row r="4" spans="1:5" ht="80">
      <c r="A4">
        <v>3</v>
      </c>
      <c r="B4" s="13">
        <v>46056</v>
      </c>
      <c r="C4" t="s">
        <v>317</v>
      </c>
      <c r="D4" s="2" t="s">
        <v>319</v>
      </c>
    </row>
    <row r="5" spans="1:5" ht="48">
      <c r="A5">
        <v>4</v>
      </c>
      <c r="B5" s="13">
        <v>46063</v>
      </c>
      <c r="C5" t="s">
        <v>317</v>
      </c>
      <c r="D5" s="2" t="s">
        <v>320</v>
      </c>
    </row>
    <row r="6" spans="1:5">
      <c r="A6">
        <v>5</v>
      </c>
      <c r="B6" s="13">
        <v>46063</v>
      </c>
      <c r="C6" t="s">
        <v>315</v>
      </c>
      <c r="D6" t="s">
        <v>321</v>
      </c>
    </row>
    <row r="7" spans="1:5" ht="32">
      <c r="A7">
        <v>6</v>
      </c>
      <c r="B7" s="13">
        <v>46064</v>
      </c>
      <c r="C7" t="s">
        <v>317</v>
      </c>
      <c r="D7" s="2" t="s">
        <v>322</v>
      </c>
    </row>
    <row r="8" spans="1:5">
      <c r="A8" s="29" t="s">
        <v>323</v>
      </c>
      <c r="B8" s="29"/>
      <c r="C8" s="29"/>
      <c r="D8" s="29"/>
    </row>
    <row r="9" spans="1:5" ht="80">
      <c r="A9">
        <v>7</v>
      </c>
      <c r="B9" s="13">
        <v>46126</v>
      </c>
      <c r="C9" t="s">
        <v>315</v>
      </c>
      <c r="D9" s="10" t="s">
        <v>324</v>
      </c>
    </row>
    <row r="10" spans="1:5" ht="144">
      <c r="A10">
        <v>7</v>
      </c>
      <c r="B10" s="13">
        <v>46129</v>
      </c>
      <c r="C10" t="s">
        <v>315</v>
      </c>
      <c r="D10" s="28" t="s">
        <v>325</v>
      </c>
    </row>
    <row r="11" spans="1:5" ht="128">
      <c r="A11">
        <v>7</v>
      </c>
      <c r="B11" s="13">
        <v>46140</v>
      </c>
      <c r="C11" t="s">
        <v>315</v>
      </c>
      <c r="D11" s="2" t="s">
        <v>326</v>
      </c>
    </row>
    <row r="12" spans="1:5" ht="128">
      <c r="A12">
        <v>8</v>
      </c>
      <c r="B12" s="13">
        <v>46149</v>
      </c>
      <c r="C12" t="s">
        <v>315</v>
      </c>
      <c r="D12" s="2" t="s">
        <v>327</v>
      </c>
    </row>
    <row r="13" spans="1:5" ht="304">
      <c r="A13">
        <v>9</v>
      </c>
      <c r="B13" s="13">
        <v>46150</v>
      </c>
      <c r="C13" t="s">
        <v>315</v>
      </c>
      <c r="D13" s="2" t="s">
        <v>328</v>
      </c>
      <c r="E13" s="2" t="s">
        <v>329</v>
      </c>
    </row>
  </sheetData>
  <mergeCells count="1">
    <mergeCell ref="A8:D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C72433C1AC660429DCD7D08C8795FE9" ma:contentTypeVersion="3" ma:contentTypeDescription="Create a new document." ma:contentTypeScope="" ma:versionID="951443bb10a0b247bb0c9f0f1dda5531">
  <xsd:schema xmlns:xsd="http://www.w3.org/2001/XMLSchema" xmlns:xs="http://www.w3.org/2001/XMLSchema" xmlns:p="http://schemas.microsoft.com/office/2006/metadata/properties" xmlns:ns2="a5ba2700-3e8e-4ebd-be48-b8053b29522b" targetNamespace="http://schemas.microsoft.com/office/2006/metadata/properties" ma:root="true" ma:fieldsID="30ae6d7b3c6ffc861c1d28c74e21802b" ns2:_="">
    <xsd:import namespace="a5ba2700-3e8e-4ebd-be48-b8053b29522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ba2700-3e8e-4ebd-be48-b8053b2952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C8D1DC-44F4-4BF0-AEB5-163B2784C70A}">
  <ds:schemaRefs>
    <ds:schemaRef ds:uri="http://schemas.microsoft.com/sharepoint/v3/contenttype/forms"/>
  </ds:schemaRefs>
</ds:datastoreItem>
</file>

<file path=customXml/itemProps2.xml><?xml version="1.0" encoding="utf-8"?>
<ds:datastoreItem xmlns:ds="http://schemas.openxmlformats.org/officeDocument/2006/customXml" ds:itemID="{921A95B6-F76E-43BA-9EAF-B14838B0CF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ba2700-3e8e-4ebd-be48-b8053b2952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2F7E7A-1076-476F-AE68-E5B652ADDFE5}">
  <ds:schemaRefs>
    <ds:schemaRef ds:uri="http://schemas.microsoft.com/office/2006/documentManagement/types"/>
    <ds:schemaRef ds:uri="http://schemas.openxmlformats.org/package/2006/metadata/core-properties"/>
    <ds:schemaRef ds:uri="http://schemas.microsoft.com/office/2006/metadata/properties"/>
    <ds:schemaRef ds:uri="http://purl.org/dc/elements/1.1/"/>
    <ds:schemaRef ds:uri="http://purl.org/dc/dcmitype/"/>
    <ds:schemaRef ds:uri="a5ba2700-3e8e-4ebd-be48-b8053b29522b"/>
    <ds:schemaRef ds:uri="http://www.w3.org/XML/1998/namespac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Level Architecture</vt:lpstr>
      <vt:lpstr>LLM_Rules</vt:lpstr>
      <vt:lpstr>LLM_Rule_Details</vt:lpstr>
      <vt:lpstr>Large Group Product Details</vt:lpstr>
      <vt:lpstr>Version 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Jackson, Jason</cp:lastModifiedBy>
  <cp:revision/>
  <dcterms:created xsi:type="dcterms:W3CDTF">2026-02-02T19:10:56Z</dcterms:created>
  <dcterms:modified xsi:type="dcterms:W3CDTF">2026-05-12T04:42:49Z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0x0101008C72433C1AC660429DCD7D08C8795FE9</vt:lpwstr>
  </property>
</Properties>
</file>